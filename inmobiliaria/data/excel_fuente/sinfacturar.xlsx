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TOTALES" sheetId="2" r:id="rId6"/>
    <sheet name="GENERAL Facturado" sheetId="3" r:id="rId7"/>
    <sheet name="GENERAL. Sin Facturar" sheetId="4" r:id="rId8"/>
    <sheet name="NES SA" sheetId="5" r:id="rId9"/>
    <sheet name="ELECTRICIDAD" sheetId="6" r:id="rId10"/>
    <sheet name="PLOMERIA" sheetId="7" r:id="rId11"/>
    <sheet name="ARQUITECTO" sheetId="8" r:id="rId12"/>
    <sheet name="DRAP" sheetId="9" r:id="rId13"/>
    <sheet name="ASCENSORES Y MONTA AUTOS" sheetId="10" r:id="rId14"/>
    <sheet name="IMEPHO" sheetId="11" r:id="rId1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<sst xmlns="http://schemas.openxmlformats.org/spreadsheetml/2006/main" uniqueCount="1604">
  <si>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</si>
  <si>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</si>
  <si>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</si>
  <si>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</si>
  <si>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TOTALES</t>
  </si>
  <si>
    <t>Tabla 1</t>
  </si>
  <si>
    <t>$</t>
  </si>
  <si>
    <t>U$S</t>
  </si>
  <si>
    <t>SALDOS</t>
  </si>
  <si>
    <t>FACTURADO</t>
  </si>
  <si>
    <t>DE MARZO 2018 A FEBRERO 2019</t>
  </si>
  <si>
    <t>SIN FACTURAR</t>
  </si>
  <si>
    <t>TOTAL BLANCO</t>
  </si>
  <si>
    <t>TOTAL</t>
  </si>
  <si>
    <t>TOTAL NEGRO</t>
  </si>
  <si>
    <t>DE MARZO 2019 A FEBRERO 2020</t>
  </si>
  <si>
    <t>0+</t>
  </si>
  <si>
    <t>DE MARZO 2020 A FEBRERO 2021</t>
  </si>
  <si>
    <t>DE MARZO 2023 A FEBRERO 2024</t>
  </si>
  <si>
    <t>GENERAL Facturado</t>
  </si>
  <si>
    <t>INGRESOS</t>
  </si>
  <si>
    <t>GASTOS</t>
  </si>
  <si>
    <t>SALDO</t>
  </si>
  <si>
    <t>COMPROBANTE</t>
  </si>
  <si>
    <t>PROVEEDOR</t>
  </si>
  <si>
    <t>.</t>
  </si>
  <si>
    <t>PESOS</t>
  </si>
  <si>
    <t>DOLARES</t>
  </si>
  <si>
    <t>TIPO DE CAMBIO</t>
  </si>
  <si>
    <t>COMPRA LOTE</t>
  </si>
  <si>
    <t>COMISION ESPATOLERO - COMPRA LOTE</t>
  </si>
  <si>
    <t>GTOS DE ESCRITURA - PEREZ LLANA</t>
  </si>
  <si>
    <t>ARBA</t>
  </si>
  <si>
    <t>IMPUESTO INMOBILIARIO - PAGO ANUAL 2011</t>
  </si>
  <si>
    <t>OSSE</t>
  </si>
  <si>
    <t>PERIODO 01/2011</t>
  </si>
  <si>
    <t>PERIODO 02/2011</t>
  </si>
  <si>
    <t>PERIODO 03/2011</t>
  </si>
  <si>
    <t>PERIODO 05/2011</t>
  </si>
  <si>
    <t>PERIODO 06/2011</t>
  </si>
  <si>
    <t>IMPUESTO INMOBILIARIO - PAGO ANUAL 2012</t>
  </si>
  <si>
    <t>ARM</t>
  </si>
  <si>
    <t>IMPUESTO MUNICIPAL - PAGO ANUAL 2012</t>
  </si>
  <si>
    <t>PERIODO 01/2012</t>
  </si>
  <si>
    <t>PERIODO 02/2012</t>
  </si>
  <si>
    <t>PERIODO 03/2012</t>
  </si>
  <si>
    <t>PERIODO 04/2012</t>
  </si>
  <si>
    <t>PERIODO 05/2012</t>
  </si>
  <si>
    <t>IMPUESTO MUNICIPAL - PAGO ANUAL 2013</t>
  </si>
  <si>
    <t>PERIODO 01/2013</t>
  </si>
  <si>
    <t>IMPUESTO INMOBILIARIO - PAGO ANUAL 2013</t>
  </si>
  <si>
    <t>PERIODO 02/2013</t>
  </si>
  <si>
    <t>PERIODO 03/2013</t>
  </si>
  <si>
    <t>PERIODOI 04/2013</t>
  </si>
  <si>
    <t>MUNICIPALIDAD</t>
  </si>
  <si>
    <t>PERIODO 05/2013</t>
  </si>
  <si>
    <t>INSTALACION AGUA Y KIT MEDICION</t>
  </si>
  <si>
    <t>PERIODO 06/2013</t>
  </si>
  <si>
    <t>IMPUESTO MUNICIPAL - PAGO ANUAL 2014</t>
  </si>
  <si>
    <t>PERIODO 01/2014</t>
  </si>
  <si>
    <t>AGRIMENSOR</t>
  </si>
  <si>
    <t xml:space="preserve">HONORARIOS </t>
  </si>
  <si>
    <t>IMPUESTO INMOBILIARIO - PAGO ANUAL 2014</t>
  </si>
  <si>
    <t>PERIODO 02/2014</t>
  </si>
  <si>
    <t>PERIODO 06/2014</t>
  </si>
  <si>
    <t>ARQUITECTO AGUERO MERCENARO</t>
  </si>
  <si>
    <t>PERIODO 08/2014</t>
  </si>
  <si>
    <t>IMEPHO</t>
  </si>
  <si>
    <t>HORMIGON - 392 M3</t>
  </si>
  <si>
    <t>HORMIGON - 392.5 M3</t>
  </si>
  <si>
    <t>PERIODO 10/2014</t>
  </si>
  <si>
    <t>PERIODO 09/2014</t>
  </si>
  <si>
    <t>PERIODO 07/2014</t>
  </si>
  <si>
    <t>PERIODO 12/2014</t>
  </si>
  <si>
    <t>TSH - PAGO ANUAL 2015</t>
  </si>
  <si>
    <t>PERIODO 01/2015</t>
  </si>
  <si>
    <t>IMPUESTO INMOBILIARIO - PAGO ANUAL 2015</t>
  </si>
  <si>
    <t>PERIODO 02/2015</t>
  </si>
  <si>
    <t>PERIODO 04/2015</t>
  </si>
  <si>
    <t>PERIODO 03/2015</t>
  </si>
  <si>
    <t>DIFERENCIAS</t>
  </si>
  <si>
    <t>PERIODO 05/2015</t>
  </si>
  <si>
    <t>PERIODO 06/2015</t>
  </si>
  <si>
    <t>PERIODO 07/2015</t>
  </si>
  <si>
    <t>PERIODO 08/2015</t>
  </si>
  <si>
    <t>COMPRA HORMIGON</t>
  </si>
  <si>
    <t>PERIODO 09/2015</t>
  </si>
  <si>
    <t>ACOPIO</t>
  </si>
  <si>
    <t>PERIODO 10/2015</t>
  </si>
  <si>
    <t>PERIODO 11/2015</t>
  </si>
  <si>
    <t>IMPUESTO MUNICIPAL - CUOTA ANUAL 2016</t>
  </si>
  <si>
    <t>PERIODO 01/2016</t>
  </si>
  <si>
    <t>IMPUESTO INMOBILIARIO - PAGO ANUAL 2016</t>
  </si>
  <si>
    <t>DERECHOS DE CONSTRUCCION</t>
  </si>
  <si>
    <t>DIFERENCIAS GTOS MUNICIPALES</t>
  </si>
  <si>
    <t>PERIODO 12/2015</t>
  </si>
  <si>
    <t>PERIODO 02/2016</t>
  </si>
  <si>
    <t>DERECHOS CONSTRUCCION</t>
  </si>
  <si>
    <t>PERIODO 03/2016</t>
  </si>
  <si>
    <t>EDEA</t>
  </si>
  <si>
    <t>PERIODO 06/2016</t>
  </si>
  <si>
    <t>NES S.A.</t>
  </si>
  <si>
    <t>M.O. HORMIGON - CUOTA 1</t>
  </si>
  <si>
    <t>PERIODO 03/2016 - CTA. 02</t>
  </si>
  <si>
    <t>PERIODO 07/2016</t>
  </si>
  <si>
    <t>M.O. HORMIGON - CUOTA 2</t>
  </si>
  <si>
    <t>PERIODO 04/2016 - CTA. 01</t>
  </si>
  <si>
    <t>PERIODO 08/2016</t>
  </si>
  <si>
    <t>SEGURO FEDERACION PATRONAL</t>
  </si>
  <si>
    <t>DEL 25/08/2016 AL 25/08/2017</t>
  </si>
  <si>
    <t>CELTOP SRL</t>
  </si>
  <si>
    <t>MATERIALES</t>
  </si>
  <si>
    <t>EXTRACCION 2 ARBOLES Y TRAMITES</t>
  </si>
  <si>
    <t>M.O. HORMIGON - CUOTA 3</t>
  </si>
  <si>
    <t>M.O. HORMIGON - CUOTA 4</t>
  </si>
  <si>
    <t>PERIODO 04/2016 - CTA. 02</t>
  </si>
  <si>
    <t>PERIODO 09/2016</t>
  </si>
  <si>
    <t>PERIODO 05/2016 - CTA . 01</t>
  </si>
  <si>
    <t>PERIODO 10/2016</t>
  </si>
  <si>
    <t>PERIODO 05/2016 - CTA. 02</t>
  </si>
  <si>
    <t>M.O. HORMIGON - CUOTA 5</t>
  </si>
  <si>
    <t>M.O. HORMIGON - CUOTA 6</t>
  </si>
  <si>
    <t>CAPARELLI</t>
  </si>
  <si>
    <t>TERGOPORLES P/LOZAS</t>
  </si>
  <si>
    <t>PERIODO 11/2016</t>
  </si>
  <si>
    <t>PERIODO 06/2016 - CTA. 01</t>
  </si>
  <si>
    <t>PERIODO 12/2016</t>
  </si>
  <si>
    <t>M.O. HORMIGON - CUOTA 7</t>
  </si>
  <si>
    <t>PERIODO 06/2016 - CTA. 02</t>
  </si>
  <si>
    <t>IMPUESTO MUNICIPAL - PAGO ANUAL 2017</t>
  </si>
  <si>
    <t>PERIODO 01/2017</t>
  </si>
  <si>
    <t>PERIODO 01/2017 - CTA. 01</t>
  </si>
  <si>
    <t>M.O. HORMIGON - CUOTA 8</t>
  </si>
  <si>
    <t>IMPUESTO INMOBILIARIO - PAGO ANUAL 2017</t>
  </si>
  <si>
    <t>PERIODO 02/2017</t>
  </si>
  <si>
    <t>M.O. HORMIGON - CUOTA 9</t>
  </si>
  <si>
    <t>PERIODO 01/2017 - CTA. 02</t>
  </si>
  <si>
    <t>PERIODO 03/2017</t>
  </si>
  <si>
    <t>PERIODO 02/2017 - CTA. 01</t>
  </si>
  <si>
    <t>M.O. HORMIGON - CUOTA 10</t>
  </si>
  <si>
    <t>PERIODO 04/2017</t>
  </si>
  <si>
    <t>M.O. HORMIGON - CUOTA 11</t>
  </si>
  <si>
    <t>PERIODO 02/2017 - CTA. 02</t>
  </si>
  <si>
    <t>PERIODO 05/2017</t>
  </si>
  <si>
    <t>M.O. HORMIGON - CUOTA 12</t>
  </si>
  <si>
    <t>PERIODO 03/2017 - CTA. 01</t>
  </si>
  <si>
    <t>JUAN - 1°ETAPA - ANTICIPO</t>
  </si>
  <si>
    <t>IMPUESTO MUNICIPAL  - AJUSTE 2017</t>
  </si>
  <si>
    <t>PERIODO 06/2017</t>
  </si>
  <si>
    <t>ASCENSORES ULTRA</t>
  </si>
  <si>
    <t>COMPRA MONTAUTOS</t>
  </si>
  <si>
    <t>M.O. HORMIGON - CUOTA 13</t>
  </si>
  <si>
    <t>PERIODO 03/2017 - CTA. 02</t>
  </si>
  <si>
    <t>PINTURAS - DRAP</t>
  </si>
  <si>
    <t>PROTEX</t>
  </si>
  <si>
    <t>PERIODO 07/2017</t>
  </si>
  <si>
    <t>M.O. HORMIGON - CUOTA 14</t>
  </si>
  <si>
    <t>PERIODO 04/17 - CTA. 01</t>
  </si>
  <si>
    <t>PERIODO 08/2017</t>
  </si>
  <si>
    <t>DEL 25/08/2017 AL 25/08/2018</t>
  </si>
  <si>
    <t>COMPRA</t>
  </si>
  <si>
    <t>PERIODO 04/17 - CTA. 02</t>
  </si>
  <si>
    <t>M.O. HORMIGON - CUOTA 15</t>
  </si>
  <si>
    <t>PERIODO 09/2017</t>
  </si>
  <si>
    <t>TERGOPOLES P/LOZAS</t>
  </si>
  <si>
    <t>PERIODO 05/2017 - CTA. 01</t>
  </si>
  <si>
    <t>PERIODO 10/2017</t>
  </si>
  <si>
    <t>PERIODO 11/2017</t>
  </si>
  <si>
    <t>2°ETAPA - A CTA. ANTICIPO</t>
  </si>
  <si>
    <t>ELECTRICIDAD</t>
  </si>
  <si>
    <t>CIARDI HNOS.</t>
  </si>
  <si>
    <t>2°ETAPA -  A CTA. ANTICIPO</t>
  </si>
  <si>
    <t xml:space="preserve">STARKLOFF </t>
  </si>
  <si>
    <t>METALIZADOS MONTA AUTOS</t>
  </si>
  <si>
    <t>ORIGINAL 156200 (u$s8335) 24200 EN B Y 132000 EN N</t>
  </si>
  <si>
    <t>PERIODO 06/2017 - CTA. 01</t>
  </si>
  <si>
    <t>CUOTA 3 - AÑO 2018</t>
  </si>
  <si>
    <t>50% Y 50% ($200000(u$s10000) ORIGINALES)</t>
  </si>
  <si>
    <t>REPUESTO BOMBA DE AGUA</t>
  </si>
  <si>
    <t>PERIODO 12/2017</t>
  </si>
  <si>
    <t>TACURU</t>
  </si>
  <si>
    <t>PERIODO 06/2017 - CTA. 02</t>
  </si>
  <si>
    <t>TEXTIL KOPRUCH</t>
  </si>
  <si>
    <t>CIARDI - MATERIALES ELECTRICOS</t>
  </si>
  <si>
    <t>PERIODO 01/2018</t>
  </si>
  <si>
    <t>PLOMERIA</t>
  </si>
  <si>
    <t>SANITARIOS SANCHEZ - DESAGUES</t>
  </si>
  <si>
    <t>655569/65601</t>
  </si>
  <si>
    <t>SCOR-DINA SRL</t>
  </si>
  <si>
    <t>TRANSPORTE</t>
  </si>
  <si>
    <t>IMPUESTO INMOBILIARIO - PAGO ANUAL 2018</t>
  </si>
  <si>
    <t>PERIODO 01/2018 - CTA. 01</t>
  </si>
  <si>
    <t>TOLOZA - M.O. DESAGUES</t>
  </si>
  <si>
    <t>PERIODO 01/2018 - CTA. 02</t>
  </si>
  <si>
    <t xml:space="preserve">PERIODO 02/2018 </t>
  </si>
  <si>
    <t>PERIODO 03/2018</t>
  </si>
  <si>
    <t>BENIPLAS</t>
  </si>
  <si>
    <t>PLASTICOS NEGROS</t>
  </si>
  <si>
    <t>LANDA</t>
  </si>
  <si>
    <t>BOLSAS CEMENTO</t>
  </si>
  <si>
    <t>CERAMICO BAJO PILETA 100 M.</t>
  </si>
  <si>
    <t>MALLA DE FIBRA</t>
  </si>
  <si>
    <t>PERIODO 02/2018 - CTA. 01</t>
  </si>
  <si>
    <t>PERIODO 04/2018</t>
  </si>
  <si>
    <t>PERIODO 02/2018 - CTA. 02</t>
  </si>
  <si>
    <t>PERIODO 05/2018</t>
  </si>
  <si>
    <t>ROMA</t>
  </si>
  <si>
    <t>CONTENEDOR</t>
  </si>
  <si>
    <t>PERIODO 03/2018 - CTA. 01</t>
  </si>
  <si>
    <t>2°ETAPA: CUOTA 3</t>
  </si>
  <si>
    <t>PERIODO 06/2018</t>
  </si>
  <si>
    <t>STARKLOFF</t>
  </si>
  <si>
    <t>TRABAJOS POR PROYECCION</t>
  </si>
  <si>
    <t>CASA BLANCO - MANGUERAS - CAJAS</t>
  </si>
  <si>
    <t>PERIODO 03/2018 - CTA. 02</t>
  </si>
  <si>
    <t>IMPUESTO MUNICIPAL - 1°SEMESTRE 2018</t>
  </si>
  <si>
    <t>IMPUESTO MUNICIPAL - CUOTA 07/2018</t>
  </si>
  <si>
    <t>IMPUESTO MUNICIPAL - AJUSTE 01/2018</t>
  </si>
  <si>
    <t>ERRAMAR</t>
  </si>
  <si>
    <t>COMPRA - 2 ROLLETES, 2 RIELES, 6 CARROS, 2 CANDADOS</t>
  </si>
  <si>
    <t>HIERROMETAL</t>
  </si>
  <si>
    <t>COMPRA BANDEJA EDIFICIO (TORNILLOS, ELECTRODOS, DISCO, ETC)</t>
  </si>
  <si>
    <t>2199/2222</t>
  </si>
  <si>
    <t>2 ASENSORES ( A CTA, SALDO EN FEB 2019)</t>
  </si>
  <si>
    <t>PERIODO 07/2018</t>
  </si>
  <si>
    <t>IMPUESTO MUNICIPAL - CUOTA 08/2018</t>
  </si>
  <si>
    <t>IMPUESTO MUNICIPAL - AJUSTE 02/2018</t>
  </si>
  <si>
    <t>PERIODO 04/2018 - CTA. 01</t>
  </si>
  <si>
    <t>PINTURA</t>
  </si>
  <si>
    <t>PINTURA VARIOS</t>
  </si>
  <si>
    <t>PERIODO 08/2018</t>
  </si>
  <si>
    <t>ENTRADA DE AGUA (GARRIDO)</t>
  </si>
  <si>
    <t>MANETTA E HIJOS</t>
  </si>
  <si>
    <t>ALAMBRE</t>
  </si>
  <si>
    <t>MACROFER - FERRETERIA PARA ELECTRICIDAD</t>
  </si>
  <si>
    <t>FACTURA JULIO</t>
  </si>
  <si>
    <t>FACTURA AGOSTO</t>
  </si>
  <si>
    <t>LATEX, RODILLO, PINCEL, LIJAS, ETC</t>
  </si>
  <si>
    <t>ACOPIO - FIJADOR - MURO BLANCO</t>
  </si>
  <si>
    <t>DEL 25/08/18 AL 25/08/2019</t>
  </si>
  <si>
    <t>PERIODO 04/2018 - CTA. 02</t>
  </si>
  <si>
    <t>2º ETAPA: CUOTA 6</t>
  </si>
  <si>
    <t>PERIODO 09/2018</t>
  </si>
  <si>
    <t xml:space="preserve"> A CTA - PUERTAS CHAPA GALVANIZADAS Y CARPINTERIA DE ALUMINIO</t>
  </si>
  <si>
    <t>PERIODO 05/2018 - CTA. 01</t>
  </si>
  <si>
    <t>AGROMAN NEGRO</t>
  </si>
  <si>
    <t xml:space="preserve">ROMA </t>
  </si>
  <si>
    <t>CONTENEDORES</t>
  </si>
  <si>
    <t>FIJADOR, DURAMAX, CINTA, LIJA, ETC.</t>
  </si>
  <si>
    <t>MATERIALES DE CONTRUCCIÓN</t>
  </si>
  <si>
    <t>TASA POR SERVICIOS VARIOS</t>
  </si>
  <si>
    <t>3 BOLSAS DE YESO</t>
  </si>
  <si>
    <t>IMPUESTO MUNICIPAL - CUOTA 09 Y 10/2018</t>
  </si>
  <si>
    <t>OK 26/10/18</t>
  </si>
  <si>
    <t>CARPETAS VENTA CORRALON</t>
  </si>
  <si>
    <t>SANITARIOS SANCHEZ</t>
  </si>
  <si>
    <t>ARTICULOS VARIOS</t>
  </si>
  <si>
    <t>COLORANTE</t>
  </si>
  <si>
    <t>OK 5/11</t>
  </si>
  <si>
    <t>3 CONTENEDORES</t>
  </si>
  <si>
    <t>IMPUESTO MUNICIPAL - CUOTA 11/2018</t>
  </si>
  <si>
    <t>PERIODO 05/2018 - CTA. 02</t>
  </si>
  <si>
    <t>PERIODO 10/2018</t>
  </si>
  <si>
    <t>MATERIALES VARIOS</t>
  </si>
  <si>
    <t>/</t>
  </si>
  <si>
    <t>REVESTA</t>
  </si>
  <si>
    <t>CASA BLANCO - MATERIALES VARIOS</t>
  </si>
  <si>
    <t>PALO Y CEPILLO</t>
  </si>
  <si>
    <t>PERIODO 11/2018</t>
  </si>
  <si>
    <t>PROYECTO Y DIRECCION INSTALACION MONTACOCHE</t>
  </si>
  <si>
    <t>2°ETAPA: A CTA. CUOTA 9</t>
  </si>
  <si>
    <t>3 CONTENEDORES GRNADES</t>
  </si>
  <si>
    <t>PERIODO 06/2018 - CTA. 01</t>
  </si>
  <si>
    <t>IMPUESTO MUNICIPAL - CUOTA 12/2018</t>
  </si>
  <si>
    <t xml:space="preserve">KEROSEN P/MANCHAS </t>
  </si>
  <si>
    <t>PERIODO 12/2018</t>
  </si>
  <si>
    <t>DRAP</t>
  </si>
  <si>
    <t>MATERIALES COCHERA</t>
  </si>
  <si>
    <t>VARIOS</t>
  </si>
  <si>
    <t>ABETE Y CIA SA - TOPES COCHERA</t>
  </si>
  <si>
    <t>LA CASA DE LOS PEGAMENTOS</t>
  </si>
  <si>
    <t>ALCOCHOL P/COHERA</t>
  </si>
  <si>
    <t>PERIODO 06/2018 - CTA. 02</t>
  </si>
  <si>
    <t>IMPUESTO MUNICIPAL - CUOTA 01/2019</t>
  </si>
  <si>
    <t>DIVISION COCHERA</t>
  </si>
  <si>
    <t>PERIODO 01/2019</t>
  </si>
  <si>
    <t>ok AL 24/1/19</t>
  </si>
  <si>
    <t>SELLADOR MEDIANERAS</t>
  </si>
  <si>
    <t>PEGAMENTO TACOS COCHERAS</t>
  </si>
  <si>
    <t>PERIODO 01/2019 - CTA. 01</t>
  </si>
  <si>
    <t>IMPUESTO MUNICIPAL - CUOTA 02/2019</t>
  </si>
  <si>
    <t>IMPUESTO INMOBILIARIO - PAGO ANUAL 2019</t>
  </si>
  <si>
    <t>PERIODO 02/2019</t>
  </si>
  <si>
    <t>PERIODO 01/2019 - CTA. 02</t>
  </si>
  <si>
    <t>CENTROSIDER</t>
  </si>
  <si>
    <t>IMPUESTO MUNICIPAL - CUOTA 03/2019</t>
  </si>
  <si>
    <t>FEBRERO DE 2019</t>
  </si>
  <si>
    <t>4 CONTENEDORES</t>
  </si>
  <si>
    <t>PERIODO 03/2019</t>
  </si>
  <si>
    <t>TROCHE DANIEL</t>
  </si>
  <si>
    <t>DANIEL TROCHE - 1ºPAGO ACOPIO</t>
  </si>
  <si>
    <t>IMPUESTO MUNICIPAL - CUOTA 04/2019</t>
  </si>
  <si>
    <t>PERIODO 02/2019 - CTA. 01</t>
  </si>
  <si>
    <t>PERIODO 04/2019</t>
  </si>
  <si>
    <t>MARZO DE 2019</t>
  </si>
  <si>
    <t>HOLLAS VENTANA</t>
  </si>
  <si>
    <t>CODOS P/VENTILACION BAÑOS</t>
  </si>
  <si>
    <t>55 VALVULAS DESCARGA Y 55 MONOCOMANDO DUCHA</t>
  </si>
  <si>
    <t>MADERAS MISIONES</t>
  </si>
  <si>
    <t>FENONLICOS ASCENSOR</t>
  </si>
  <si>
    <t>CAÑOS P/VENTILACIONES</t>
  </si>
  <si>
    <t>HERRAJES EL GREMIO - VISAGRAS PUERTA ASCENSOR</t>
  </si>
  <si>
    <t>CAÑO PVC, TUBO MH Y CODO 50...</t>
  </si>
  <si>
    <t>CRESPO CARLOS RODOLFO</t>
  </si>
  <si>
    <t>IMPUESTO MUNICIPAL - CUOTA 05/2019</t>
  </si>
  <si>
    <t>PERIODO 02/2019 - CTA. 02</t>
  </si>
  <si>
    <t>BAZAN - COPIA DE LLAVE</t>
  </si>
  <si>
    <t>200 MALLAS 10*10</t>
  </si>
  <si>
    <t>TUBOS MACHOS/HEMBRA, PRECINTOS</t>
  </si>
  <si>
    <t>TAPON 1/2 PP Y PAPA 3/4 PP</t>
  </si>
  <si>
    <t>CODO A 45º20 AZUL Y TAPON 1/2 PP</t>
  </si>
  <si>
    <t>FS FERRETERIA</t>
  </si>
  <si>
    <t>VARILLAS, .TUERCAS, MECHAS. ETC</t>
  </si>
  <si>
    <t>DANIEL TROCHE - Nº1</t>
  </si>
  <si>
    <t>TAPA PVC Y TUBO MH</t>
  </si>
  <si>
    <t>PROLONGACION P/SOPORTES</t>
  </si>
  <si>
    <t>CODO A 45º20 AZUL FUSION</t>
  </si>
  <si>
    <t>PERIODO 05/2019</t>
  </si>
  <si>
    <t>PERIODO 03/2019 -  CTA. 01</t>
  </si>
  <si>
    <t>IMPUESTO MUNICIPAL - CUOTA 06/2019</t>
  </si>
  <si>
    <t>CASA FARINA</t>
  </si>
  <si>
    <t>COMPRAS VARIAS (21/3 AL 11/6)</t>
  </si>
  <si>
    <t>LA ESQUINA DEL PINO - CHIFONNIER 4 CAJONES</t>
  </si>
  <si>
    <t>MASCARILLA Y ANTEOJOS</t>
  </si>
  <si>
    <t>WEBER IMPERMEABLE</t>
  </si>
  <si>
    <t>TUBO MH 50 X 3.00 AWADUCT 1016</t>
  </si>
  <si>
    <t>QUIMICA DEM</t>
  </si>
  <si>
    <t>TEE NORMAL 25 AZUL FUSION</t>
  </si>
  <si>
    <t>PISTOLA APLICADORA AMARILLA</t>
  </si>
  <si>
    <t>2 CONTENEDORES ROMA</t>
  </si>
  <si>
    <t xml:space="preserve">CERA P/LAJA NEGRA </t>
  </si>
  <si>
    <t>OK AL 24/6/19 $23.597.684,48 U$S 1.502.516,71</t>
  </si>
  <si>
    <t>BUJE RED 40X32 AZUL FUSION</t>
  </si>
  <si>
    <t>PERSIANA PLASTICA MOVIL</t>
  </si>
  <si>
    <t>CAÑO PVC, TUBO MACHO</t>
  </si>
  <si>
    <t>CODO-COVERTHOR BCO.-BUJE RED-MANOMETRO</t>
  </si>
  <si>
    <t>FERROKER-LINE BLANCO-MADAGASCAR-INDIA-K2</t>
  </si>
  <si>
    <t>TROCHE DANIEL JOSE - Nº 2  - INST SAN</t>
  </si>
  <si>
    <t>RAMAL 63 A 45- TUBO MH 110</t>
  </si>
  <si>
    <t>TAPA 160 PVC TUBOFORTE</t>
  </si>
  <si>
    <t>TAPON 1/2 PP Y CODO A 45º 20 AZUL FUSION</t>
  </si>
  <si>
    <t>PRECINTO 4.6 X 300</t>
  </si>
  <si>
    <t>CODO 50 A 90º HH 2046 AWADUCT</t>
  </si>
  <si>
    <t>PERIODO 03/2019 - CTA. 02</t>
  </si>
  <si>
    <t>UNION DOBLE - ROSCA</t>
  </si>
  <si>
    <t>PERSIANA-VALVULA-TUBO MACHO-UNION DOBLE</t>
  </si>
  <si>
    <t>CODO HH BCE. Y ROSCA C/ TUERCA</t>
  </si>
  <si>
    <t>CODO HH - Y ROSCA C/ TUERCA</t>
  </si>
  <si>
    <t>REVESTA-THINER-RODILLO-PINCEL-CIN</t>
  </si>
  <si>
    <t xml:space="preserve">PERIODO 06/2019 </t>
  </si>
  <si>
    <t>REVESTA GRIS - LIJA</t>
  </si>
  <si>
    <t>22/07/2019</t>
  </si>
  <si>
    <t>BUJE RED 75X50 AZUL FUSION</t>
  </si>
  <si>
    <t>BUJE - CODO - UNION - PROLONGACION</t>
  </si>
  <si>
    <t xml:space="preserve">CINTA - ADHESIL </t>
  </si>
  <si>
    <t>CODO-BOQUILLA-BUJE-TUBE-FLEXIBLE</t>
  </si>
  <si>
    <t>ABETE Y CIA SA</t>
  </si>
  <si>
    <t>RIEGO TECNOCOM</t>
  </si>
  <si>
    <t>PORCELANATO</t>
  </si>
  <si>
    <t>ARTICULOS LIMPIEZA</t>
  </si>
  <si>
    <t>PASACERA Y GUANTES LATEX</t>
  </si>
  <si>
    <t>CODO - ROSCA</t>
  </si>
  <si>
    <t>TROCHE DANIEL JOSE - Nº 3  - INST SAN</t>
  </si>
  <si>
    <t>PERIODO 04/2019 - CTA. 01</t>
  </si>
  <si>
    <t>26/08/2019</t>
  </si>
  <si>
    <t>CODO-SOPORTES-TORNILLOS-TARUGOS</t>
  </si>
  <si>
    <t>27/08/2019</t>
  </si>
  <si>
    <t>CALEFACCION &amp; CONFORT</t>
  </si>
  <si>
    <t>TUBO-PANEL-TERMOSTATO-COLECTOR-CABEZAL 1º CTA.</t>
  </si>
  <si>
    <t>29/08/2019</t>
  </si>
  <si>
    <t>VALVULA DESCARGA-TAPA TECLA CUADRADA</t>
  </si>
  <si>
    <t>BUJE RED - TEE NORMAL</t>
  </si>
  <si>
    <t>BERTELLO E HIJOS</t>
  </si>
  <si>
    <t>CONTENEDOR - 3 SERVICIOS</t>
  </si>
  <si>
    <t>PROLONGACION - BUJES RED - TUBO</t>
  </si>
  <si>
    <t>TAPA PVC - UNION NORMAL</t>
  </si>
  <si>
    <t>TROCHE DANIEL - COMPLEMENTARIO LLAVES DE PASO</t>
  </si>
  <si>
    <t>SEGURO ANUAL (25/08/19 - 25/08/20)</t>
  </si>
  <si>
    <t>TROCHE DANIEL - CERT. Nº 4 - INST. SANITARIA</t>
  </si>
  <si>
    <t>UNION-TEE NORMAL-BUJE-CODO-CAÑO</t>
  </si>
  <si>
    <t>TROCHE DANIEL - COMPLEMENTARIO P.B.</t>
  </si>
  <si>
    <t>PERIODO 04/2019 - CTA. 02</t>
  </si>
  <si>
    <t>TUBO-CODO-BUJE-TAPON-DISCO</t>
  </si>
  <si>
    <t>16/09/2019</t>
  </si>
  <si>
    <t>PERIODOS 07 Y 08/2019</t>
  </si>
  <si>
    <t>18/09/2019</t>
  </si>
  <si>
    <t>PERIODO 09/2019</t>
  </si>
  <si>
    <t>20/09/2019</t>
  </si>
  <si>
    <t>CAMBIO LIMITE FINAL SUBIR</t>
  </si>
  <si>
    <t>CAÑO-CODO-TUBOS-MECHA-VARILLA-ETC</t>
  </si>
  <si>
    <t>CODO - BUJE RED</t>
  </si>
  <si>
    <t>DISCO-TARUGO-TORNILLO-GRAMPA-CODO</t>
  </si>
  <si>
    <t>TRABAJOS DE MAMPOSTERIA - CUOTA Nº 1</t>
  </si>
  <si>
    <t>24/09/2019</t>
  </si>
  <si>
    <t>TUBO-VALVULA-UNION-CODO-BUJE</t>
  </si>
  <si>
    <t>25/09/2019</t>
  </si>
  <si>
    <t>PROLONGACION-SOPORTE-UNION DOBLE</t>
  </si>
  <si>
    <t>DUCHA-MEZCLADORA-KIT 4 DUCHAS</t>
  </si>
  <si>
    <t>ISOPOR PE 20 KG</t>
  </si>
  <si>
    <t>26/09/2019</t>
  </si>
  <si>
    <t>CONTENEDORES - 3 SRVICIOS</t>
  </si>
  <si>
    <t>ROTOMOLDEO M&amp;M</t>
  </si>
  <si>
    <t>AGUAS GRISES Y 5 TANQUES - A CUENTA</t>
  </si>
  <si>
    <t>PERIODO 05/2019 - CTA. 01</t>
  </si>
  <si>
    <t>15/10/2019</t>
  </si>
  <si>
    <t>CODO-TEE-CURVA-BUJE-BOQUILLA</t>
  </si>
  <si>
    <t>17/10/2019</t>
  </si>
  <si>
    <t>CARELLI VICTOR DAMIAN</t>
  </si>
  <si>
    <t>INST. LOSA RADIANTE MANO DE OBRA (TOTAL:$ 604500+IVA DE LA 1ºETAPA)</t>
  </si>
  <si>
    <t>CERTIFICADO Nº 5 - INST. SANITARIA</t>
  </si>
  <si>
    <t>18/10/2019</t>
  </si>
  <si>
    <t>TRABAJOS DE MAMPOSTERIA - CUOTA Nº 2</t>
  </si>
  <si>
    <t>23/10/2019</t>
  </si>
  <si>
    <t>TUBO-PANEL-TERMOSTATO-COLECTOR-CABEZAL 2ª CTA.</t>
  </si>
  <si>
    <t>29/10/2019</t>
  </si>
  <si>
    <t>FIBRADRETE FYM POLIPROPILENO</t>
  </si>
  <si>
    <t>MACROFER - VARILLAS, TUERCAS, TACOS</t>
  </si>
  <si>
    <t>EL COLONO - TANZA X 1 KG</t>
  </si>
  <si>
    <t>RE-SA - ROSACA C/TUERCA</t>
  </si>
  <si>
    <t>CURVA-CODO-TUBO-VALV-BUJE-BOQUILLA-PROLONG</t>
  </si>
  <si>
    <t>ANGULO 1" 1/2 X 3/16</t>
  </si>
  <si>
    <t>TRABAJOS DE MAMPOSTERIA - CUOTA Nº 3</t>
  </si>
  <si>
    <t>UNION DOBLE - TUBO MACHO</t>
  </si>
  <si>
    <t>TUBO-PANEL-TERMOSTATO-COLECTOR-CABEZAL 3ª CTA.</t>
  </si>
  <si>
    <t>CAÑOS MONTANTES CALEFACCION - 1º PAGO</t>
  </si>
  <si>
    <t>*Pte factura de $250000 para enero</t>
  </si>
  <si>
    <t>CERTIFICADO Nº 6 - INST. SANITARIA</t>
  </si>
  <si>
    <t>PERIODO 05/2019 - CTA. 02</t>
  </si>
  <si>
    <t>21/11/2019</t>
  </si>
  <si>
    <t>PERIODO 11/2019</t>
  </si>
  <si>
    <t>GRAMPA Y SOPORTE</t>
  </si>
  <si>
    <t>GRAMPA AMURAR 110 X 50</t>
  </si>
  <si>
    <t>CODO 110 A 45°</t>
  </si>
  <si>
    <t>CINTA P/MONTAJE 10 MTS.</t>
  </si>
  <si>
    <t>CTA. CTA. NOVIEMBRE 2019</t>
  </si>
  <si>
    <t>CTA. CTE. DICIEMBRE 2019</t>
  </si>
  <si>
    <t>ADHESIVO BLANCO</t>
  </si>
  <si>
    <t>TRABAJOS DE MAMPOSTERIA - CUOTA Nº 4</t>
  </si>
  <si>
    <t>PERIODO 10/2019</t>
  </si>
  <si>
    <t>13/12/2019</t>
  </si>
  <si>
    <t>7 CONTENEDORES GRANDES Y 1 CHICO</t>
  </si>
  <si>
    <t>14/12/2019</t>
  </si>
  <si>
    <t>CAÑOS MONTANTES CALEFACCION - 2º PAGO</t>
  </si>
  <si>
    <t>16/12/2019</t>
  </si>
  <si>
    <t>8 FENOLICOS</t>
  </si>
  <si>
    <t>23/12/2019</t>
  </si>
  <si>
    <t>ABETE Y COMBUSTIBLE</t>
  </si>
  <si>
    <t>24/12/2019</t>
  </si>
  <si>
    <t>510/511</t>
  </si>
  <si>
    <t>DIF. DUCHAS ANTIVABALICAS</t>
  </si>
  <si>
    <t xml:space="preserve">M. COSTO Nª6 </t>
  </si>
  <si>
    <t>TRABAJOS DE MAMPOSTERIA - CUOTA Nº 5</t>
  </si>
  <si>
    <t>COMPRA MATERIALES VARIOS</t>
  </si>
  <si>
    <t>PISO SALA TANQUES SOTANO</t>
  </si>
  <si>
    <t>13/01/2020</t>
  </si>
  <si>
    <t>23/01/2020</t>
  </si>
  <si>
    <t>PERIODO 01/2020</t>
  </si>
  <si>
    <t>24/01/2020</t>
  </si>
  <si>
    <t>ENERO DE 2020</t>
  </si>
  <si>
    <t>30/1/2020</t>
  </si>
  <si>
    <t>COMPRA VARIOS</t>
  </si>
  <si>
    <t>LLAVE DE PASO</t>
  </si>
  <si>
    <t>GRIFERIA BAÑOS - COCINA</t>
  </si>
  <si>
    <t>PAGO A CTA. INSTALACION EQUIPOS AIRES</t>
  </si>
  <si>
    <t>CERTIFICADO Nº7 - INST. SANITARIA</t>
  </si>
  <si>
    <t xml:space="preserve">EDEA </t>
  </si>
  <si>
    <t>PERIODO 01/2020 - CTA. 01</t>
  </si>
  <si>
    <t>TRABAJOS DE MAMPOSTERIA - CUOTA Nº6</t>
  </si>
  <si>
    <t>17/2/2020</t>
  </si>
  <si>
    <t>INST. LOSA RADIANTE MANO DE OBRA (SALDO DE LA 1ºETAPA)</t>
  </si>
  <si>
    <t>M. COSTO Nº 7</t>
  </si>
  <si>
    <t xml:space="preserve">LANDA </t>
  </si>
  <si>
    <t>TACURU X 4LT.</t>
  </si>
  <si>
    <t>21/02/2020</t>
  </si>
  <si>
    <t>PERIODO 02/2020</t>
  </si>
  <si>
    <t>25/2/2020</t>
  </si>
  <si>
    <t>26/02/2020</t>
  </si>
  <si>
    <t>PERIODO 12/2019</t>
  </si>
  <si>
    <t>28/02/2020</t>
  </si>
  <si>
    <t>FEBRERO DE 2020</t>
  </si>
  <si>
    <t>IMPUESTO INMOBILIARIO - PAGO ANUAL 2020</t>
  </si>
  <si>
    <t>PERIODO 01/2020 - CTA. 02</t>
  </si>
  <si>
    <t>IMPUESTO MUNICIPAL - CTAS. 7-8-9-10-11-12/2019 Y 1-2-3/2020</t>
  </si>
  <si>
    <t>TRABAJOS DE MAMPOSTERIA - CUOTA Nº7</t>
  </si>
  <si>
    <t>DECORADORA</t>
  </si>
  <si>
    <t>1ºETAPA - ( A Cta.) TOTAL:$280.000</t>
  </si>
  <si>
    <t>17/3/2020</t>
  </si>
  <si>
    <t>GIRSU - 12/2019</t>
  </si>
  <si>
    <t>64 DESAGUES LINEAL 70 CM BURBUJA IDEAL</t>
  </si>
  <si>
    <t>13/4</t>
  </si>
  <si>
    <t>TRABAJOS DE MAMPOSTERIA - CUOTA Nº8</t>
  </si>
  <si>
    <t>17/4/2020</t>
  </si>
  <si>
    <t>PERIODO 02/2020 - CTA.01</t>
  </si>
  <si>
    <t>1806/1643/1423</t>
  </si>
  <si>
    <t>55 INODOROS, BIDET Y SUS TAPAS</t>
  </si>
  <si>
    <t>TRABAJOS DE MAMPOSTERIA - CUOTA Nº9</t>
  </si>
  <si>
    <t>13/5/2020</t>
  </si>
  <si>
    <t>PERIODO 04/2020</t>
  </si>
  <si>
    <t>Ok 19/5/2020 $37.691.627,25 + DIF OSSE $254.43</t>
  </si>
  <si>
    <t>SAYCO SACIF</t>
  </si>
  <si>
    <t>LAVATORIO, CANILLA, DEPOSITO ETC.</t>
  </si>
  <si>
    <t xml:space="preserve">MATERIALES VARIOS </t>
  </si>
  <si>
    <t>18/05/2020</t>
  </si>
  <si>
    <t>PERIODO 02/2020 - CTA.02</t>
  </si>
  <si>
    <t>29/5/2020</t>
  </si>
  <si>
    <t>PERIODO 03/2020</t>
  </si>
  <si>
    <t>PERIODO 05/2020</t>
  </si>
  <si>
    <t>MATERIALES RED INCENDIO</t>
  </si>
  <si>
    <t>TUBO MH 40 HOJA SIERRA</t>
  </si>
  <si>
    <t>PERIODO 03/2020 - CTA. 01</t>
  </si>
  <si>
    <t>IMPUESTO MUNICIPAL - CUOTA 06/2020</t>
  </si>
  <si>
    <t>23/6/2020</t>
  </si>
  <si>
    <t>GASTOS VARIOS</t>
  </si>
  <si>
    <t>NAFTA</t>
  </si>
  <si>
    <t>CUOTA AÑO 2020</t>
  </si>
  <si>
    <t>26/6/2020</t>
  </si>
  <si>
    <t>LADRILLO 12X18X33</t>
  </si>
  <si>
    <t>HIERRO 6 MM.</t>
  </si>
  <si>
    <t>26/62020</t>
  </si>
  <si>
    <t>CAL, HIERRO 6 MM, TACURU Y LADRILLO 8X18X33</t>
  </si>
  <si>
    <t>FIRE SEC SRL</t>
  </si>
  <si>
    <t>GRAMPAS - RED DE INCENDIO</t>
  </si>
  <si>
    <t>PERIODO 03/2020 - CTA. 02</t>
  </si>
  <si>
    <t>13/7/2020</t>
  </si>
  <si>
    <t>IMPUESTO MUNICIPAL - CUOTA 07/2020</t>
  </si>
  <si>
    <t>20/7/2020</t>
  </si>
  <si>
    <t>DEL CENTRO - NORTON TELA</t>
  </si>
  <si>
    <t>22/7/2020</t>
  </si>
  <si>
    <t>EL BUFALO BULONERA - TACOS</t>
  </si>
  <si>
    <t>30/07/2020</t>
  </si>
  <si>
    <t>PERIODO 07/2020</t>
  </si>
  <si>
    <t>PERIODO 06/2020</t>
  </si>
  <si>
    <t>MATERIALES INCENDIO</t>
  </si>
  <si>
    <t>GAS</t>
  </si>
  <si>
    <t>FAC. PTE. X $137.000</t>
  </si>
  <si>
    <t>OBRA GAS</t>
  </si>
  <si>
    <t>YA ENTREGARON FACTURA $100.000 + $137.000 (20/10)</t>
  </si>
  <si>
    <t>DISCO, TUBO MH</t>
  </si>
  <si>
    <t>IMPUESTO MUNICIPAL - CUOTA 08/2020</t>
  </si>
  <si>
    <t>PERIODO 04/2020 - CTA. 01</t>
  </si>
  <si>
    <t>TASA POR SERVICIO DE VALET (DESCARGA)</t>
  </si>
  <si>
    <t>18/08/2020</t>
  </si>
  <si>
    <t>3 PALETS LADRILLOS 12X18X33</t>
  </si>
  <si>
    <t>19/8/2020</t>
  </si>
  <si>
    <t>226/7 FACTURA 19/9</t>
  </si>
  <si>
    <t>PAGO A CTA. MATERIALES RED DE INCENDIOS</t>
  </si>
  <si>
    <t>20/8/2020</t>
  </si>
  <si>
    <t>PERIODO 08/2020</t>
  </si>
  <si>
    <t>12 M. DE HORMIGON P/TERRAZA</t>
  </si>
  <si>
    <t>25/08/2020</t>
  </si>
  <si>
    <t>MOREYRA ROLANDO</t>
  </si>
  <si>
    <t>RED DE INCENDIO: MATERIALES</t>
  </si>
  <si>
    <t>27/08/2020</t>
  </si>
  <si>
    <t>28/08/2020</t>
  </si>
  <si>
    <t>RED DE INCENDIO: FLETE</t>
  </si>
  <si>
    <t>SEGURO ANUAL (25/08/20 - 25/08/21)</t>
  </si>
  <si>
    <t>CEMENTO, CAL, TACURU, HIERRO, ALAMBRE</t>
  </si>
  <si>
    <t>YESO, INTERIOR,COLORANTE, ETC.</t>
  </si>
  <si>
    <t>226/7 - FACTURA 19/9</t>
  </si>
  <si>
    <t>FAC. PTE. (DEL 5/9 AL 10/12) X $679.370</t>
  </si>
  <si>
    <t>LOZA RADIANTE: MATERIALES. 6 CALDERAS ARISTON</t>
  </si>
  <si>
    <t>CONSORTI - SILVA</t>
  </si>
  <si>
    <t>A CTA. ELECTRICIDAD CON MATERIALES</t>
  </si>
  <si>
    <t>FAC. PTE. (DEL 10/10 AL 10/01) X $838.440</t>
  </si>
  <si>
    <t>ACCESORIOS SALA DE CALDERAS</t>
  </si>
  <si>
    <t>PERIODO 04/2020 - LIQ. 02</t>
  </si>
  <si>
    <t>IMPUESTO MUNICIPAL - CUOTA 09/2020</t>
  </si>
  <si>
    <t>17/09/2020</t>
  </si>
  <si>
    <t>EL COLONO / EDEN - GASTOS VARIOS</t>
  </si>
  <si>
    <t>22/9/2020</t>
  </si>
  <si>
    <t>DESAGUE LINEAL REGULADOR</t>
  </si>
  <si>
    <t>16/09/2020</t>
  </si>
  <si>
    <t>LADRILLO HUEVO, HIERRO 8 MM</t>
  </si>
  <si>
    <t>23/09/2020</t>
  </si>
  <si>
    <t>28 CODOS, 6 CAÑOS</t>
  </si>
  <si>
    <t>FLETE FIRE SEC SRL</t>
  </si>
  <si>
    <t>29/09/2020</t>
  </si>
  <si>
    <t>LADRILLO 8 X 18, PLASTICOR, HIERRO 8 MM</t>
  </si>
  <si>
    <t>LADRILLO 8 X18, 12 X 18, CAL, HIERRO 6 MM</t>
  </si>
  <si>
    <t>NAFTA, TONILLOS</t>
  </si>
  <si>
    <t>PERIODO 05/20 LIQ. 1</t>
  </si>
  <si>
    <t>ARENA</t>
  </si>
  <si>
    <t>13/10/2020</t>
  </si>
  <si>
    <t>PINTURERIA</t>
  </si>
  <si>
    <t>DEL CENTRO - ALBALUX Y FONDO</t>
  </si>
  <si>
    <t>IMPUESTO MUNICIPAL - CUOTA 10/2020</t>
  </si>
  <si>
    <t>19/10/2020</t>
  </si>
  <si>
    <t>PERIODO 09/2020</t>
  </si>
  <si>
    <t>16/10/2020</t>
  </si>
  <si>
    <t>20/10</t>
  </si>
  <si>
    <t>RED DE INCENDIO: MATERIALES EL BUFALO TACO</t>
  </si>
  <si>
    <t>20/10/2020</t>
  </si>
  <si>
    <t>PAGO A CUENTA - VARIOS (SALDO $1.300.000 + IVA)</t>
  </si>
  <si>
    <t>PLOMERIA TERRAZA</t>
  </si>
  <si>
    <t>PLOMERIA TROCHE - CAÑERIAS AGUA CALIENTE - PROVISION AISLACIONES ELASTOMETRICAS P/FORRADO CAÑERIAS</t>
  </si>
  <si>
    <t>21/10/2020</t>
  </si>
  <si>
    <t>PRODUCTOS QUIMICOS</t>
  </si>
  <si>
    <t>23/10/2020</t>
  </si>
  <si>
    <t>CEMENTO, CAL, PALLET, FLETE</t>
  </si>
  <si>
    <t>27/10/2020</t>
  </si>
  <si>
    <t>GAS OIL (TICKETS A VARIOS)</t>
  </si>
  <si>
    <t>28/10/2020</t>
  </si>
  <si>
    <t>RED DE INCENDIO: MOREYRA: ELECTRODOS, DISCOS</t>
  </si>
  <si>
    <t>RED DE INCENDIO MATERIALES</t>
  </si>
  <si>
    <t>29/10/2020</t>
  </si>
  <si>
    <t>DEL CENTRO PINTURERIAS</t>
  </si>
  <si>
    <t>15 CAL X 2 KG.</t>
  </si>
  <si>
    <t>RED DE INCENDIO MATERIALES: URBANIA EQUIPAMIENTO P/HOGAR</t>
  </si>
  <si>
    <t>RED DE INCENDIO MATERIALES: 123.22 M2 CUCINA 28X45</t>
  </si>
  <si>
    <t>PERIODO 05/20 - LIQ. 2</t>
  </si>
  <si>
    <t>LADRILLOS 18X18/12X18, HIERRO 8 Y6, CAL, CEMENTO</t>
  </si>
  <si>
    <t>RED DE INCENDIO MATERIALES: 40,4 M2 CUCINA 28X45</t>
  </si>
  <si>
    <t>FACTURAS VARIAS</t>
  </si>
  <si>
    <t>IMPUESTO MUNICIPAL - CUOTA 11/2020</t>
  </si>
  <si>
    <t>16/11/2020</t>
  </si>
  <si>
    <t>RODILLO, ESM SINTETICO, DILUYENTE</t>
  </si>
  <si>
    <t>IMPUESTO MUNICIPAL - CUOTA 04 y 05/2020</t>
  </si>
  <si>
    <t>18/11/2020</t>
  </si>
  <si>
    <t>MATERIALES INCENDIO SOTANO</t>
  </si>
  <si>
    <t>20/11/2020</t>
  </si>
  <si>
    <t>GIRSU/ENOSUR - AJUSTE 2019</t>
  </si>
  <si>
    <t>24/11/2020</t>
  </si>
  <si>
    <t>25/11/2020</t>
  </si>
  <si>
    <t>CUCINA ARANCIO</t>
  </si>
  <si>
    <t>PERIODO 06/2020 - CTA. 01</t>
  </si>
  <si>
    <t>EL BUFALO BULONERA - CINTA</t>
  </si>
  <si>
    <t>IMPUESTO MUNICIPAL - CUOTA 12/2020</t>
  </si>
  <si>
    <t>PERIODO 11/2020</t>
  </si>
  <si>
    <t>21/12/2020</t>
  </si>
  <si>
    <t>MATERIALES: FACTURAS VARIAS</t>
  </si>
  <si>
    <t>22/12/2020</t>
  </si>
  <si>
    <t>GASOIL Y ABETE</t>
  </si>
  <si>
    <t>PERIODO 12/2020</t>
  </si>
  <si>
    <t>29/12/2020</t>
  </si>
  <si>
    <t>POLIPROPILENO X 600</t>
  </si>
  <si>
    <t>CEMENTO</t>
  </si>
  <si>
    <t>PERIODO 06/2020 - CTA 02</t>
  </si>
  <si>
    <t>18/1/2021</t>
  </si>
  <si>
    <t>CAL, LADRILLO 12X18X33, ISOCRET, CEMENTO</t>
  </si>
  <si>
    <t>IMPUESTO MUNICIPAL - CUOTA 01/2021</t>
  </si>
  <si>
    <t>22/1/2021</t>
  </si>
  <si>
    <t>PERIODO 01/2021</t>
  </si>
  <si>
    <t>25/1/2021</t>
  </si>
  <si>
    <t>LADRILLOS, CEMENTO, CLAVOS</t>
  </si>
  <si>
    <t>6 TANQUES 600 L Y 1 DE 2500L</t>
  </si>
  <si>
    <t>27/1/2021</t>
  </si>
  <si>
    <t>RED DE INCENDIO MATERIALES: VARIOS</t>
  </si>
  <si>
    <t>28/1/2021</t>
  </si>
  <si>
    <t>MATERIALES SALA DE TANQUES</t>
  </si>
  <si>
    <t>HOSPITAL ITALIANO - CIRUGIA ROBOTICA</t>
  </si>
  <si>
    <t>HONORIOS MEDICOS CIRUGIA</t>
  </si>
  <si>
    <t>COMPRA MATERIALES VS.</t>
  </si>
  <si>
    <t>PERIODO 01/21 - CTA. 01</t>
  </si>
  <si>
    <t>14/2/2021</t>
  </si>
  <si>
    <t>IMPUESTO MUNICIPAL - CUOTA 02/2021</t>
  </si>
  <si>
    <t>16/2/2021</t>
  </si>
  <si>
    <t>REGALOS EMPRESARIALES</t>
  </si>
  <si>
    <t>20/2/21</t>
  </si>
  <si>
    <t>EL BUFALO</t>
  </si>
  <si>
    <t>21/2/21</t>
  </si>
  <si>
    <t>ERRIQUEZ SALA DE TANQUES</t>
  </si>
  <si>
    <t>22/2/2021</t>
  </si>
  <si>
    <t>PERIODO 02/2021</t>
  </si>
  <si>
    <t>23/2/2021</t>
  </si>
  <si>
    <t>596/5767/5859</t>
  </si>
  <si>
    <t>3 FACTURAS VARIAS</t>
  </si>
  <si>
    <t>CASA JULIANA</t>
  </si>
  <si>
    <t>IMP. INMOBILIARIO - AÑO 2021</t>
  </si>
  <si>
    <t>25/2/2021</t>
  </si>
  <si>
    <t>CEMENTO Y CAL</t>
  </si>
  <si>
    <t>26/2/2021</t>
  </si>
  <si>
    <t>MARZO Y DICIEMBRE 2020 - ENERO Y FEBREROO 2021</t>
  </si>
  <si>
    <t>PERIODO 01/21 - CTA. 02</t>
  </si>
  <si>
    <t>CERAMICOS</t>
  </si>
  <si>
    <t>CERTIFICADO Nº8 - INST. SANITARIA</t>
  </si>
  <si>
    <t>IMPUESTO MUNICIPAL - CUOTA 03/2021</t>
  </si>
  <si>
    <t>17/3/2021</t>
  </si>
  <si>
    <t>19/3/21</t>
  </si>
  <si>
    <t>CASA BLANCO</t>
  </si>
  <si>
    <t>1 TERMICA</t>
  </si>
  <si>
    <t>23/03/2021</t>
  </si>
  <si>
    <t>PERIODO 03/20/21</t>
  </si>
  <si>
    <t>23/3/21</t>
  </si>
  <si>
    <t>SALA DE TANQUES: ADICIONALES</t>
  </si>
  <si>
    <t>MAYOR COSTO N°8</t>
  </si>
  <si>
    <t>25/3/21</t>
  </si>
  <si>
    <t>CEMENTO X 50 KG</t>
  </si>
  <si>
    <t>MARZO DE 2021</t>
  </si>
  <si>
    <t>PERIODO 02/21 - CTA. 01</t>
  </si>
  <si>
    <t>LADRILLOS, CEMENTO, PALLET</t>
  </si>
  <si>
    <t>13/4/21</t>
  </si>
  <si>
    <t>14/4/21</t>
  </si>
  <si>
    <t>IMPUESTO MUNICIPAL - ANTICIPO 04/2021</t>
  </si>
  <si>
    <t>16/4/21</t>
  </si>
  <si>
    <t>BOMBA ELEVADORA 20 HP</t>
  </si>
  <si>
    <t>20/4/21</t>
  </si>
  <si>
    <t>VARIAS</t>
  </si>
  <si>
    <t>LA CASA DEL JARDINERO</t>
  </si>
  <si>
    <t>23/4/21</t>
  </si>
  <si>
    <t>PERIODO 04/2021</t>
  </si>
  <si>
    <t>29/4/21</t>
  </si>
  <si>
    <t>TACURU X 20</t>
  </si>
  <si>
    <t>MACROFER</t>
  </si>
  <si>
    <t xml:space="preserve">ALAMBRE NEGRO </t>
  </si>
  <si>
    <t>30/4/21</t>
  </si>
  <si>
    <t>PERIODO 02/21 - CTA. 02</t>
  </si>
  <si>
    <t>OK 14/05/21 $56125126.69</t>
  </si>
  <si>
    <t>21/5/21</t>
  </si>
  <si>
    <t>PERIODO 05/2021</t>
  </si>
  <si>
    <t>LADRILLO HUEVO 8x18x33</t>
  </si>
  <si>
    <t>PLASTICO</t>
  </si>
  <si>
    <t>PERIODO 03/21 - CTA.1</t>
  </si>
  <si>
    <t>23/6/21</t>
  </si>
  <si>
    <t>PERIODO 06/2021</t>
  </si>
  <si>
    <t>ROSCAMAR</t>
  </si>
  <si>
    <t>BROCAS, MECHAS, SELLADOR, PITONES</t>
  </si>
  <si>
    <t>AMBITO</t>
  </si>
  <si>
    <t>YESSAN YESO PARIS X 6KG</t>
  </si>
  <si>
    <t>PERIODO 03/21 - CTA.2</t>
  </si>
  <si>
    <t>VARILLA, TUERCA, ARANDELA</t>
  </si>
  <si>
    <t>14/7</t>
  </si>
  <si>
    <t>YESO X 5KG</t>
  </si>
  <si>
    <t>20/7</t>
  </si>
  <si>
    <t>HIERRO 6 MM., CEMENTO, HIDROFUGO, PASTINA</t>
  </si>
  <si>
    <t>PERIODO 04/21 - CTA. 1</t>
  </si>
  <si>
    <t>RUIDO MAZAS DE RECORRIDO, LIMPIEZA, ENGRASE</t>
  </si>
  <si>
    <t>SEGURO ANUAL (25/08/21 - 25/08/22)</t>
  </si>
  <si>
    <t>PERIODO 8/2021</t>
  </si>
  <si>
    <t>CEMENTO Y TUCURU</t>
  </si>
  <si>
    <t>TACURU X 10L.</t>
  </si>
  <si>
    <t>CERTIFICADO Nº9 - INST. SANITARIA</t>
  </si>
  <si>
    <t>IMPUESTO MUNICIPAL - ANTICIPO 09/2021</t>
  </si>
  <si>
    <t>AJUSTE CERTIFICADO Nº9 - INST. SANITARIA</t>
  </si>
  <si>
    <t>A CTA. TRABAJOS ADICIONALES (2)</t>
  </si>
  <si>
    <t>PERIODO 09/2021</t>
  </si>
  <si>
    <t>MALLA FIBRA VIDRIO</t>
  </si>
  <si>
    <t>MAGIC BLANCO, MASILLA PLASTICA, SEAKROME CONV. BLANCO</t>
  </si>
  <si>
    <t>FONDO GALVANIZADO, MAGIC GRIS, REVSTA, THINNER, RODILLO</t>
  </si>
  <si>
    <t>A CTA. ELECTRICIDAD CON MATERIALES (TOTAL U$S 200.000 +  IVA)</t>
  </si>
  <si>
    <t>IMPUESTO MUNICIPAL - ANTICIPO 10/2021</t>
  </si>
  <si>
    <t xml:space="preserve">WEBER, HIERRO, TACURU, ALAMBRE, ETC </t>
  </si>
  <si>
    <t>PERIODO 10/2021</t>
  </si>
  <si>
    <t>ALETADO 6MM.</t>
  </si>
  <si>
    <t>IMPUESTO MUNICIPAL - ANTICIPO 11/2021</t>
  </si>
  <si>
    <t>MADERAS MISIONES - FENOLICOS</t>
  </si>
  <si>
    <t>PERIODO 11/2021</t>
  </si>
  <si>
    <t>ALQUILER</t>
  </si>
  <si>
    <t>ALQUILER TEMP. (16/12/21 AL 30/04/2022)</t>
  </si>
  <si>
    <t>SILCOR YESERIA</t>
  </si>
  <si>
    <t>PAGO A CTA. MANETTA (TOTAL: $28.471.000)</t>
  </si>
  <si>
    <t>PAGO A CTA. DRAP (TOTAL:$ 28.471.000)</t>
  </si>
  <si>
    <t>CEMENTO Y CERMICO</t>
  </si>
  <si>
    <t>MATERALES VARIOS</t>
  </si>
  <si>
    <t>ANTICIPO 5, 6 Y 8/2021</t>
  </si>
  <si>
    <t>PERIODO 06/2021 - CTA. 2</t>
  </si>
  <si>
    <t>SERVICIO DICIEMBRE 2021</t>
  </si>
  <si>
    <t>CAMBIO FOTOCELULA 4 HACES - MONTACOCHES</t>
  </si>
  <si>
    <t>PERIODO 01/2022</t>
  </si>
  <si>
    <t>2 FACTURAS - TAPON CUPLA</t>
  </si>
  <si>
    <t>SERVICIO ENERO 2022</t>
  </si>
  <si>
    <t>PERIODO 01/22 CTA. 1 (11/11 - 13/1/22)</t>
  </si>
  <si>
    <t>PERIODO 02/2022</t>
  </si>
  <si>
    <t>IMPUESTOS INMOBILIARIO AÑO 2022</t>
  </si>
  <si>
    <t>PERIODO 01/22 CTA. 2 (11/11 - 13/1/22)</t>
  </si>
  <si>
    <t>PERIODO 03/2022</t>
  </si>
  <si>
    <t>SERVICIO FEBRERO 2022</t>
  </si>
  <si>
    <t>CAMBIO CABLES ACERO Y BRAZO</t>
  </si>
  <si>
    <t>CORRIMIENTO DE CAJAS, MATERIALES P/LUZ</t>
  </si>
  <si>
    <t>PERIODO 02/22 - CTA. 1</t>
  </si>
  <si>
    <t>IMP. MUNICIPAL ANTICIPO 04/2022</t>
  </si>
  <si>
    <t>PERIODO 04/2022</t>
  </si>
  <si>
    <t>CEMENTO, ARENA</t>
  </si>
  <si>
    <t>CEMENTO, CAL, ARENA (1/4)</t>
  </si>
  <si>
    <t>PERIODO 02/2022 - CTA.2</t>
  </si>
  <si>
    <t>PERIODO 05/2022</t>
  </si>
  <si>
    <t>SANITARIOS PATACHON - VARIOS</t>
  </si>
  <si>
    <t>PERIODO 03/2022 CTA. 1</t>
  </si>
  <si>
    <t>ARENA, CAL</t>
  </si>
  <si>
    <t>PERIODO 06/2022</t>
  </si>
  <si>
    <t>CAL, FLETE</t>
  </si>
  <si>
    <t>HIDROFUGO</t>
  </si>
  <si>
    <t>PERIODO 03/2022 CTA. 2</t>
  </si>
  <si>
    <t>ADICIONAL - SALA BOILER, INS. SANITARIA</t>
  </si>
  <si>
    <t>PERIODO 07/2022</t>
  </si>
  <si>
    <t>ARENA, CEMENTO, CAL, HIDROFUGO, ETC</t>
  </si>
  <si>
    <t>PERIODO 04/2022 CTA.1</t>
  </si>
  <si>
    <t>ANTICIPO 8/2022</t>
  </si>
  <si>
    <t>PERIODO 08/2022</t>
  </si>
  <si>
    <t>SEGURO ANUAL (25/08/22 - 24/08/23)</t>
  </si>
  <si>
    <t>PASTINA, WEBER, CALIFORNIA</t>
  </si>
  <si>
    <t>PERIODO 04/2022 CTA. 2</t>
  </si>
  <si>
    <t>CERTIFICADO DE OBRA N°10</t>
  </si>
  <si>
    <t>ANTICIPO 09/2022</t>
  </si>
  <si>
    <t>ARENA, CEMENTO, Y CAL</t>
  </si>
  <si>
    <t>PERIODO 09/2022</t>
  </si>
  <si>
    <t>PERIODO 05/2022 CTA. 1</t>
  </si>
  <si>
    <t>ANTICIPO 10/2022</t>
  </si>
  <si>
    <t>CARPINTERIA CONTRAFRENTE</t>
  </si>
  <si>
    <t>PAGO A CTA. (TOTAL:$ 43.700.000)</t>
  </si>
  <si>
    <t>CAL, CEMENTO</t>
  </si>
  <si>
    <t>MAYOR COSTO N°10</t>
  </si>
  <si>
    <t>PERIODO 10/2022</t>
  </si>
  <si>
    <t>PERIODO 05/2022 CTA. 2</t>
  </si>
  <si>
    <t>IMP. MUNICIPAL - ANTICIPO 11/2022</t>
  </si>
  <si>
    <t>PERIODO 11/2022</t>
  </si>
  <si>
    <t>PAGO A CTA. MASTRANGELO (TOTAL:$ 43.700.000)</t>
  </si>
  <si>
    <t>RESTAURADOR DE SUP, LIJA</t>
  </si>
  <si>
    <t>PROVISION DE COBRE - SALA CALDERAS</t>
  </si>
  <si>
    <t>PERIODO 06/2022 - CTA. 01</t>
  </si>
  <si>
    <t>IMP. MUNICIPAL - ANTICIPO 12/2022</t>
  </si>
  <si>
    <t>PERIODO 12/2022</t>
  </si>
  <si>
    <t>PERIODO 06/2022 - CTA. 02</t>
  </si>
  <si>
    <t>ENERO DE 2023</t>
  </si>
  <si>
    <t>IMP. MUNICIPAL - ANTICIPO 01/2023</t>
  </si>
  <si>
    <t>PERIODO 01/2023</t>
  </si>
  <si>
    <t>FCTAURAS VS.</t>
  </si>
  <si>
    <t>LIJA</t>
  </si>
  <si>
    <t>PERIODO 01/23 CTA. 1</t>
  </si>
  <si>
    <t>FEBRERO DE 2023</t>
  </si>
  <si>
    <t>IMPUESTO INMOBILIARIO - AÑO 2023</t>
  </si>
  <si>
    <t>PERIODO 02/2023</t>
  </si>
  <si>
    <t>PERIODO 01/23 CTA. 2</t>
  </si>
  <si>
    <t>LIJA- PINCELES - RODILLOS</t>
  </si>
  <si>
    <t>ANTICIPO PERIODO 03/2023</t>
  </si>
  <si>
    <t>MARZO DE 2023</t>
  </si>
  <si>
    <t>PERIODO 03/2023</t>
  </si>
  <si>
    <t>LIJAS</t>
  </si>
  <si>
    <t>PERIODO 02/23 - CTA. 01</t>
  </si>
  <si>
    <t>IMP. MUNICIPAL - ANTICIPO 04/2023</t>
  </si>
  <si>
    <t>JUAN M. LANDA</t>
  </si>
  <si>
    <t>LAD HUECO-ARENA-CEMENTO-HIERRO</t>
  </si>
  <si>
    <t>PERIODO 04/2023</t>
  </si>
  <si>
    <t>CAMBIO PLAQUETA BOTON DE ALARMA</t>
  </si>
  <si>
    <t>PERIODO 02/23 - CTA. 02</t>
  </si>
  <si>
    <t>IMP. MUNICIPAL - ANTICIPO 05/2023</t>
  </si>
  <si>
    <t>PERIODO 05/2023</t>
  </si>
  <si>
    <t>CASA TRITON</t>
  </si>
  <si>
    <t>AGUARRAS Y GUANTES</t>
  </si>
  <si>
    <t>PERIODO 03/23 - CTA. 01</t>
  </si>
  <si>
    <t>MASTRANGELO</t>
  </si>
  <si>
    <t>CARPINTERIA ALUMINIO PISOS 11 Y 12</t>
  </si>
  <si>
    <t>3120/3228</t>
  </si>
  <si>
    <t>ANTICIPO PERIODO 06/2023</t>
  </si>
  <si>
    <t>PORCELANATOS</t>
  </si>
  <si>
    <t>ACCIONAR DE RECAMBIO</t>
  </si>
  <si>
    <t>PERIODO 06/2023</t>
  </si>
  <si>
    <t>SAN FRANCISCO</t>
  </si>
  <si>
    <t>REVESTIMIENTO FENOLICO ASCENSORES</t>
  </si>
  <si>
    <t>PERIODO 03/23 - CTA. 02</t>
  </si>
  <si>
    <t>ANTICIPO PERIODO 07/2023</t>
  </si>
  <si>
    <t>ARENA-CEMENTO-CAL-ALAMBRE</t>
  </si>
  <si>
    <t>PERIODO 07/2023</t>
  </si>
  <si>
    <t>2640/3156/3338</t>
  </si>
  <si>
    <t>LADRILLOS-ARENA-CEMENTO-CAL-ALAMBRE</t>
  </si>
  <si>
    <t>BELLI &amp; CIA</t>
  </si>
  <si>
    <t>ARCO SEPARADOR X 150 UNIDADES</t>
  </si>
  <si>
    <t>HERRAJES EL GREMIO</t>
  </si>
  <si>
    <t>VISAGRAS</t>
  </si>
  <si>
    <t>PERIODO 04/23 - CTA. 01</t>
  </si>
  <si>
    <t>PERIODO 08/2023</t>
  </si>
  <si>
    <t>MOLDURAS ACERO</t>
  </si>
  <si>
    <t>MORAN HNOS</t>
  </si>
  <si>
    <t>SEPARADOR P/ NIVEL PORCEL. ARCO SEP</t>
  </si>
  <si>
    <t>1 CONTENEDOR</t>
  </si>
  <si>
    <t>VARILLAS ACERO INOXIDABLE</t>
  </si>
  <si>
    <t>J.M. LANDA</t>
  </si>
  <si>
    <t>VIGUETA-LADRILLOS-GRANZA-ARENA-CAL</t>
  </si>
  <si>
    <t>MONTAVEHICULOS - COL 20 LTS ACEITE</t>
  </si>
  <si>
    <t xml:space="preserve">ARENA - GRANZA </t>
  </si>
  <si>
    <t>IMPERMEABLE</t>
  </si>
  <si>
    <t>FESCAP</t>
  </si>
  <si>
    <t>ALUMINIO FRENTE</t>
  </si>
  <si>
    <t>FED. PATRONAL</t>
  </si>
  <si>
    <t>DEL 25/08/23 AL 24/08/24</t>
  </si>
  <si>
    <t>PERIODO 04/23 - CTA. 02</t>
  </si>
  <si>
    <t>PERIODO 09/2023</t>
  </si>
  <si>
    <t>PUGLIESE</t>
  </si>
  <si>
    <t>DOBLE VIDRIADO HERMETICO - FRENTE</t>
  </si>
  <si>
    <t>13846/ 13454</t>
  </si>
  <si>
    <t>ARENA-GRANZA-HIERRO-FLETE</t>
  </si>
  <si>
    <t>PERIODO 05/23 - CTA. 01</t>
  </si>
  <si>
    <t>PERIODO 10/2023</t>
  </si>
  <si>
    <t>CERROSUD S.A.</t>
  </si>
  <si>
    <t>DECOR CANELA RIPADO</t>
  </si>
  <si>
    <t>PERIODO 05/23 - CTA. 02</t>
  </si>
  <si>
    <t>7168/9 - 342</t>
  </si>
  <si>
    <t>WEBER PORCELANATO</t>
  </si>
  <si>
    <t>PERIODO 11/2023</t>
  </si>
  <si>
    <t>166048-50</t>
  </si>
  <si>
    <t>TIR PERFIL NEGRO / CORTE Y PLEGADO</t>
  </si>
  <si>
    <t>VIDRIOS CONTRAFRENTE - DVH BL3</t>
  </si>
  <si>
    <t>PLACA ELECTRONICA - PLACA AUXILIAR</t>
  </si>
  <si>
    <t>PERIODO 06/23 - CTA. 01</t>
  </si>
  <si>
    <t xml:space="preserve">DRAP </t>
  </si>
  <si>
    <t>RESTAURADOR DE SUP.</t>
  </si>
  <si>
    <t>CEMENTO LOMA NEGRA X 50 KG</t>
  </si>
  <si>
    <t>PERIODO 12/2023</t>
  </si>
  <si>
    <t>PERIODO 06/23 - CTA. 02</t>
  </si>
  <si>
    <t>ENERO DE 2024 - ADICIONALES</t>
  </si>
  <si>
    <t>PERIODO 01/2024</t>
  </si>
  <si>
    <t>PERIODO 01/24 - CTA. 01</t>
  </si>
  <si>
    <t>PUGLIESE &amp; CIA</t>
  </si>
  <si>
    <t>BLINDEX INC Y ESMER. BALCONES CFTE</t>
  </si>
  <si>
    <t>PAGO IIBB (SEPT 2023 A ENE 2024)</t>
  </si>
  <si>
    <t>168931/ 2</t>
  </si>
  <si>
    <t>PERFILES ALUMINIO P/ ABERTURAS BALCONES CONTRAFRENTE</t>
  </si>
  <si>
    <t>PERIODO 02/2024</t>
  </si>
  <si>
    <t>PERIODO 01/ 2024</t>
  </si>
  <si>
    <t>CAMBIO MEDIDOR</t>
  </si>
  <si>
    <t>FEBRERO DE 2024</t>
  </si>
  <si>
    <t>MATAFUEGOS IND</t>
  </si>
  <si>
    <t>MATAFUEGO 2.5 KG NUEVO C/ SELLO IRAM + CHAPA + BALIZA</t>
  </si>
  <si>
    <t>PERIODO 01/24 - CTA. 02</t>
  </si>
  <si>
    <t>ULTRA ASCENSORES</t>
  </si>
  <si>
    <t>MARZO DE 2024</t>
  </si>
  <si>
    <t>1 SERVICIO</t>
  </si>
  <si>
    <t>PERIODO 03/2024</t>
  </si>
  <si>
    <t>CUOTA 02/2024</t>
  </si>
  <si>
    <t>PERIODO 04/2024</t>
  </si>
  <si>
    <t>PERIODO 03/24</t>
  </si>
  <si>
    <t>PERIODO 04/24</t>
  </si>
  <si>
    <t>PERIODO 05/2024</t>
  </si>
  <si>
    <t>CONTADOR</t>
  </si>
  <si>
    <t xml:space="preserve">HONORARIOS BALANCE </t>
  </si>
  <si>
    <t>CUOTA 03/2024</t>
  </si>
  <si>
    <t>PERIODO 06/2024</t>
  </si>
  <si>
    <t>CAMBIO VAINA Y LANZA BRAZO - TIRAS CABLE ACERO</t>
  </si>
  <si>
    <t>DRAP S.A.</t>
  </si>
  <si>
    <t>PINTURA ASFALTICA</t>
  </si>
  <si>
    <t xml:space="preserve">OSSE </t>
  </si>
  <si>
    <t>PERIODO 05/24</t>
  </si>
  <si>
    <t>14 UN. PASTINA X 2KG</t>
  </si>
  <si>
    <t>15 UN. PASTINA X 2KG</t>
  </si>
  <si>
    <t>PERIODO 06/24</t>
  </si>
  <si>
    <t>PERIODO 07/2024</t>
  </si>
  <si>
    <t>CINTA DE PAPEL OBRA AZUL</t>
  </si>
  <si>
    <t>FLETE ZONA</t>
  </si>
  <si>
    <t>CUOTA 04/2024</t>
  </si>
  <si>
    <t>BERTELLO</t>
  </si>
  <si>
    <t>2 SERVICIOS CONTENEDORES</t>
  </si>
  <si>
    <t>PERIODO 08/2024</t>
  </si>
  <si>
    <t>PERIODO 07/24</t>
  </si>
  <si>
    <t>MEDIANERA (LADO LAMADRID)</t>
  </si>
  <si>
    <t>TRANSMISOR DE FOTOCELULA SEG. PLAT. MONTACOCHES</t>
  </si>
  <si>
    <t>POLIZA DEL 25/08/24 AL 25/02/25</t>
  </si>
  <si>
    <t>PORCELANATOS - CERESITA - FLETE</t>
  </si>
  <si>
    <t>MDQ FERRETERIA</t>
  </si>
  <si>
    <t>LIJA ANTIEMPASTE</t>
  </si>
  <si>
    <t>LIGANTEX - MURO BLANCO Y FIJADO</t>
  </si>
  <si>
    <t>PERIODO 08/24</t>
  </si>
  <si>
    <t>PERIODO 09/2024</t>
  </si>
  <si>
    <t xml:space="preserve">PORCELANATOS </t>
  </si>
  <si>
    <t>QUIMICA ESSIG</t>
  </si>
  <si>
    <t>KTECH PLUS - ESSIPOL REST.</t>
  </si>
  <si>
    <t>PERIODO 10/2024</t>
  </si>
  <si>
    <t>PERIODO 09/24</t>
  </si>
  <si>
    <t>FOTOCELULAS MONTACARGAS - 2 TUBOS LED- LIMITE CIERRE</t>
  </si>
  <si>
    <t>PERIODO 11/2024</t>
  </si>
  <si>
    <t>21/11/0204</t>
  </si>
  <si>
    <t>PERIODO 10/24</t>
  </si>
  <si>
    <t>PERIODO 12/2024</t>
  </si>
  <si>
    <t>CAMBIO POLEA DESVIO A PORTON CFTE PB MONTACOCHE</t>
  </si>
  <si>
    <t>PERIODO 12/24</t>
  </si>
  <si>
    <t>PERIODO 01/2025</t>
  </si>
  <si>
    <t>SILVER 20X 1.14 - TEAK 20X 1.14</t>
  </si>
  <si>
    <t>ENERO DE 2025</t>
  </si>
  <si>
    <t>PERIODO 02/2025</t>
  </si>
  <si>
    <t>FEBRERO DE 2025</t>
  </si>
  <si>
    <t>GERSINI</t>
  </si>
  <si>
    <t>PUERTAS VS. INTERIOR EDIFICIO</t>
  </si>
  <si>
    <t>SEGURO DEL 25/02/25 AL 25/08/25</t>
  </si>
  <si>
    <t>CINTA PAPEL - VENDA POLIESTER - FILM NEGRO</t>
  </si>
  <si>
    <t>PERIODO 03/2025</t>
  </si>
  <si>
    <t>AÑO 2025</t>
  </si>
  <si>
    <t>PERIODO 02/25</t>
  </si>
  <si>
    <t>MARZO DE 2025</t>
  </si>
  <si>
    <t>BULFEROD</t>
  </si>
  <si>
    <t>VARILLA- TUERCA- MECHAS ACERO - PLANAS</t>
  </si>
  <si>
    <t>HIERROS FAULE</t>
  </si>
  <si>
    <t>ANGULO</t>
  </si>
  <si>
    <t>ADHESIL BLANCO - SEAKROME NARANJA</t>
  </si>
  <si>
    <t>VIRUTA - CINTA DE PAPEL</t>
  </si>
  <si>
    <t>PERIODO 04/2025</t>
  </si>
  <si>
    <t>22188-190-206-207-225</t>
  </si>
  <si>
    <t>CODO-UNION-CAÑOS-PROLONGACION-SELLADOR-TUBO</t>
  </si>
  <si>
    <t>PERIODO 03/25</t>
  </si>
  <si>
    <t>PERIODO 05/2025</t>
  </si>
  <si>
    <t>PERIODO 04/25</t>
  </si>
  <si>
    <t>LADRILLO-ARENA-CEMENTO-PALLET-FLETE</t>
  </si>
  <si>
    <t>PERIODO 06/2025</t>
  </si>
  <si>
    <t>PERIODO 05/25</t>
  </si>
  <si>
    <t>CIARDI HNOS</t>
  </si>
  <si>
    <t>CONDUCTORES-PROYECTOR-FOTOCONTROL ELECT.</t>
  </si>
  <si>
    <t>SERVICIO CONTENEDOR</t>
  </si>
  <si>
    <t>PERIODO 07/2025</t>
  </si>
  <si>
    <t>TORTUGA-LAMPARAS-CAJA TABLERO-SOPORTE</t>
  </si>
  <si>
    <t>PORCELANATO - CERRO NEGRO</t>
  </si>
  <si>
    <t>PERIODO 06/25</t>
  </si>
  <si>
    <t>PERIODO 07/25</t>
  </si>
  <si>
    <t>19361-2</t>
  </si>
  <si>
    <t>LADRILLO- HUECO-CAL-CEMENTO-PALLET-FLETE</t>
  </si>
  <si>
    <t>PERIODO 08/2025</t>
  </si>
  <si>
    <t>PERIODO 08/25</t>
  </si>
  <si>
    <t>ESPINDOLA</t>
  </si>
  <si>
    <t>TRABAJOS DE ELECTRICIDAD</t>
  </si>
  <si>
    <t>SEG. FED. PAT.</t>
  </si>
  <si>
    <t>POLIZA DEL 25/08/25 AL 25/02/26</t>
  </si>
  <si>
    <t xml:space="preserve">ARM </t>
  </si>
  <si>
    <t>PERIODO 09/2025</t>
  </si>
  <si>
    <t>0010-00023364</t>
  </si>
  <si>
    <t>RE-SA</t>
  </si>
  <si>
    <t>CAÑOS</t>
  </si>
  <si>
    <t>0010-00023407</t>
  </si>
  <si>
    <t>0002-00006241</t>
  </si>
  <si>
    <t xml:space="preserve">BENJAMIN S Y CIA SA </t>
  </si>
  <si>
    <t xml:space="preserve">FILTRO-BUJE </t>
  </si>
  <si>
    <t>DRAP PINTURERIAS</t>
  </si>
  <si>
    <t>HYDRARRAS-AIKE FRENTES</t>
  </si>
  <si>
    <t>0010-00023437</t>
  </si>
  <si>
    <t>0002-00006242</t>
  </si>
  <si>
    <t>BRIDA- JUNTA</t>
  </si>
  <si>
    <t>0010-00023480</t>
  </si>
  <si>
    <t xml:space="preserve">CODOS </t>
  </si>
  <si>
    <t>PERIODO 09/25</t>
  </si>
  <si>
    <t>0004-00027430</t>
  </si>
  <si>
    <t xml:space="preserve">CAT  SRL </t>
  </si>
  <si>
    <t xml:space="preserve">MEMBRANA/ VENDA P PARED </t>
  </si>
  <si>
    <t>0015-00004213</t>
  </si>
  <si>
    <t xml:space="preserve">CERROSUD </t>
  </si>
  <si>
    <t>ZEFIRO</t>
  </si>
  <si>
    <t>0007-00000429</t>
  </si>
  <si>
    <t xml:space="preserve">VALENZINA MUEBLES </t>
  </si>
  <si>
    <t>MESAS</t>
  </si>
  <si>
    <t>0010-00023460</t>
  </si>
  <si>
    <t>00100-00058983</t>
  </si>
  <si>
    <t>LA CARDEUSE</t>
  </si>
  <si>
    <t xml:space="preserve">COLCHON- ALMOHADA </t>
  </si>
  <si>
    <t>00100-00058960</t>
  </si>
  <si>
    <t>00100-00058953</t>
  </si>
  <si>
    <t>00100-00058952</t>
  </si>
  <si>
    <t>0001-000000043</t>
  </si>
  <si>
    <t xml:space="preserve">BERTELLO LUIS E </t>
  </si>
  <si>
    <t xml:space="preserve">SERVICIO DE CONTENEDOR </t>
  </si>
  <si>
    <t>0011-00020006</t>
  </si>
  <si>
    <t xml:space="preserve">JUAN M. LANDA </t>
  </si>
  <si>
    <t>CEMENTO-HIERRO-CLAVOS-CAL+ FLETE</t>
  </si>
  <si>
    <t>00002-0000113</t>
  </si>
  <si>
    <t xml:space="preserve">J.T.M.M CONCEPTION </t>
  </si>
  <si>
    <t xml:space="preserve">MESA + SILLAS </t>
  </si>
  <si>
    <t>PERIODO 10/25</t>
  </si>
  <si>
    <t>0008-00109928</t>
  </si>
  <si>
    <t xml:space="preserve">ZEFIRO </t>
  </si>
  <si>
    <t>00003-00000038</t>
  </si>
  <si>
    <t>COOPER GUILERMO</t>
  </si>
  <si>
    <t xml:space="preserve">TRABAJO DE YESERIA </t>
  </si>
  <si>
    <t xml:space="preserve"> </t>
  </si>
  <si>
    <t>0001-00000444</t>
  </si>
  <si>
    <t>BERTELLO LUIS E</t>
  </si>
  <si>
    <t>00003-000040</t>
  </si>
  <si>
    <t>PERIODO 11/2025</t>
  </si>
  <si>
    <t>PERIODO 10/2025</t>
  </si>
  <si>
    <t>00024-18277</t>
  </si>
  <si>
    <t xml:space="preserve">ADHESIL BLANCO </t>
  </si>
  <si>
    <t>00024-18964</t>
  </si>
  <si>
    <t>VENIER SUPERCAPA-RECUBLOCK</t>
  </si>
  <si>
    <t>0004-000004489</t>
  </si>
  <si>
    <t xml:space="preserve">VAULT SRL </t>
  </si>
  <si>
    <t xml:space="preserve">90 CERRADURAS </t>
  </si>
  <si>
    <t>1476-00042746</t>
  </si>
  <si>
    <t>CREDIFIN LOGISTICA</t>
  </si>
  <si>
    <t>ENCOMIENDA  (ENVIO 90 CERRADURAS)</t>
  </si>
  <si>
    <t>01-456</t>
  </si>
  <si>
    <t xml:space="preserve">FACTURAS VARIAS </t>
  </si>
  <si>
    <t>GAUTHIER WALTER</t>
  </si>
  <si>
    <t>PAGO A CUENTA (TRABAJO DE ALBANILERIA)</t>
  </si>
  <si>
    <t>03-148</t>
  </si>
  <si>
    <t>MASTRENGELO CESAR</t>
  </si>
  <si>
    <t>MANO DE OBRA CARPINTERIA ALUMINIO</t>
  </si>
  <si>
    <t>PERIODO 12/2025</t>
  </si>
  <si>
    <t>01-468</t>
  </si>
  <si>
    <t>TIRRONI RUBEN DARIO</t>
  </si>
  <si>
    <t>ACE 15. WD-40 CHICO</t>
  </si>
  <si>
    <t>ARENA-CEMENTO-FLETE</t>
  </si>
  <si>
    <t>PERIODO ANUAL 2026</t>
  </si>
  <si>
    <t>PERIODO 01/2026</t>
  </si>
  <si>
    <t>ENERO DE 2026</t>
  </si>
  <si>
    <t>03-00000044</t>
  </si>
  <si>
    <t>COOPER GUILLERMO</t>
  </si>
  <si>
    <t>0003-00000085</t>
  </si>
  <si>
    <t>FEBRERO DE 2026</t>
  </si>
  <si>
    <t>2302/2026</t>
  </si>
  <si>
    <t>0016-00000718</t>
  </si>
  <si>
    <t xml:space="preserve">HESPARREN SRL-ESTEBAN </t>
  </si>
  <si>
    <t>MESADAS</t>
  </si>
  <si>
    <t>PERIODO DEL 25/02/2026 AL 25/08/2026</t>
  </si>
  <si>
    <t>PERIODO 02/26</t>
  </si>
  <si>
    <t>0002-00007799</t>
  </si>
  <si>
    <t>PERIODO MARZO DE 2026</t>
  </si>
  <si>
    <t>PERIODO 3/2026</t>
  </si>
  <si>
    <t>ARBA-INMOBILIARIO</t>
  </si>
  <si>
    <t>CTA 2/2026</t>
  </si>
  <si>
    <t>PERIODO 4/2026</t>
  </si>
  <si>
    <t>0011-00021001</t>
  </si>
  <si>
    <t xml:space="preserve">CEMENTO-CAL-FLETE </t>
  </si>
  <si>
    <t>PERIODO 5/2026</t>
  </si>
  <si>
    <t>00001-00000551</t>
  </si>
  <si>
    <t>BERTELLO LUIS E.</t>
  </si>
  <si>
    <t xml:space="preserve">SERVICIO CONTENEDOR </t>
  </si>
  <si>
    <t>0016-00000784</t>
  </si>
  <si>
    <t>03-153/03-157</t>
  </si>
  <si>
    <t xml:space="preserve">MANO DE OBRA Y COLOCACION ALUMINIO(AJUSTE Y MANO DE OBRA) </t>
  </si>
  <si>
    <t>PERIODO 6/26</t>
  </si>
  <si>
    <t>PERIODO 5/26</t>
  </si>
  <si>
    <t xml:space="preserve">ARBA </t>
  </si>
  <si>
    <t>CUOTA 3/2026</t>
  </si>
  <si>
    <t>PERIODO 7/26</t>
  </si>
  <si>
    <t>00002-00000658</t>
  </si>
  <si>
    <t xml:space="preserve">PANERO VICTOR HUGO </t>
  </si>
  <si>
    <t xml:space="preserve">CEDULA CATASTRAL </t>
  </si>
  <si>
    <t>PERIODO 8/26</t>
  </si>
  <si>
    <t>CUOTA 4/26</t>
  </si>
  <si>
    <t xml:space="preserve">PERIODO 07/26 </t>
  </si>
  <si>
    <t>VILLAGRA/SEYCO</t>
  </si>
  <si>
    <t>MATERIALES VARIOS/ TALADRO, AMOLADORA, ETC</t>
  </si>
  <si>
    <t>25/08/2026 AL 05/02/2027</t>
  </si>
  <si>
    <t>GENERAL. Sin Facturar</t>
  </si>
  <si>
    <t>FECHA</t>
  </si>
  <si>
    <t>CONCEPTO</t>
  </si>
  <si>
    <t>2010-2011</t>
  </si>
  <si>
    <t>TEMPORADA 2010 - 2011</t>
  </si>
  <si>
    <t>2011-2012</t>
  </si>
  <si>
    <t>TEMPORADA 2011 - 2012</t>
  </si>
  <si>
    <t>2012-2013</t>
  </si>
  <si>
    <t>TEMPORADA 2012 - 2013</t>
  </si>
  <si>
    <t>HIERRO DE 10 Y 12MM.</t>
  </si>
  <si>
    <t>HIERRO DE 6,8 Y 10MM.</t>
  </si>
  <si>
    <t>ARQUITECTO AGUERO MARCENARO</t>
  </si>
  <si>
    <t>SEP - 2013</t>
  </si>
  <si>
    <t>2013-2014</t>
  </si>
  <si>
    <t>TEMPORADA 2013 - 2014</t>
  </si>
  <si>
    <t>COBRO OBRAS SANITARIAS - DICIEMBRE 2014, ENERO, FEBRERO Y MARZO 2015</t>
  </si>
  <si>
    <t>HONORARIOS ??</t>
  </si>
  <si>
    <t>FACTURA 44179</t>
  </si>
  <si>
    <t>HIERROS DE 12,16,20 Y 25 MM.</t>
  </si>
  <si>
    <t>2014 - 2015</t>
  </si>
  <si>
    <t>TEMPORADA 2014 - 2015</t>
  </si>
  <si>
    <t xml:space="preserve">COBRO OBRAS SANITARIAS </t>
  </si>
  <si>
    <t>PALOMO</t>
  </si>
  <si>
    <t>TRANSPORTE TIERRA</t>
  </si>
  <si>
    <t>2015 - 2016</t>
  </si>
  <si>
    <t>TEMPORADA 2015 - 2016</t>
  </si>
  <si>
    <t>A CTA. PRINCIPIO DE EFECUCION</t>
  </si>
  <si>
    <t>A CTA. CLAUSULA ADICIONAL</t>
  </si>
  <si>
    <t>PAGO</t>
  </si>
  <si>
    <t>COBRO OBRAS SANITARIAS</t>
  </si>
  <si>
    <t>CUOTA 01 - AÑO 2016</t>
  </si>
  <si>
    <t>DIEGO - M.O. LOZAS</t>
  </si>
  <si>
    <t>CASA BLANCO MATERIALES</t>
  </si>
  <si>
    <t>BOMBA DE AGUA</t>
  </si>
  <si>
    <t>CUOTA 02 - AÑO 2017</t>
  </si>
  <si>
    <t>CORRALON</t>
  </si>
  <si>
    <t>PINTURA - VICTOR</t>
  </si>
  <si>
    <t>CONFECCION RENDEL</t>
  </si>
  <si>
    <t>CAMBIO TRIFACICA</t>
  </si>
  <si>
    <t>JUAN - 1°ETAPA - CUOTA 1</t>
  </si>
  <si>
    <t>LAMPARITAS</t>
  </si>
  <si>
    <t>PINTURA MERCENARO</t>
  </si>
  <si>
    <t>ASCENSORES</t>
  </si>
  <si>
    <t>IMPERM. HUECO ASCENSORES Y MONTA AUTOS</t>
  </si>
  <si>
    <t>JUAN - 1°ETAPA - CUOTA 2</t>
  </si>
  <si>
    <t>CARNE</t>
  </si>
  <si>
    <t>JUAN - 1°ETAPA - CUOTA 3</t>
  </si>
  <si>
    <t>M.O. HORMIGON - ADICIONALES</t>
  </si>
  <si>
    <t>COMPRA MONTA AUTOS ULTRA</t>
  </si>
  <si>
    <t>JUAN-  1°ETAPA - CUOTA 4</t>
  </si>
  <si>
    <t>JUAN - 1°ETAPA - CUOTA 5</t>
  </si>
  <si>
    <t>COLOCACION CARTEL</t>
  </si>
  <si>
    <t>PAGO A CTA. IMPERMEABILIZACION</t>
  </si>
  <si>
    <t>PLASTICOR</t>
  </si>
  <si>
    <t>ZUBILLAGA</t>
  </si>
  <si>
    <t>TACOS MADERA</t>
  </si>
  <si>
    <t>FEB - 2018</t>
  </si>
  <si>
    <t>CUOTA 03 - AÑO 2018</t>
  </si>
  <si>
    <t>MARIÑO</t>
  </si>
  <si>
    <t>IMPERMEABILIZACION</t>
  </si>
  <si>
    <t>JUAN B JUSTO - COMPRA</t>
  </si>
  <si>
    <t>TRABAJO DE PINTURA</t>
  </si>
  <si>
    <t>SALDO ANTICIPO</t>
  </si>
  <si>
    <t>2°ETAPA: CUOTA 1</t>
  </si>
  <si>
    <t>DESAGUES</t>
  </si>
  <si>
    <t>2°ETAPA: CUOTA 2</t>
  </si>
  <si>
    <t>TRABAJO DE CAÑERIAS EN PILETAS</t>
  </si>
  <si>
    <t>COLOCACION BANDEJA NUEVA - MANO DE OBRA</t>
  </si>
  <si>
    <t>2°ETAPA: CUOTA 4</t>
  </si>
  <si>
    <t>DIEGO - ELECTRICISTA</t>
  </si>
  <si>
    <t>CAÑOS, CODOS, CANILLA, GRAMPA, ETC.</t>
  </si>
  <si>
    <t>2°ETAPA: CUOTA 5</t>
  </si>
  <si>
    <t>PRECINTOS 200*4,7 x 100U</t>
  </si>
  <si>
    <t>DIEGO ELECTRICISTA - MANO DE OBRA</t>
  </si>
  <si>
    <t>MANO DE OBRA 1º Y 2º SUBSUELO</t>
  </si>
  <si>
    <t>MANO DE OBRA MONTAUTOS</t>
  </si>
  <si>
    <t>IMPERBEALIZACION DE LOSA</t>
  </si>
  <si>
    <t>U$S 468044.59 OK al 26/09/18</t>
  </si>
  <si>
    <t>2°ETAPA: CUOTA 7</t>
  </si>
  <si>
    <t>TRAMITES MUNICIPALES</t>
  </si>
  <si>
    <t>DIEGO - ELECTRICISTA (MATERIALES)</t>
  </si>
  <si>
    <t>SACAR CHIMENEA (SALINAS)</t>
  </si>
  <si>
    <t>SEGURIDAD OBRA</t>
  </si>
  <si>
    <t>MES DE NOVIEMBRE</t>
  </si>
  <si>
    <t>2°ETAPA: CUOTA 7 - SALDO</t>
  </si>
  <si>
    <t>2ºETAPA: CUOTA 8</t>
  </si>
  <si>
    <t>20 LAMPARAS LED</t>
  </si>
  <si>
    <t>MIGUEL DURLOX - CEMENTO DIVISION COCHERA/EDIFICIO</t>
  </si>
  <si>
    <t>SALINAS</t>
  </si>
  <si>
    <t>REVOCAR PARED CHIMENEA</t>
  </si>
  <si>
    <t>COLOCACION MEMBRANA EN PB, PATIOS Y BALCONES (MARIÑO)</t>
  </si>
  <si>
    <t>13/12/2018</t>
  </si>
  <si>
    <t>DICIEMBRE DE 2018</t>
  </si>
  <si>
    <t>DESAGUES DE 2 PATIOS, 2 BALCONES Y CANILLA COCHERA</t>
  </si>
  <si>
    <t>MATERIALES Y LUCES</t>
  </si>
  <si>
    <t>2ºETAPA: CUOTA Nº9 (SALDO)</t>
  </si>
  <si>
    <t>PINTURA PATIO CONTRAFRENTE EN MEDIANERA</t>
  </si>
  <si>
    <t>DIEGO SARAVIA - TRABAJO EN COCHERA</t>
  </si>
  <si>
    <t>ARTICULOS DE LIMPIEZA</t>
  </si>
  <si>
    <t>PALMA</t>
  </si>
  <si>
    <t>PULIDO PISOS COCHERAS</t>
  </si>
  <si>
    <t>2º ETAPA: CUOTA 10</t>
  </si>
  <si>
    <t>TEMPORADA 2018 - 2019</t>
  </si>
  <si>
    <t>TRABAJOS EN DPTOS. LINDEROS (VICTOR)</t>
  </si>
  <si>
    <t>ENERO DE 2019</t>
  </si>
  <si>
    <t>COMPRA MONTA AUTOS ULTRA(2017) SALDO</t>
  </si>
  <si>
    <t>2 ASENSORES ( A CTA DEL SALDO FEB 2019)</t>
  </si>
  <si>
    <t>2º ETAPA: CUOTA Nº11</t>
  </si>
  <si>
    <t>OK AL 21/02/19</t>
  </si>
  <si>
    <t>SALINA - MEDIANERAS</t>
  </si>
  <si>
    <t>CUOTA Nª4 - AÑO 2019</t>
  </si>
  <si>
    <t>2º ETAPA: CUOTA Nº12</t>
  </si>
  <si>
    <t>CONTRAPISOS CESAR - PISOS COCHERAS</t>
  </si>
  <si>
    <t>MIGUEL AVILA - CERRAMIENTO TERRAZAS</t>
  </si>
  <si>
    <t>IVA FACTURAS ANTERIORES</t>
  </si>
  <si>
    <t>ALQUILER - COBRO SERVICIOS</t>
  </si>
  <si>
    <t>A CTA. EDEA Y OSSE - SALDO $5000</t>
  </si>
  <si>
    <t>ACOPIO (NUEVO 20019)</t>
  </si>
  <si>
    <t>CERTIFICADO Nº1</t>
  </si>
  <si>
    <t>SALINAS - POZO CHICO</t>
  </si>
  <si>
    <t>DANIEL TROCHE AJUSTE M DE O S/ INDICE CAIF (SAGITARIO) Nº 1</t>
  </si>
  <si>
    <t>SALDO EDEA Y OSSE  DEL 29/12/18 - 15/03/19</t>
  </si>
  <si>
    <t>CERTIFICADO Nº 2</t>
  </si>
  <si>
    <t>DANIEL TROCHE AJUSTE M DE O S/ INDICE CAIF (SAGITARIO) Nº 2</t>
  </si>
  <si>
    <t>CERTIFICADO Nº 3</t>
  </si>
  <si>
    <t>VICTOR - COCHERA Y MONTACARGAS</t>
  </si>
  <si>
    <t>DIEGO SARAVIA - MANO DE OBRA</t>
  </si>
  <si>
    <t>CALEFACCION</t>
  </si>
  <si>
    <t>5 TANQUES 1000 LTS C/ AISLACION</t>
  </si>
  <si>
    <t>DANIEL TROCHE AJUSTE M DE O S/ INDICE CAIF (SAGITARIO) Nº 3</t>
  </si>
  <si>
    <t xml:space="preserve"> CERTIFICADO Nº 4</t>
  </si>
  <si>
    <t>VICTOR - EDIF. LINDERO</t>
  </si>
  <si>
    <t>DANIEL TROCHE - Nº 4</t>
  </si>
  <si>
    <t>TRABAJO DE MAMPOSTERIA - ANTICIPO</t>
  </si>
  <si>
    <t>TRABAJO DE MAMPOSTERIA - CUOTA Nº 1</t>
  </si>
  <si>
    <t>TECNICA - CONFECCION CARTEL VINILO</t>
  </si>
  <si>
    <t>DANIEL TROCHE - CERTIFICADO Nº 5</t>
  </si>
  <si>
    <t>TRABAJO DE MAMPOSTERIA - CUOTA Nº 2</t>
  </si>
  <si>
    <t>RED DE INCENDIO</t>
  </si>
  <si>
    <t>INGENIERO-PROYECTO INCENDIO A CTA. (TOTAL:$ 70.000)</t>
  </si>
  <si>
    <t>31/10/2019</t>
  </si>
  <si>
    <t>MACROFER-VARILLAS-TUERCAS-TACOS-ARANDELAS</t>
  </si>
  <si>
    <t>RE-SA - ROSCA C/ TUERCA</t>
  </si>
  <si>
    <t>DANIEL TROCHE - CERTIFICADO Nª 5 - AJUSTE M.D.O.</t>
  </si>
  <si>
    <t>DANIEL TROCHE - DESAGUE POZO EN NAPA - T. COMPLEM.</t>
  </si>
  <si>
    <t>DANIEL TROCHE - COL 21 VALVULAS - T. COMPLEM.</t>
  </si>
  <si>
    <t>TRABAJO MAMPOSTERIA - CUOTA Nº 3</t>
  </si>
  <si>
    <t>DANIEL TROCHE - CERTIFICADO Nº 6</t>
  </si>
  <si>
    <t>TEMPORADA 2019 - 2020</t>
  </si>
  <si>
    <t>ADICIONAL BOMBA- HUECO SOTANO</t>
  </si>
  <si>
    <t>TRABAJO, FACHADA Y MANPOSTERIA</t>
  </si>
  <si>
    <t>18/12/2019</t>
  </si>
  <si>
    <t>TRABAJO MAMPOSTERIA - CUOTA Nº 4</t>
  </si>
  <si>
    <t>20/12/19</t>
  </si>
  <si>
    <t>MATERIALES ELECTRICOS P/COCHERA</t>
  </si>
  <si>
    <t>M. DE OBRA BARANDAS ESCALERAS (ALEJANDRO SULTANO)</t>
  </si>
  <si>
    <t>16/01/2020</t>
  </si>
  <si>
    <t>DANIEL TROCHE - M. COSTO Nº 6</t>
  </si>
  <si>
    <t>16/1/2020</t>
  </si>
  <si>
    <t>TRABAJO MAMPOSTERIA - CUOTA Nº 5</t>
  </si>
  <si>
    <t>28/1/2020</t>
  </si>
  <si>
    <t>6 LUCES DE EMERGENCIA</t>
  </si>
  <si>
    <t xml:space="preserve">CERTIFICADO Nª7 </t>
  </si>
  <si>
    <t>TRABAJO MAMPOSTERIA - CUOTA Nº 6</t>
  </si>
  <si>
    <t>20/02/2020</t>
  </si>
  <si>
    <t>CARELLI DAMIAN</t>
  </si>
  <si>
    <t>A CTA. M. OBRA INSTALACION AIRES (SALDO U$S 30.000)</t>
  </si>
  <si>
    <t>DANIEL TROCHE - M. COSTO Nº 7</t>
  </si>
  <si>
    <t>IMPERMEABILIZACION BALCONES Y PEDILUVIOS</t>
  </si>
  <si>
    <t>TRABAJO MAMPOSTERIA - CUOTA Nº 7</t>
  </si>
  <si>
    <t>AGUAS GRISES Y 5 TANQUES - A CUENTA (SALDO $100.000)</t>
  </si>
  <si>
    <t>17/03/2020</t>
  </si>
  <si>
    <t>PLANOS ERNESTO ARADÓ</t>
  </si>
  <si>
    <t>14/4/2020</t>
  </si>
  <si>
    <t>TRABAJO MAMPOSTERIA - CUOTA Nº 8</t>
  </si>
  <si>
    <t>24/04/2020</t>
  </si>
  <si>
    <t>5 CONTENEDORES</t>
  </si>
  <si>
    <t>TRABAJO MAMPOSTERIA - CUOTA Nº 9</t>
  </si>
  <si>
    <t>20/05/2020</t>
  </si>
  <si>
    <t>MAYO Y JUNIO 2020</t>
  </si>
  <si>
    <t>MATIAS ALVAREDO - M.O. 1ºCUOTA (TOTAL: $1.200.000)</t>
  </si>
  <si>
    <t>REDES PALOMAS CONTRAFRENTE</t>
  </si>
  <si>
    <t>TRABAJO MAMPOSTERIA - CUOTA Nº 10</t>
  </si>
  <si>
    <t>1ºETAPA - 1º CUOTA - TOTAL:$280.000</t>
  </si>
  <si>
    <t>19/6/2020</t>
  </si>
  <si>
    <t>INSTALACION DE GAS - 1ºCUOTA (TOTAL; $ 900.000)</t>
  </si>
  <si>
    <t>CAPPARELLI SA</t>
  </si>
  <si>
    <t>81 BOLSAS ISOCRET</t>
  </si>
  <si>
    <t>TRABAJO MAMPOSTERIA - CUOTA Nº 11</t>
  </si>
  <si>
    <t>15/7/2020</t>
  </si>
  <si>
    <t>JULIO DE 2020</t>
  </si>
  <si>
    <t>23/07/2020</t>
  </si>
  <si>
    <t>ROMA - 3 CONTENEDORES</t>
  </si>
  <si>
    <t>MATIAS ALVAREDO - M.O. 2ºCUOTA (TOTAL: $1.200.000)</t>
  </si>
  <si>
    <t>50 BOLSAS ISOCRET</t>
  </si>
  <si>
    <t>20 BOLSAS ISOCRET</t>
  </si>
  <si>
    <t>TRABAJOS MAMPOSTERÍA  - CUOTA N°12</t>
  </si>
  <si>
    <t>PROYECTO  PLANO INSTALACIÓN ELÉCTRICA (CONSORTI-SILVA)</t>
  </si>
  <si>
    <t>INGENIERO-PROYECTO INCENDIO SALDO (TOTAL:$ 70.000)</t>
  </si>
  <si>
    <t>1ºETAPA - 2º CUOTA - TOTAL:$280.000</t>
  </si>
  <si>
    <t>INSTALACION DE GAS - 2ºCUOTA (TOTAL; $ 900.000)</t>
  </si>
  <si>
    <t>CONFECCION RENDEL (SALDO)</t>
  </si>
  <si>
    <t>AGOSTO DE 2020</t>
  </si>
  <si>
    <t>20/08/2020</t>
  </si>
  <si>
    <t>INSTALACION DE GAS - 3ºCUOTA (TOTAL; $ 900.000)</t>
  </si>
  <si>
    <t>TRABAJOS MAMPOSTERÍA  - CUOTA N°13</t>
  </si>
  <si>
    <t>INSTALACION DE GAS - 4ºCUOTA - SALDO}(TOTAL; $ 900.000)</t>
  </si>
  <si>
    <t>TAREA ADICIONAL EAA</t>
  </si>
  <si>
    <t>TAREA ADICIONAL SPA</t>
  </si>
  <si>
    <t>PERSIANAS SOTANO</t>
  </si>
  <si>
    <t>TRABAJOS MAMPOSTERÍA  - CUOTA N°14</t>
  </si>
  <si>
    <t>M. OBRA LOZA, SALA Y QUINCHO</t>
  </si>
  <si>
    <t>AIRES ACONDICIONADO (SALDO)</t>
  </si>
  <si>
    <t>SEPTIEMBRE DE 2020</t>
  </si>
  <si>
    <t>A CTA. MANO DE OBRA - EQUIPOS DE AIRE (RECIBO OSCAR)</t>
  </si>
  <si>
    <t>ADICIONALES VARIOS: 1) AISLANTE ELASTOMERICA MONTANTE</t>
  </si>
  <si>
    <t>IMPERMEABILIZACION SALA E INTERIOR DE TANQUES</t>
  </si>
  <si>
    <t>IMPERMEABILIZACION BALCONES Y PEDILUVIOS (SALDO)</t>
  </si>
  <si>
    <t>TAREA COMPLEMENTARIA: DESAGUES PLUVIALES TERRAZA</t>
  </si>
  <si>
    <t>FIRE SEC</t>
  </si>
  <si>
    <t>MATERIALES RED DE INCENDIO: SALDO</t>
  </si>
  <si>
    <t>TRABAJOS MAMPOSTERÍA - CUOTA N°15</t>
  </si>
  <si>
    <t>13/11/2020</t>
  </si>
  <si>
    <t>URBANIA EQUIPAMIENTO</t>
  </si>
  <si>
    <t>PEGAMENTO Y PASTINA</t>
  </si>
  <si>
    <t>17/11/2020</t>
  </si>
  <si>
    <t>20 ISOCRET X 170 L.</t>
  </si>
  <si>
    <t>18/11</t>
  </si>
  <si>
    <t>TAREA COMPLEMENTARIA:INSTALACION SANITARIA</t>
  </si>
  <si>
    <t>DANIEL TROCHE</t>
  </si>
  <si>
    <t>RETORNO AGUA CALIENTE FRENTE</t>
  </si>
  <si>
    <t>WEBER</t>
  </si>
  <si>
    <t>30/11/2020</t>
  </si>
  <si>
    <t>TRABAJOS MAMPOSTERÍA  - CUOTA N°16</t>
  </si>
  <si>
    <t>GUARDACANTO CHAMPAGNE</t>
  </si>
  <si>
    <t>PAGO ANTERIOR NO REGISTRADO</t>
  </si>
  <si>
    <t>SALDO HONORARIOS PROFESIONALES</t>
  </si>
  <si>
    <t>RENDEL PB - SANZARO IMEGENES 3D</t>
  </si>
  <si>
    <t>10 WEBER PORCELANATO</t>
  </si>
  <si>
    <t>MANO DE OBRA SALDO</t>
  </si>
  <si>
    <t>14/12</t>
  </si>
  <si>
    <t>PEGAMENTO P/PISOS</t>
  </si>
  <si>
    <t>16/12/2020</t>
  </si>
  <si>
    <t>NOVIEMBRE Y DICIEMBRE 2020</t>
  </si>
  <si>
    <t>18/12</t>
  </si>
  <si>
    <t>CAJAS COLECTORES Y ESTRUCTURAS, BASES TANQUES</t>
  </si>
  <si>
    <t>15/1</t>
  </si>
  <si>
    <t>ENERO DE 2021</t>
  </si>
  <si>
    <t>21/1</t>
  </si>
  <si>
    <t>MATIAS ALVAREDO - SALDO</t>
  </si>
  <si>
    <t>COBRO LUZ TEM 2019-2020</t>
  </si>
  <si>
    <t>27/1</t>
  </si>
  <si>
    <t>6 BOLSAS ISOCRET</t>
  </si>
  <si>
    <t>28/1</t>
  </si>
  <si>
    <t>DPTO. MORENO 3154 8°B</t>
  </si>
  <si>
    <t>24/2/21</t>
  </si>
  <si>
    <t>CUOTA Nª5 - AÑO 2021</t>
  </si>
  <si>
    <t>GARDACANTOS CHAMPAGNE 9 MM</t>
  </si>
  <si>
    <t>17/2</t>
  </si>
  <si>
    <t>SALDO - VARIOS</t>
  </si>
  <si>
    <t>18/2</t>
  </si>
  <si>
    <t>FEBRERO DE 2021</t>
  </si>
  <si>
    <t>ADICIONAL: DESAGUES EQUIPOS CONDENSADOR</t>
  </si>
  <si>
    <t>CERTIFICADO Nª8</t>
  </si>
  <si>
    <t>18/03/2021</t>
  </si>
  <si>
    <t>18/3</t>
  </si>
  <si>
    <t>CASA LUCERO - 1 TERMICA</t>
  </si>
  <si>
    <t>22/03/2021</t>
  </si>
  <si>
    <t>VENTILACION CALDERA - ZINGUERIA</t>
  </si>
  <si>
    <t>23/3</t>
  </si>
  <si>
    <t>GUARDACANTO CHAMPAGNE: 4 CANTONERAS</t>
  </si>
  <si>
    <t>CERTIFICADO N°8</t>
  </si>
  <si>
    <t>25/3</t>
  </si>
  <si>
    <t>10 BOLSAS ISOCRET</t>
  </si>
  <si>
    <t>TANQUE 2500 L</t>
  </si>
  <si>
    <t>AGUAS GRISES Y 5 TANQUES - SALDO</t>
  </si>
  <si>
    <t>MEDIANERA VASINI FLORIO</t>
  </si>
  <si>
    <t>CONVENIO MEDIANERA</t>
  </si>
  <si>
    <t>PAGO CTA. - ADICIONAL (1)</t>
  </si>
  <si>
    <t>15/4</t>
  </si>
  <si>
    <t>ABRIL DE 2021</t>
  </si>
  <si>
    <t>16/4</t>
  </si>
  <si>
    <t>20/4</t>
  </si>
  <si>
    <t>LAMPARA LED</t>
  </si>
  <si>
    <t>14/5</t>
  </si>
  <si>
    <t>19/5</t>
  </si>
  <si>
    <t>MAYO DE 2021</t>
  </si>
  <si>
    <t>31/5</t>
  </si>
  <si>
    <t>PUBLICIDAD ROJO 7000 MAYO 2021</t>
  </si>
  <si>
    <t>RUTILO 36 X 36</t>
  </si>
  <si>
    <t>EL AGUILA SANITARIOS: GAL TEE 45ª1 1/2</t>
  </si>
  <si>
    <t>RE-SA - ARTICULOS VARIOS</t>
  </si>
  <si>
    <t>MANO DE OBRA QUINCHO, SALA DE MAQUINAS, PUESTA EN MARCHA CALEFACCION</t>
  </si>
  <si>
    <t>14/6/2021</t>
  </si>
  <si>
    <t>GAL TEE 45°2</t>
  </si>
  <si>
    <t>24/6/2021</t>
  </si>
  <si>
    <t>A CTA. EQUIPOS SUBSUELO Y REJILLAS BAÑOS</t>
  </si>
  <si>
    <t>28/06/21</t>
  </si>
  <si>
    <t>LADRILLOS 12x18x33</t>
  </si>
  <si>
    <t>29/06/2021</t>
  </si>
  <si>
    <t>30/06/2021</t>
  </si>
  <si>
    <t>PREMARCOS CONTRAFRENTE - A CTA.</t>
  </si>
  <si>
    <t>CODO HH 90 1"1/2 GALV</t>
  </si>
  <si>
    <t>PREMARCOS CONTRAFRENTE - SALDO</t>
  </si>
  <si>
    <t>VENTILACIONES BAÑO SOTANO</t>
  </si>
  <si>
    <t>DIF. X POTENCIA DE BOMBAS DE AGUA</t>
  </si>
  <si>
    <t>SALA DE TANQUES Y CIELO RASOS</t>
  </si>
  <si>
    <t>2 CONTENEDORES</t>
  </si>
  <si>
    <t>SALDO -  ADICIONAL (1)</t>
  </si>
  <si>
    <t>SALDO MATERIALES</t>
  </si>
  <si>
    <t>SILVA REVOQUES</t>
  </si>
  <si>
    <t>PAGO A CTA. - REVOQUES (TOTAL: $1.850.000)</t>
  </si>
  <si>
    <t>CERTIFICADO Nº9 - INSTALACION SANITARIA</t>
  </si>
  <si>
    <t>MAYOR COSTO Nº9  INSTALACION SANITARIA</t>
  </si>
  <si>
    <t>A CTA. TRABAJOS ADICIONALES(2)</t>
  </si>
  <si>
    <t>ADICIONAL - TANQUES AGUAS GRISES</t>
  </si>
  <si>
    <t>MARCELO ARISTON</t>
  </si>
  <si>
    <t>MANO DE OBRA Y MATERIALES (RESTAN 2 PAGOS DE $30.000)</t>
  </si>
  <si>
    <t>A CTA. TRABAJOS ADICIONAL ES(2)</t>
  </si>
  <si>
    <t>CAPATAZ JUAN VIACARRA</t>
  </si>
  <si>
    <t>DEL 15 AL 30 DE NOVIEMBRE 2021</t>
  </si>
  <si>
    <t>PAGO A CTA. REVOQUES (TOTAL:$1.850.000)</t>
  </si>
  <si>
    <t xml:space="preserve">SALA DE TANQUES </t>
  </si>
  <si>
    <t>PAGO A CTA. MATERIALES TEJIDO (TOTAL:$28.471.000)</t>
  </si>
  <si>
    <t>PAGO A CTA. CORODOBA M. OBRA (TOTAL:$28.471.000)</t>
  </si>
  <si>
    <t>POLIURITANO</t>
  </si>
  <si>
    <t>A CTA. TRABAJOS ADICIONALES(2) - SALDO</t>
  </si>
  <si>
    <t>DICIEMBRE DE 2021</t>
  </si>
  <si>
    <t>INGENIERO LUIS ORTIZ</t>
  </si>
  <si>
    <t>ENERO DE 2022</t>
  </si>
  <si>
    <t>CUOTA Nª6 - AÑO 2022</t>
  </si>
  <si>
    <t>FEBRERO DE 2022</t>
  </si>
  <si>
    <t>MATERIALES VS.</t>
  </si>
  <si>
    <t>GERY SA</t>
  </si>
  <si>
    <t>SERVICIOS TEMP. 2021-2022</t>
  </si>
  <si>
    <t>ABRIL DE 2022</t>
  </si>
  <si>
    <t>CODO, CUPLA</t>
  </si>
  <si>
    <t>TEE, UNION, BUJE</t>
  </si>
  <si>
    <t>JUNIO DE 2022</t>
  </si>
  <si>
    <t>2º ETAPA PROYECTO/DIRECCION, PUESTA MARCHA + MATERIALES</t>
  </si>
  <si>
    <t>JULIO DE 2022</t>
  </si>
  <si>
    <t>IMAGENES 3D</t>
  </si>
  <si>
    <t>AGOSTO DE 2022</t>
  </si>
  <si>
    <t>CERTIFICADO N°10</t>
  </si>
  <si>
    <t>SEPTIEMBRE DE 2022</t>
  </si>
  <si>
    <t>OCTUBRE DE 2022</t>
  </si>
  <si>
    <t>MAYOR COSTO Nº10  INSTALACION SANITARIA</t>
  </si>
  <si>
    <t>NOVIEMBRE DE 2022</t>
  </si>
  <si>
    <t>DICIEMBRE DE 2022</t>
  </si>
  <si>
    <t>ENERO DE 2023  ($80.000) + ADICIONALES</t>
  </si>
  <si>
    <t>SERVICIOS TEMP. 2022-2023</t>
  </si>
  <si>
    <t>PINTOR VICTOR</t>
  </si>
  <si>
    <t>REP. Y PINTURA AV. COLON1735 - 12º C</t>
  </si>
  <si>
    <t>ABRIL DE 2023</t>
  </si>
  <si>
    <t>HONORARIOS AÑO 2023</t>
  </si>
  <si>
    <t>SALDO CONTRAFRENTE</t>
  </si>
  <si>
    <t xml:space="preserve">CONTADOR </t>
  </si>
  <si>
    <t>MAYO DE 2023</t>
  </si>
  <si>
    <t>HONORIOS ESTUDIO CONTABLE</t>
  </si>
  <si>
    <t>JUNIO 2023 + SAC</t>
  </si>
  <si>
    <t>GANIN HERRAMIENTAS</t>
  </si>
  <si>
    <t>ARCO Y NIVELADOR</t>
  </si>
  <si>
    <t>BOLSA SEPARADOR</t>
  </si>
  <si>
    <t>CASA LUCEROS</t>
  </si>
  <si>
    <t xml:space="preserve">15 LAMPARAS LED - 4 TUBOS </t>
  </si>
  <si>
    <t xml:space="preserve">GANIN </t>
  </si>
  <si>
    <t>NIVELADOR</t>
  </si>
  <si>
    <t>JULIO DE 2023</t>
  </si>
  <si>
    <t>SILFER ALUMINIO</t>
  </si>
  <si>
    <t>VARILLAS ACERO</t>
  </si>
  <si>
    <t>VISAGRAS-PASADORES-</t>
  </si>
  <si>
    <t>EMILIO</t>
  </si>
  <si>
    <t>COLOCADOR CFTE. PISOS 7 - 8 Y 9</t>
  </si>
  <si>
    <t xml:space="preserve">MASTRANGELO </t>
  </si>
  <si>
    <t xml:space="preserve"> ALUMINIO FRENTE - SALDO</t>
  </si>
  <si>
    <t>EFMARCO</t>
  </si>
  <si>
    <t>SANEAMIENTO AMBIENTAL - PLAGAS</t>
  </si>
  <si>
    <t>COCHERA - FIN DE SEMANA OCTUBRE</t>
  </si>
  <si>
    <t>ADICIONAL LUCES ESPEJOS BAÑOS</t>
  </si>
  <si>
    <t>SALDO ELECTRICIDAD CON MATERIALES (TOTAL U$S 200.000 +  IVA)</t>
  </si>
  <si>
    <t>COLOCADOR PISOS 4-5-6/ 9 BAÑOS FRENTE PISOS 7-8-9/ BALCONES CFTE</t>
  </si>
  <si>
    <t>SERVICIOS TEMP. 2023/ 2024</t>
  </si>
  <si>
    <t>13 LAMPARAS LED</t>
  </si>
  <si>
    <t>ZAPICO</t>
  </si>
  <si>
    <t>PINTURA FRENTE BALCONES</t>
  </si>
  <si>
    <t>MC CONSTRUCCION SECA</t>
  </si>
  <si>
    <t>TRABAJOS EN PORTÓN</t>
  </si>
  <si>
    <t>HONORARIOS AÑO 2024</t>
  </si>
  <si>
    <t>DIC. 2024/ ENE 2025</t>
  </si>
  <si>
    <t>COBRO ASCENSORES - OSSE - EDEA</t>
  </si>
  <si>
    <t>SERVICIO</t>
  </si>
  <si>
    <t>AGOSTO DE 2023 A ENERO DE 2025</t>
  </si>
  <si>
    <t xml:space="preserve">CATALINA TORRES PIQUIN </t>
  </si>
  <si>
    <t xml:space="preserve">HONORARIOS  DECORACION </t>
  </si>
  <si>
    <t>FEB. 2025/ MAR 2025</t>
  </si>
  <si>
    <t>SALDO FINAL A LA FECHA HOY</t>
  </si>
  <si>
    <t>PAGO HUGO SALINAS</t>
  </si>
  <si>
    <t xml:space="preserve">HUGO SALINAS </t>
  </si>
  <si>
    <t>PAGO SALDO RESTANTE PINTURA (CANCELACION)</t>
  </si>
  <si>
    <t>DIF DE COBRO LUZ - PAGO INTERNET</t>
  </si>
  <si>
    <t>SALDO RESTANTE (CANCELACION)</t>
  </si>
  <si>
    <t>AVILA</t>
  </si>
  <si>
    <t>ARREGLO PORTÓN COCHERA</t>
  </si>
  <si>
    <t xml:space="preserve">TROCHE DANIEL </t>
  </si>
  <si>
    <t>COLOCACION PIEZAS Y CODOS CALDERA</t>
  </si>
  <si>
    <t>INSTALACIÓN SANITARIOS</t>
  </si>
  <si>
    <t xml:space="preserve">MIGUEL ANTONIO AVILA </t>
  </si>
  <si>
    <t xml:space="preserve">MANO DE OBRA DURLOCK </t>
  </si>
  <si>
    <t>CAPATAZ JUAN VIZCARRA</t>
  </si>
  <si>
    <t>FEBRERO DE 2025 A NOVIEMRE DE 2025</t>
  </si>
  <si>
    <t xml:space="preserve">ALQ  COCHERA </t>
  </si>
  <si>
    <t>TEMPORADA 2023-2024</t>
  </si>
  <si>
    <t xml:space="preserve">ALQ COCHERA </t>
  </si>
  <si>
    <t>TEMPORADA 2024-2025</t>
  </si>
  <si>
    <t>TEMPORADA 2025-2026</t>
  </si>
  <si>
    <t>FRENTE DEL 1 AL 9 PISO</t>
  </si>
  <si>
    <t>MES DE DICIEMBRE + AGUINALDO 2025</t>
  </si>
  <si>
    <t xml:space="preserve">INQ COCHERA </t>
  </si>
  <si>
    <t>LUZ DIC 2025/ ASCENSORES ENERO 2026/ OSSE PER 12/25</t>
  </si>
  <si>
    <t>MES DE ENERO 2026</t>
  </si>
  <si>
    <t>FERNANDO D ELIA</t>
  </si>
  <si>
    <t xml:space="preserve">OSSE P2-ASCENSORES FEB-EDEA ENERO </t>
  </si>
  <si>
    <t>MES DE FEBRERO 2026</t>
  </si>
  <si>
    <t>HONORARIOS BALANCE 2025 - 1/2026</t>
  </si>
  <si>
    <t>OSSE P3-ASCENSORES MAR-EDEA FEB</t>
  </si>
  <si>
    <t>MES DE MARZO DE 2026</t>
  </si>
  <si>
    <t>JUAN VIZCARRA HIJO</t>
  </si>
  <si>
    <t xml:space="preserve">TRABAJOS REALIZADOS (3 DIAS) </t>
  </si>
  <si>
    <t>MES DE ABRIL DE 2026</t>
  </si>
  <si>
    <t>JUAN  VIZCARRA HIJO</t>
  </si>
  <si>
    <t>TRABAJOS REALIZADOS (5 DIAS)</t>
  </si>
  <si>
    <t xml:space="preserve">TRABAJOS REALIZADOS (5 DIAS) </t>
  </si>
  <si>
    <t xml:space="preserve">JUAN VIZCARRA HIJO </t>
  </si>
  <si>
    <t>TRABAJOS REALIZADOS (4 DIAS)</t>
  </si>
  <si>
    <t>MANO DE OBRA Y COLOCACION ALUMINIO</t>
  </si>
  <si>
    <t xml:space="preserve">EDEA MARZO </t>
  </si>
  <si>
    <t>MES DE MAYO DE 2026</t>
  </si>
  <si>
    <t xml:space="preserve">MES DE JUNIO DE 2026+AGUINALDO </t>
  </si>
  <si>
    <t>MARTIN ALEJANDRO PEREZ</t>
  </si>
  <si>
    <t>CARTEL (DISEÑO +COLOCACION)</t>
  </si>
  <si>
    <t xml:space="preserve">JUAN VIZCARRA </t>
  </si>
  <si>
    <t>MES DE JULIO DE 2026</t>
  </si>
  <si>
    <t>DESAGUE EN EL BALCON DEL ENTRE PISO</t>
  </si>
  <si>
    <t>NES SA</t>
  </si>
  <si>
    <t>NES S.A.: HORMIGON</t>
  </si>
  <si>
    <t>NES S.A.: JUAN 1°ETAPA: SUBSUELOS, PLANTA BAJA Y CONTRAFRENTE</t>
  </si>
  <si>
    <t>NES S.A.: JUAN 2°ETAPA: CIERRE PAREDES</t>
  </si>
  <si>
    <t>NES S.A.: JUAN 3°ETAPA: TRABAJOS DE MAMPOSTERÍA</t>
  </si>
  <si>
    <t>TRABAJOS MAMPOSTERÍA  CUOTA N°12</t>
  </si>
  <si>
    <t>DIEGO - M.O.</t>
  </si>
  <si>
    <t>LOZAS</t>
  </si>
  <si>
    <t>MANGUERAS - CAJAS</t>
  </si>
  <si>
    <t>A CTA.</t>
  </si>
  <si>
    <t>FERRETERIA PARA ELECTRICIDAD</t>
  </si>
  <si>
    <t>TOLOZA - M.O.</t>
  </si>
  <si>
    <t>GARRIDO</t>
  </si>
  <si>
    <t xml:space="preserve">ENTRADA DE AGUA </t>
  </si>
  <si>
    <t>ARQUITECTO</t>
  </si>
  <si>
    <t>JUL - 2013</t>
  </si>
  <si>
    <t>AGOS - 2013</t>
  </si>
  <si>
    <t>50% Y 50%</t>
  </si>
  <si>
    <t>56134/64020 NC 4565</t>
  </si>
  <si>
    <t>56866/57357/57245</t>
  </si>
  <si>
    <t>DIC -2017</t>
  </si>
  <si>
    <t>ASCENSORES Y MONTA AUTOS</t>
  </si>
  <si>
    <t>FACTURA 43425</t>
  </si>
  <si>
    <t>FACTURA 49634</t>
  </si>
  <si>
    <t>FACTURA 69770</t>
  </si>
  <si>
    <t>FACTURA 4573</t>
  </si>
</sst>
</file>

<file path=xl/styles.xml><?xml version="1.0" encoding="utf-8"?>
<styleSheet xmlns="http://schemas.openxmlformats.org/spreadsheetml/2006/main">
  <numFmts count="14">
    <numFmt numFmtId="0" formatCode="General"/>
    <numFmt numFmtId="59" formatCode="[$ARS] #,##0.00"/>
    <numFmt numFmtId="60" formatCode="[$$-409] #,##0.00"/>
    <numFmt numFmtId="61" formatCode="[$U$S] #,##0.00"/>
    <numFmt numFmtId="62" formatCode="[$U$S ] #,##0.00"/>
    <numFmt numFmtId="63" formatCode="m/d/yyyy"/>
    <numFmt numFmtId="64" formatCode="dd&quot;/&quot;mm&quot;/&quot;yyyy"/>
    <numFmt numFmtId="65" formatCode="m/d"/>
    <numFmt numFmtId="66" formatCode="d/m/yyyy"/>
    <numFmt numFmtId="67" formatCode="d/m"/>
    <numFmt numFmtId="68" formatCode="dd/mm/yyyy"/>
    <numFmt numFmtId="69" formatCode="dd/mm/yy"/>
    <numFmt numFmtId="70" formatCode="mmmm yyyy"/>
    <numFmt numFmtId="71" formatCode="mm/dd/yyyy"/>
  </numFmts>
  <fonts count="18">
    <font>
      <sz val="10"/>
      <color indexed="8"/>
      <name val="Calibri"/>
    </font>
    <font>
      <sz val="12"/>
      <color indexed="8"/>
      <name val="Calibri"/>
    </font>
    <font>
      <sz val="14"/>
      <color indexed="8"/>
      <name val="Calibri"/>
    </font>
    <font>
      <sz val="11"/>
      <color indexed="8"/>
      <name val="Helvetica Neue"/>
    </font>
    <font>
      <u val="single"/>
      <sz val="12"/>
      <color indexed="11"/>
      <name val="Calibri"/>
    </font>
    <font>
      <sz val="15"/>
      <color indexed="8"/>
      <name val="Calibri"/>
    </font>
    <font>
      <b val="1"/>
      <sz val="10"/>
      <color indexed="8"/>
      <name val="Calibri"/>
    </font>
    <font>
      <b val="1"/>
      <u val="single"/>
      <sz val="10"/>
      <color indexed="8"/>
      <name val="Calibri"/>
    </font>
    <font>
      <b val="1"/>
      <sz val="11"/>
      <color indexed="8"/>
      <name val="Calibri"/>
    </font>
    <font>
      <sz val="10"/>
      <color indexed="11"/>
      <name val="Spectral"/>
    </font>
    <font>
      <b val="1"/>
      <sz val="10"/>
      <color indexed="11"/>
      <name val="Spectral"/>
    </font>
    <font>
      <sz val="10"/>
      <color indexed="11"/>
      <name val="Arial"/>
    </font>
    <font>
      <b val="1"/>
      <sz val="10"/>
      <color indexed="8"/>
      <name val="Spectral"/>
    </font>
    <font>
      <sz val="10"/>
      <color indexed="8"/>
      <name val="Spectral"/>
    </font>
    <font>
      <b val="1"/>
      <sz val="9"/>
      <color indexed="8"/>
      <name val="Spectral"/>
    </font>
    <font>
      <b val="1"/>
      <u val="single"/>
      <sz val="14"/>
      <color indexed="8"/>
      <name val="Spectral"/>
    </font>
    <font>
      <sz val="10"/>
      <color indexed="8"/>
      <name val="Arial"/>
    </font>
    <font>
      <sz val="10"/>
      <color indexed="8"/>
      <name val="Century Schoolbook"/>
    </font>
  </fonts>
  <fills count="1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s>
  <borders count="89">
    <border>
      <left/>
      <right/>
      <top/>
      <bottom/>
      <diagonal/>
    </border>
    <border>
      <left style="thin">
        <color indexed="12"/>
      </left>
      <right style="thin">
        <color indexed="12"/>
      </right>
      <top style="thin">
        <color indexed="12"/>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ck">
        <color indexed="8"/>
      </bottom>
      <diagonal/>
    </border>
    <border>
      <left style="thin">
        <color indexed="12"/>
      </left>
      <right/>
      <top/>
      <bottom/>
      <diagonal/>
    </border>
    <border>
      <left/>
      <right/>
      <top/>
      <bottom/>
      <diagonal/>
    </border>
    <border>
      <left/>
      <right style="thick">
        <color indexed="8"/>
      </right>
      <top style="thin">
        <color indexed="12"/>
      </top>
      <bottom style="thin">
        <color indexed="12"/>
      </bottom>
      <diagonal/>
    </border>
    <border>
      <left style="thick">
        <color indexed="8"/>
      </left>
      <right style="thin">
        <color indexed="12"/>
      </right>
      <top style="thick">
        <color indexed="8"/>
      </top>
      <bottom/>
      <diagonal/>
    </border>
    <border>
      <left style="thin">
        <color indexed="12"/>
      </left>
      <right style="thin">
        <color indexed="12"/>
      </right>
      <top style="thick">
        <color indexed="8"/>
      </top>
      <bottom/>
      <diagonal/>
    </border>
    <border>
      <left style="thin">
        <color indexed="12"/>
      </left>
      <right style="thick">
        <color indexed="8"/>
      </right>
      <top style="thick">
        <color indexed="8"/>
      </top>
      <bottom style="thin">
        <color indexed="12"/>
      </bottom>
      <diagonal/>
    </border>
    <border>
      <left style="thick">
        <color indexed="8"/>
      </left>
      <right style="thin">
        <color indexed="12"/>
      </right>
      <top style="thin">
        <color indexed="12"/>
      </top>
      <bottom style="thin">
        <color indexed="12"/>
      </bottom>
      <diagonal/>
    </border>
    <border>
      <left style="thick">
        <color indexed="8"/>
      </left>
      <right/>
      <top/>
      <bottom/>
      <diagonal/>
    </border>
    <border>
      <left style="thick">
        <color indexed="8"/>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ck">
        <color indexed="8"/>
      </right>
      <top style="thin">
        <color indexed="12"/>
      </top>
      <bottom style="thin">
        <color indexed="12"/>
      </bottom>
      <diagonal/>
    </border>
    <border>
      <left style="thin">
        <color indexed="12"/>
      </left>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12"/>
      </top>
      <bottom style="thin">
        <color indexed="12"/>
      </bottom>
      <diagonal/>
    </border>
    <border>
      <left style="thick">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thick">
        <color indexed="8"/>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12"/>
      </right>
      <top style="thin">
        <color indexed="8"/>
      </top>
      <bottom style="thick">
        <color indexed="8"/>
      </bottom>
      <diagonal/>
    </border>
    <border>
      <left style="thin">
        <color indexed="12"/>
      </left>
      <right style="thin">
        <color indexed="12"/>
      </right>
      <top style="thin">
        <color indexed="8"/>
      </top>
      <bottom style="thick">
        <color indexed="8"/>
      </bottom>
      <diagonal/>
    </border>
    <border>
      <left style="thin">
        <color indexed="12"/>
      </left>
      <right style="thick">
        <color indexed="8"/>
      </right>
      <top style="thin">
        <color indexed="8"/>
      </top>
      <bottom style="thick">
        <color indexed="8"/>
      </bottom>
      <diagonal/>
    </border>
    <border>
      <left style="thin">
        <color indexed="12"/>
      </left>
      <right/>
      <top style="thin">
        <color indexed="12"/>
      </top>
      <bottom style="thin">
        <color indexed="12"/>
      </bottom>
      <diagonal/>
    </border>
    <border>
      <left/>
      <right/>
      <top style="thick">
        <color indexed="8"/>
      </top>
      <bottom style="thick">
        <color indexed="8"/>
      </bottom>
      <diagonal/>
    </border>
    <border>
      <left/>
      <right style="thin">
        <color indexed="12"/>
      </right>
      <top style="thin">
        <color indexed="12"/>
      </top>
      <bottom style="thin">
        <color indexed="12"/>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right style="thick">
        <color indexed="8"/>
      </right>
      <top/>
      <bottom style="thin">
        <color indexed="12"/>
      </bottom>
      <diagonal/>
    </border>
    <border>
      <left style="thin">
        <color indexed="12"/>
      </left>
      <right style="thick">
        <color indexed="8"/>
      </right>
      <top style="thin">
        <color indexed="12"/>
      </top>
      <bottom/>
      <diagonal/>
    </border>
    <border>
      <left style="thick">
        <color indexed="8"/>
      </left>
      <right style="thin">
        <color indexed="12"/>
      </right>
      <top style="thin">
        <color indexed="12"/>
      </top>
      <bottom/>
      <diagonal/>
    </border>
    <border>
      <left/>
      <right style="thick">
        <color indexed="8"/>
      </right>
      <top/>
      <bottom/>
      <diagonal/>
    </border>
    <border>
      <left/>
      <right style="thin">
        <color indexed="12"/>
      </right>
      <top/>
      <bottom/>
      <diagonal/>
    </border>
    <border>
      <left style="thin">
        <color indexed="12"/>
      </left>
      <right/>
      <top/>
      <bottom style="thin">
        <color indexed="12"/>
      </bottom>
      <diagonal/>
    </border>
    <border>
      <left/>
      <right style="thin">
        <color indexed="12"/>
      </right>
      <top/>
      <bottom style="thin">
        <color indexed="12"/>
      </bottom>
      <diagonal/>
    </border>
    <border>
      <left style="thin">
        <color indexed="12"/>
      </left>
      <right style="thin">
        <color indexed="12"/>
      </right>
      <top style="thick">
        <color indexed="8"/>
      </top>
      <bottom style="thick">
        <color indexed="8"/>
      </bottom>
      <diagonal/>
    </border>
    <border>
      <left style="thin">
        <color indexed="12"/>
      </left>
      <right style="medium">
        <color indexed="8"/>
      </right>
      <top style="thin">
        <color indexed="12"/>
      </top>
      <bottom style="thin">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12"/>
      </right>
      <top style="thin">
        <color indexed="12"/>
      </top>
      <bottom style="thin">
        <color indexed="12"/>
      </bottom>
      <diagonal/>
    </border>
    <border>
      <left style="thin">
        <color indexed="8"/>
      </left>
      <right style="thin">
        <color indexed="12"/>
      </right>
      <top style="thin">
        <color indexed="8"/>
      </top>
      <bottom style="thin">
        <color indexed="8"/>
      </bottom>
      <diagonal/>
    </border>
    <border>
      <left/>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medium">
        <color indexed="8"/>
      </right>
      <top style="thin">
        <color indexed="8"/>
      </top>
      <bottom style="thin">
        <color indexed="8"/>
      </bottom>
      <diagonal/>
    </border>
    <border>
      <left style="medium">
        <color indexed="8"/>
      </left>
      <right style="thin">
        <color indexed="12"/>
      </right>
      <top style="thin">
        <color indexed="8"/>
      </top>
      <bottom style="thin">
        <color indexed="12"/>
      </bottom>
      <diagonal/>
    </border>
    <border>
      <left style="thin">
        <color indexed="12"/>
      </left>
      <right/>
      <top style="thin">
        <color indexed="8"/>
      </top>
      <bottom style="thin">
        <color indexed="12"/>
      </bottom>
      <diagonal/>
    </border>
    <border>
      <left style="medium">
        <color indexed="8"/>
      </left>
      <right style="thin">
        <color indexed="8"/>
      </right>
      <top style="thin">
        <color indexed="12"/>
      </top>
      <bottom style="thin">
        <color indexed="8"/>
      </bottom>
      <diagonal/>
    </border>
    <border>
      <left style="thin">
        <color indexed="8"/>
      </left>
      <right style="medium">
        <color indexed="8"/>
      </right>
      <top style="thin">
        <color indexed="12"/>
      </top>
      <bottom style="thin">
        <color indexed="8"/>
      </bottom>
      <diagonal/>
    </border>
    <border>
      <left style="medium">
        <color indexed="8"/>
      </left>
      <right style="thin">
        <color indexed="12"/>
      </right>
      <top style="thin">
        <color indexed="12"/>
      </top>
      <bottom/>
      <diagonal/>
    </border>
    <border>
      <left style="medium">
        <color indexed="8"/>
      </left>
      <right/>
      <top/>
      <bottom/>
      <diagonal/>
    </border>
    <border>
      <left style="medium">
        <color indexed="8"/>
      </left>
      <right style="thin">
        <color indexed="12"/>
      </right>
      <top/>
      <bottom style="thin">
        <color indexed="12"/>
      </bottom>
      <diagonal/>
    </border>
    <border>
      <left style="medium">
        <color indexed="8"/>
      </left>
      <right style="thin">
        <color indexed="12"/>
      </right>
      <top/>
      <bottom/>
      <diagonal/>
    </border>
    <border>
      <left style="thin">
        <color indexed="12"/>
      </left>
      <right style="thin">
        <color indexed="12"/>
      </right>
      <top/>
      <bottom/>
      <diagonal/>
    </border>
    <border>
      <left style="medium">
        <color indexed="8"/>
      </left>
      <right style="medium">
        <color indexed="8"/>
      </right>
      <top style="thin">
        <color indexed="8"/>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8"/>
      </right>
      <top style="thin">
        <color indexed="12"/>
      </top>
      <bottom style="thin">
        <color indexed="8"/>
      </bottom>
      <diagonal/>
    </border>
    <border>
      <left style="medium">
        <color indexed="8"/>
      </left>
      <right style="thin">
        <color indexed="8"/>
      </right>
      <top/>
      <bottom style="thin">
        <color indexed="8"/>
      </bottom>
      <diagonal/>
    </border>
    <border>
      <left style="thick">
        <color indexed="8"/>
      </left>
      <right style="thin">
        <color indexed="12"/>
      </right>
      <top style="thick">
        <color indexed="8"/>
      </top>
      <bottom style="thick">
        <color indexed="8"/>
      </bottom>
      <diagonal/>
    </border>
    <border>
      <left style="thin">
        <color indexed="12"/>
      </left>
      <right style="thick">
        <color indexed="8"/>
      </right>
      <top style="thick">
        <color indexed="8"/>
      </top>
      <bottom style="thick">
        <color indexed="8"/>
      </bottom>
      <diagonal/>
    </border>
    <border>
      <left style="thin">
        <color indexed="12"/>
      </left>
      <right style="thin">
        <color indexed="12"/>
      </right>
      <top style="thick">
        <color indexed="8"/>
      </top>
      <bottom style="thin">
        <color indexed="8"/>
      </bottom>
      <diagonal/>
    </border>
    <border>
      <left style="thick">
        <color indexed="8"/>
      </left>
      <right style="thick">
        <color indexed="8"/>
      </right>
      <top style="thick">
        <color indexed="8"/>
      </top>
      <bottom style="thick">
        <color indexed="8"/>
      </bottom>
      <diagonal/>
    </border>
    <border>
      <left style="thin">
        <color indexed="12"/>
      </left>
      <right style="thin">
        <color indexed="12"/>
      </right>
      <top style="thick">
        <color indexed="8"/>
      </top>
      <bottom style="thin">
        <color indexed="12"/>
      </bottom>
      <diagonal/>
    </border>
    <border>
      <left style="thin">
        <color indexed="8"/>
      </left>
      <right style="thin">
        <color indexed="12"/>
      </right>
      <top style="thin">
        <color indexed="12"/>
      </top>
      <bottom/>
      <diagonal/>
    </border>
    <border>
      <left style="thin">
        <color indexed="8"/>
      </left>
      <right style="thin">
        <color indexed="12"/>
      </right>
      <top/>
      <bottom/>
      <diagonal/>
    </border>
    <border>
      <left style="thin">
        <color indexed="8"/>
      </left>
      <right style="thin">
        <color indexed="12"/>
      </right>
      <top/>
      <bottom style="thin">
        <color indexed="12"/>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8"/>
      </left>
      <right style="thick">
        <color indexed="8"/>
      </right>
      <top style="thin">
        <color indexed="8"/>
      </top>
      <bottom/>
      <diagonal/>
    </border>
    <border>
      <left style="thick">
        <color indexed="8"/>
      </left>
      <right style="thin">
        <color indexed="8"/>
      </right>
      <top style="thin">
        <color indexed="8"/>
      </top>
      <bottom/>
      <diagonal/>
    </border>
    <border>
      <left style="thin">
        <color indexed="8"/>
      </left>
      <right style="thin">
        <color indexed="8"/>
      </right>
      <top style="thin">
        <color indexed="8"/>
      </top>
      <bottom style="thick">
        <color indexed="8"/>
      </bottom>
      <diagonal/>
    </border>
    <border>
      <left style="thin">
        <color indexed="8"/>
      </left>
      <right/>
      <top style="thin">
        <color indexed="12"/>
      </top>
      <bottom style="thin">
        <color indexed="12"/>
      </bottom>
      <diagonal/>
    </border>
    <border>
      <left style="thin">
        <color indexed="8"/>
      </left>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s>
  <cellStyleXfs count="1">
    <xf numFmtId="0" fontId="0" applyNumberFormat="0" applyFont="1" applyFill="0" applyBorder="0" applyAlignment="1" applyProtection="0">
      <alignment vertical="bottom"/>
    </xf>
  </cellStyleXfs>
  <cellXfs count="48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borderId="1" applyNumberFormat="1" applyFont="1" applyFill="0" applyBorder="1" applyAlignment="1" applyProtection="0">
      <alignment horizontal="center"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borderId="3" applyNumberFormat="1" applyFont="1" applyFill="0" applyBorder="1" applyAlignment="1" applyProtection="0">
      <alignment horizontal="center" vertical="bottom"/>
    </xf>
    <xf numFmtId="49" fontId="6" fillId="4" borderId="4" applyNumberFormat="1" applyFont="1" applyFill="1" applyBorder="1" applyAlignment="1" applyProtection="0">
      <alignment vertical="bottom"/>
    </xf>
    <xf numFmtId="59" fontId="0" fillId="4"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59" fontId="7" fillId="4" borderId="5" applyNumberFormat="1" applyFont="1" applyFill="1" applyBorder="1" applyAlignment="1" applyProtection="0">
      <alignment vertical="bottom"/>
    </xf>
    <xf numFmtId="49" fontId="6" fillId="5" borderId="11" applyNumberFormat="1" applyFont="1" applyFill="1" applyBorder="1" applyAlignment="1" applyProtection="0">
      <alignment vertical="bottom"/>
    </xf>
    <xf numFmtId="0" fontId="0" fillId="5" borderId="5" applyNumberFormat="0" applyFont="1" applyFill="1"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49" fontId="0" borderId="10" applyNumberFormat="1" applyFont="1" applyFill="0" applyBorder="1" applyAlignment="1" applyProtection="0">
      <alignment vertical="bottom"/>
    </xf>
    <xf numFmtId="60" fontId="0" borderId="2" applyNumberFormat="1" applyFont="1" applyFill="0" applyBorder="1" applyAlignment="1" applyProtection="0">
      <alignment horizontal="center" vertical="bottom"/>
    </xf>
    <xf numFmtId="61" fontId="0" borderId="14" applyNumberFormat="1" applyFont="1" applyFill="0" applyBorder="1" applyAlignment="1" applyProtection="0">
      <alignment horizontal="center" vertical="bottom"/>
    </xf>
    <xf numFmtId="49" fontId="8" fillId="4" borderId="17" applyNumberFormat="1" applyFont="1" applyFill="1" applyBorder="1" applyAlignment="1" applyProtection="0">
      <alignment vertical="bottom"/>
    </xf>
    <xf numFmtId="60" fontId="8" fillId="4" borderId="17" applyNumberFormat="1" applyFont="1" applyFill="1" applyBorder="1" applyAlignment="1" applyProtection="0">
      <alignment vertical="bottom"/>
    </xf>
    <xf numFmtId="61" fontId="8" fillId="4" borderId="17" applyNumberFormat="1" applyFont="1" applyFill="1" applyBorder="1" applyAlignment="1" applyProtection="0">
      <alignment vertical="bottom"/>
    </xf>
    <xf numFmtId="0" fontId="0" borderId="18" applyNumberFormat="0" applyFont="1" applyFill="0" applyBorder="1" applyAlignment="1" applyProtection="0">
      <alignment vertical="bottom"/>
    </xf>
    <xf numFmtId="49" fontId="0" borderId="19" applyNumberFormat="1" applyFont="1" applyFill="0" applyBorder="1" applyAlignment="1" applyProtection="0">
      <alignment vertical="bottom"/>
    </xf>
    <xf numFmtId="60" fontId="0" borderId="20" applyNumberFormat="1" applyFont="1" applyFill="0" applyBorder="1" applyAlignment="1" applyProtection="0">
      <alignment horizontal="center" vertical="bottom"/>
    </xf>
    <xf numFmtId="61" fontId="0" borderId="21" applyNumberFormat="1" applyFont="1" applyFill="0" applyBorder="1" applyAlignment="1" applyProtection="0">
      <alignment horizontal="center" vertical="bottom"/>
    </xf>
    <xf numFmtId="0" fontId="0" borderId="22" applyNumberFormat="0" applyFont="1" applyFill="0" applyBorder="1" applyAlignment="1" applyProtection="0">
      <alignment vertical="bottom"/>
    </xf>
    <xf numFmtId="49" fontId="8" borderId="23" applyNumberFormat="1" applyFont="1" applyFill="0" applyBorder="1" applyAlignment="1" applyProtection="0">
      <alignment vertical="bottom"/>
    </xf>
    <xf numFmtId="60" fontId="8" borderId="17" applyNumberFormat="1" applyFont="1" applyFill="0" applyBorder="1" applyAlignment="1" applyProtection="0">
      <alignment horizontal="center" vertical="bottom"/>
    </xf>
    <xf numFmtId="62" fontId="8" borderId="24" applyNumberFormat="1" applyFont="1" applyFill="0" applyBorder="1" applyAlignment="1" applyProtection="0">
      <alignment horizontal="center"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6" borderId="29"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0" borderId="30" applyNumberFormat="0" applyFont="1" applyFill="0" applyBorder="1" applyAlignment="1" applyProtection="0">
      <alignment vertical="bottom"/>
    </xf>
    <xf numFmtId="0" fontId="6"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vertical="bottom"/>
    </xf>
    <xf numFmtId="49" fontId="0" borderId="2" applyNumberFormat="1" applyFont="1" applyFill="0" applyBorder="1" applyAlignment="1" applyProtection="0">
      <alignment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38" applyNumberFormat="0" applyFont="1" applyFill="0" applyBorder="1" applyAlignment="1" applyProtection="0">
      <alignment vertical="bottom"/>
    </xf>
    <xf numFmtId="0" fontId="0" borderId="39" applyNumberFormat="0" applyFont="1" applyFill="0" applyBorder="1" applyAlignment="1" applyProtection="0">
      <alignment vertical="bottom"/>
    </xf>
    <xf numFmtId="0" fontId="0" borderId="40" applyNumberFormat="0" applyFont="1" applyFill="0" applyBorder="1" applyAlignment="1" applyProtection="0">
      <alignment vertical="bottom"/>
    </xf>
    <xf numFmtId="0" fontId="0" borderId="41" applyNumberFormat="0" applyFont="1" applyFill="0" applyBorder="1" applyAlignment="1" applyProtection="0">
      <alignment vertical="bottom"/>
    </xf>
    <xf numFmtId="0" fontId="0" applyNumberFormat="1" applyFont="1" applyFill="0" applyBorder="0" applyAlignment="1" applyProtection="0">
      <alignment vertical="bottom"/>
    </xf>
    <xf numFmtId="63" fontId="9" borderId="20" applyNumberFormat="1" applyFont="1" applyFill="0" applyBorder="1" applyAlignment="1" applyProtection="0">
      <alignment horizontal="center" vertical="bottom"/>
    </xf>
    <xf numFmtId="0" fontId="9" borderId="20" applyNumberFormat="0" applyFont="1" applyFill="0" applyBorder="1" applyAlignment="1" applyProtection="0">
      <alignment horizontal="center" vertical="bottom"/>
    </xf>
    <xf numFmtId="0" fontId="9" borderId="20" applyNumberFormat="0" applyFont="1" applyFill="0" applyBorder="1" applyAlignment="1" applyProtection="0">
      <alignment vertical="bottom"/>
    </xf>
    <xf numFmtId="0" fontId="9" borderId="42" applyNumberFormat="0" applyFont="1" applyFill="0" applyBorder="1" applyAlignment="1" applyProtection="0">
      <alignment vertical="bottom"/>
    </xf>
    <xf numFmtId="49" fontId="10" fillId="6" borderId="43" applyNumberFormat="1" applyFont="1" applyFill="1" applyBorder="1" applyAlignment="1" applyProtection="0">
      <alignment horizontal="center" vertical="bottom"/>
    </xf>
    <xf numFmtId="0" fontId="0" borderId="44" applyNumberFormat="0" applyFont="1" applyFill="0" applyBorder="1" applyAlignment="1" applyProtection="0">
      <alignment vertical="bottom"/>
    </xf>
    <xf numFmtId="49" fontId="10" fillId="7" borderId="43" applyNumberFormat="1" applyFont="1" applyFill="1" applyBorder="1" applyAlignment="1" applyProtection="0">
      <alignment horizontal="center" vertical="bottom"/>
    </xf>
    <xf numFmtId="0" fontId="0" borderId="45" applyNumberFormat="0" applyFont="1" applyFill="0" applyBorder="1" applyAlignment="1" applyProtection="0">
      <alignment vertical="bottom"/>
    </xf>
    <xf numFmtId="0" fontId="0" borderId="46" applyNumberFormat="0" applyFont="1" applyFill="0" applyBorder="1" applyAlignment="1" applyProtection="0">
      <alignment vertical="bottom"/>
    </xf>
    <xf numFmtId="49" fontId="10" fillId="8" borderId="47" applyNumberFormat="1" applyFont="1" applyFill="1" applyBorder="1" applyAlignment="1" applyProtection="0">
      <alignment horizontal="center" vertical="bottom"/>
    </xf>
    <xf numFmtId="0" fontId="0" borderId="48" applyNumberFormat="0" applyFont="1" applyFill="0" applyBorder="1" applyAlignment="1" applyProtection="0">
      <alignment vertical="bottom"/>
    </xf>
    <xf numFmtId="0" fontId="9" borderId="49" applyNumberFormat="0" applyFont="1" applyFill="0" applyBorder="1" applyAlignment="1" applyProtection="0">
      <alignment vertical="bottom"/>
    </xf>
    <xf numFmtId="0" fontId="9" borderId="2" applyNumberFormat="0" applyFont="1" applyFill="0" applyBorder="1" applyAlignment="1" applyProtection="0">
      <alignment vertical="bottom"/>
    </xf>
    <xf numFmtId="63" fontId="10" fillId="9" borderId="17" applyNumberFormat="1" applyFont="1" applyFill="1" applyBorder="1" applyAlignment="1" applyProtection="0">
      <alignment horizontal="center" vertical="center"/>
    </xf>
    <xf numFmtId="49" fontId="10" fillId="9" borderId="17" applyNumberFormat="1" applyFont="1" applyFill="1" applyBorder="1" applyAlignment="1" applyProtection="0">
      <alignment horizontal="center" vertical="center" wrapText="1"/>
    </xf>
    <xf numFmtId="49" fontId="9" borderId="17" applyNumberFormat="1" applyFont="1" applyFill="0" applyBorder="1" applyAlignment="1" applyProtection="0">
      <alignment horizontal="center" vertical="bottom"/>
    </xf>
    <xf numFmtId="49" fontId="9" borderId="50" applyNumberFormat="1" applyFont="1" applyFill="0" applyBorder="1" applyAlignment="1" applyProtection="0">
      <alignment vertical="bottom"/>
    </xf>
    <xf numFmtId="49" fontId="10" fillId="9" borderId="51" applyNumberFormat="1" applyFont="1" applyFill="1" applyBorder="1" applyAlignment="1" applyProtection="0">
      <alignment horizontal="center" vertical="center"/>
    </xf>
    <xf numFmtId="49" fontId="10" fillId="9" borderId="50" applyNumberFormat="1" applyFont="1" applyFill="1" applyBorder="1" applyAlignment="1" applyProtection="0">
      <alignment horizontal="center" vertical="center"/>
    </xf>
    <xf numFmtId="49" fontId="10" fillId="9" borderId="51" applyNumberFormat="1" applyFont="1" applyFill="1" applyBorder="1" applyAlignment="1" applyProtection="0">
      <alignment horizontal="center" vertical="center" wrapText="1"/>
    </xf>
    <xf numFmtId="49" fontId="10" fillId="9" borderId="17" applyNumberFormat="1" applyFont="1" applyFill="1" applyBorder="1" applyAlignment="1" applyProtection="0">
      <alignment horizontal="center" vertical="center"/>
    </xf>
    <xf numFmtId="0" fontId="10" fillId="9" borderId="52" applyNumberFormat="0" applyFont="1" applyFill="1" applyBorder="1" applyAlignment="1" applyProtection="0">
      <alignment horizontal="center" vertical="center"/>
    </xf>
    <xf numFmtId="0" fontId="10" fillId="9" borderId="2" applyNumberFormat="0" applyFont="1" applyFill="1" applyBorder="1" applyAlignment="1" applyProtection="0">
      <alignment horizontal="center" vertical="center"/>
    </xf>
    <xf numFmtId="63" fontId="9" fillId="5" borderId="17" applyNumberFormat="1" applyFont="1" applyFill="1" applyBorder="1" applyAlignment="1" applyProtection="0">
      <alignment horizontal="center" vertical="bottom"/>
    </xf>
    <xf numFmtId="0" fontId="9" fillId="5" borderId="17" applyNumberFormat="0" applyFont="1" applyFill="1" applyBorder="1" applyAlignment="1" applyProtection="0">
      <alignment horizontal="center" vertical="bottom"/>
    </xf>
    <xf numFmtId="0" fontId="9" fillId="5" borderId="17" applyNumberFormat="0" applyFont="1" applyFill="1" applyBorder="1" applyAlignment="1" applyProtection="0">
      <alignment vertical="bottom"/>
    </xf>
    <xf numFmtId="0" fontId="9" fillId="5" borderId="50" applyNumberFormat="0" applyFont="1" applyFill="1" applyBorder="1" applyAlignment="1" applyProtection="0">
      <alignment vertical="bottom"/>
    </xf>
    <xf numFmtId="60" fontId="10" fillId="5" borderId="51" applyNumberFormat="1" applyFont="1" applyFill="1" applyBorder="1" applyAlignment="1" applyProtection="0">
      <alignment horizontal="center" vertical="bottom"/>
    </xf>
    <xf numFmtId="60" fontId="10" fillId="5" borderId="17" applyNumberFormat="1" applyFont="1" applyFill="1" applyBorder="1" applyAlignment="1" applyProtection="0">
      <alignment horizontal="center" vertical="bottom"/>
    </xf>
    <xf numFmtId="61" fontId="10" fillId="5" borderId="50" applyNumberFormat="1" applyFont="1" applyFill="1" applyBorder="1" applyAlignment="1" applyProtection="0">
      <alignment horizontal="center" vertical="bottom"/>
    </xf>
    <xf numFmtId="60" fontId="9" fillId="5" borderId="51" applyNumberFormat="1" applyFont="1" applyFill="1" applyBorder="1" applyAlignment="1" applyProtection="0">
      <alignment horizontal="center" vertical="bottom"/>
    </xf>
    <xf numFmtId="60" fontId="10" fillId="5" borderId="17" applyNumberFormat="1" applyFont="1" applyFill="1" applyBorder="1" applyAlignment="1" applyProtection="0">
      <alignment horizontal="right" vertical="bottom"/>
    </xf>
    <xf numFmtId="62" fontId="10" fillId="5" borderId="50" applyNumberFormat="1" applyFont="1" applyFill="1" applyBorder="1" applyAlignment="1" applyProtection="0">
      <alignment horizontal="right" vertical="bottom"/>
    </xf>
    <xf numFmtId="0" fontId="9" borderId="52" applyNumberFormat="0" applyFont="1" applyFill="0" applyBorder="1" applyAlignment="1" applyProtection="0">
      <alignment vertical="bottom"/>
    </xf>
    <xf numFmtId="64" fontId="9" borderId="17" applyNumberFormat="1" applyFont="1" applyFill="0" applyBorder="1" applyAlignment="1" applyProtection="0">
      <alignment horizontal="center" vertical="bottom"/>
    </xf>
    <xf numFmtId="0" fontId="9" borderId="17" applyNumberFormat="0" applyFont="1" applyFill="0" applyBorder="1" applyAlignment="1" applyProtection="0">
      <alignment horizontal="center" vertical="bottom"/>
    </xf>
    <xf numFmtId="0" fontId="9" borderId="17" applyNumberFormat="0" applyFont="1" applyFill="0" applyBorder="1" applyAlignment="1" applyProtection="0">
      <alignment vertical="bottom"/>
    </xf>
    <xf numFmtId="60" fontId="9" borderId="51" applyNumberFormat="1" applyFont="1" applyFill="0" applyBorder="1" applyAlignment="1" applyProtection="0">
      <alignment vertical="bottom"/>
    </xf>
    <xf numFmtId="62" fontId="9" borderId="50" applyNumberFormat="1" applyFont="1" applyFill="0" applyBorder="1" applyAlignment="1" applyProtection="0">
      <alignment vertical="bottom"/>
    </xf>
    <xf numFmtId="60" fontId="10" borderId="51" applyNumberFormat="1" applyFont="1" applyFill="0" applyBorder="1" applyAlignment="1" applyProtection="0">
      <alignment horizontal="center" vertical="bottom"/>
    </xf>
    <xf numFmtId="61" fontId="10" borderId="50" applyNumberFormat="1" applyFont="1" applyFill="0" applyBorder="1" applyAlignment="1" applyProtection="0">
      <alignment horizontal="center" vertical="bottom"/>
    </xf>
    <xf numFmtId="60" fontId="9" borderId="51" applyNumberFormat="1" applyFont="1" applyFill="0" applyBorder="1" applyAlignment="1" applyProtection="0">
      <alignment horizontal="center" vertical="bottom"/>
    </xf>
    <xf numFmtId="60" fontId="9" borderId="17" applyNumberFormat="1" applyFont="1" applyFill="0" applyBorder="1" applyAlignment="1" applyProtection="0">
      <alignment vertical="bottom"/>
    </xf>
    <xf numFmtId="64" fontId="9" fillId="10" borderId="17" applyNumberFormat="1" applyFont="1" applyFill="1" applyBorder="1" applyAlignment="1" applyProtection="0">
      <alignment horizontal="center" vertical="bottom"/>
    </xf>
    <xf numFmtId="0" fontId="9" fillId="10" borderId="17" applyNumberFormat="0" applyFont="1" applyFill="1" applyBorder="1" applyAlignment="1" applyProtection="0">
      <alignment horizontal="center" vertical="bottom"/>
    </xf>
    <xf numFmtId="0" fontId="9" fillId="10" borderId="17" applyNumberFormat="0" applyFont="1" applyFill="1" applyBorder="1" applyAlignment="1" applyProtection="0">
      <alignment vertical="bottom"/>
    </xf>
    <xf numFmtId="49" fontId="9" fillId="10" borderId="50" applyNumberFormat="1" applyFont="1" applyFill="1" applyBorder="1" applyAlignment="1" applyProtection="0">
      <alignment vertical="bottom"/>
    </xf>
    <xf numFmtId="60" fontId="9" fillId="10" borderId="51" applyNumberFormat="1" applyFont="1" applyFill="1" applyBorder="1" applyAlignment="1" applyProtection="0">
      <alignment vertical="bottom"/>
    </xf>
    <xf numFmtId="62" fontId="9" fillId="10" borderId="50" applyNumberFormat="1" applyFont="1" applyFill="1" applyBorder="1" applyAlignment="1" applyProtection="0">
      <alignment vertical="bottom"/>
    </xf>
    <xf numFmtId="60" fontId="10" fillId="10" borderId="51" applyNumberFormat="1" applyFont="1" applyFill="1" applyBorder="1" applyAlignment="1" applyProtection="0">
      <alignment horizontal="center" vertical="bottom"/>
    </xf>
    <xf numFmtId="61" fontId="10" fillId="10" borderId="50" applyNumberFormat="1" applyFont="1" applyFill="1" applyBorder="1" applyAlignment="1" applyProtection="0">
      <alignment horizontal="center" vertical="bottom"/>
    </xf>
    <xf numFmtId="60" fontId="9" fillId="10" borderId="51" applyNumberFormat="1" applyFont="1" applyFill="1" applyBorder="1" applyAlignment="1" applyProtection="0">
      <alignment horizontal="center" vertical="bottom"/>
    </xf>
    <xf numFmtId="49" fontId="9" fillId="10" borderId="17" applyNumberFormat="1" applyFont="1" applyFill="1" applyBorder="1" applyAlignment="1" applyProtection="0">
      <alignment vertical="bottom"/>
    </xf>
    <xf numFmtId="49" fontId="9" borderId="17" applyNumberFormat="1" applyFont="1" applyFill="0" applyBorder="1" applyAlignment="1" applyProtection="0">
      <alignment vertical="bottom"/>
    </xf>
    <xf numFmtId="49" fontId="9" fillId="10" borderId="47" applyNumberFormat="1" applyFont="1" applyFill="1" applyBorder="1" applyAlignment="1" applyProtection="0">
      <alignment vertical="bottom"/>
    </xf>
    <xf numFmtId="60" fontId="9" fillId="10" borderId="48" applyNumberFormat="1" applyFont="1" applyFill="1" applyBorder="1" applyAlignment="1" applyProtection="0">
      <alignment vertical="bottom"/>
    </xf>
    <xf numFmtId="49" fontId="9" borderId="53" applyNumberFormat="1" applyFont="1" applyFill="0" applyBorder="1" applyAlignment="1" applyProtection="0">
      <alignment vertical="bottom"/>
    </xf>
    <xf numFmtId="60" fontId="9" borderId="46" applyNumberFormat="1" applyFont="1" applyFill="0" applyBorder="1" applyAlignment="1" applyProtection="0">
      <alignment vertical="bottom"/>
    </xf>
    <xf numFmtId="0" fontId="9" borderId="17" applyNumberFormat="1" applyFont="1" applyFill="0" applyBorder="1" applyAlignment="1" applyProtection="0">
      <alignment horizontal="center" vertical="bottom"/>
    </xf>
    <xf numFmtId="0" fontId="9" borderId="53" applyNumberFormat="0" applyFont="1" applyFill="0" applyBorder="1" applyAlignment="1" applyProtection="0">
      <alignment horizontal="center" vertical="bottom"/>
    </xf>
    <xf numFmtId="49" fontId="9" borderId="46" applyNumberFormat="1" applyFont="1" applyFill="0" applyBorder="1" applyAlignment="1" applyProtection="0">
      <alignment horizontal="center" vertical="bottom"/>
    </xf>
    <xf numFmtId="0" fontId="9" fillId="10" borderId="17" applyNumberFormat="1" applyFont="1" applyFill="1" applyBorder="1" applyAlignment="1" applyProtection="0">
      <alignment horizontal="center" vertical="bottom"/>
    </xf>
    <xf numFmtId="49" fontId="9" borderId="46" applyNumberFormat="1" applyFont="1" applyFill="0" applyBorder="1" applyAlignment="1" applyProtection="0">
      <alignment vertical="bottom"/>
    </xf>
    <xf numFmtId="64" fontId="9" fillId="11" borderId="17" applyNumberFormat="1" applyFont="1" applyFill="1" applyBorder="1" applyAlignment="1" applyProtection="0">
      <alignment horizontal="center" vertical="bottom"/>
    </xf>
    <xf numFmtId="0" fontId="9" fillId="11" borderId="17" applyNumberFormat="1" applyFont="1" applyFill="1" applyBorder="1" applyAlignment="1" applyProtection="0">
      <alignment horizontal="center" vertical="bottom"/>
    </xf>
    <xf numFmtId="49" fontId="9" fillId="11" borderId="17" applyNumberFormat="1" applyFont="1" applyFill="1" applyBorder="1" applyAlignment="1" applyProtection="0">
      <alignment horizontal="center" vertical="bottom"/>
    </xf>
    <xf numFmtId="49" fontId="9" fillId="11" borderId="50" applyNumberFormat="1" applyFont="1" applyFill="1" applyBorder="1" applyAlignment="1" applyProtection="0">
      <alignment vertical="bottom"/>
    </xf>
    <xf numFmtId="60" fontId="9" fillId="11" borderId="51" applyNumberFormat="1" applyFont="1" applyFill="1" applyBorder="1" applyAlignment="1" applyProtection="0">
      <alignment vertical="bottom"/>
    </xf>
    <xf numFmtId="62" fontId="9" fillId="11" borderId="50" applyNumberFormat="1" applyFont="1" applyFill="1" applyBorder="1" applyAlignment="1" applyProtection="0">
      <alignment vertical="bottom"/>
    </xf>
    <xf numFmtId="60" fontId="10" fillId="11" borderId="51" applyNumberFormat="1" applyFont="1" applyFill="1" applyBorder="1" applyAlignment="1" applyProtection="0">
      <alignment horizontal="center" vertical="bottom"/>
    </xf>
    <xf numFmtId="61" fontId="10" fillId="11" borderId="50" applyNumberFormat="1" applyFont="1" applyFill="1" applyBorder="1" applyAlignment="1" applyProtection="0">
      <alignment horizontal="center" vertical="bottom"/>
    </xf>
    <xf numFmtId="60" fontId="9" fillId="11" borderId="51" applyNumberFormat="1" applyFont="1" applyFill="1" applyBorder="1" applyAlignment="1" applyProtection="0">
      <alignment horizontal="center" vertical="bottom"/>
    </xf>
    <xf numFmtId="49" fontId="9" fillId="11" borderId="47" applyNumberFormat="1" applyFont="1" applyFill="1" applyBorder="1" applyAlignment="1" applyProtection="0">
      <alignment vertical="bottom"/>
    </xf>
    <xf numFmtId="62" fontId="9" fillId="11" borderId="54" applyNumberFormat="1" applyFont="1" applyFill="1" applyBorder="1" applyAlignment="1" applyProtection="0">
      <alignment vertical="bottom"/>
    </xf>
    <xf numFmtId="0" fontId="9" borderId="30" applyNumberFormat="0" applyFont="1" applyFill="0" applyBorder="1" applyAlignment="1" applyProtection="0">
      <alignment vertical="bottom"/>
    </xf>
    <xf numFmtId="0" fontId="9" fillId="11" borderId="47" applyNumberFormat="1" applyFont="1" applyFill="1" applyBorder="1" applyAlignment="1" applyProtection="0">
      <alignment horizontal="center" vertical="bottom"/>
    </xf>
    <xf numFmtId="49" fontId="9" fillId="11" borderId="48" applyNumberFormat="1" applyFont="1" applyFill="1" applyBorder="1" applyAlignment="1" applyProtection="0">
      <alignment horizontal="center" vertical="bottom"/>
    </xf>
    <xf numFmtId="0" fontId="9" borderId="53" applyNumberFormat="1" applyFont="1" applyFill="0" applyBorder="1" applyAlignment="1" applyProtection="0">
      <alignment horizontal="center" vertical="bottom"/>
    </xf>
    <xf numFmtId="60" fontId="9" fillId="10" borderId="54" applyNumberFormat="1" applyFont="1" applyFill="1" applyBorder="1" applyAlignment="1" applyProtection="0">
      <alignment vertical="bottom"/>
    </xf>
    <xf numFmtId="62" fontId="9" fillId="10" borderId="44" applyNumberFormat="1" applyFont="1" applyFill="1" applyBorder="1" applyAlignment="1" applyProtection="0">
      <alignment vertical="bottom"/>
    </xf>
    <xf numFmtId="60" fontId="9" borderId="55" applyNumberFormat="1" applyFont="1" applyFill="0" applyBorder="1" applyAlignment="1" applyProtection="0">
      <alignment vertical="bottom"/>
    </xf>
    <xf numFmtId="62" fontId="9" borderId="56" applyNumberFormat="1" applyFont="1" applyFill="0" applyBorder="1" applyAlignment="1" applyProtection="0">
      <alignment vertical="bottom"/>
    </xf>
    <xf numFmtId="49" fontId="9" fillId="10" borderId="17" applyNumberFormat="1" applyFont="1" applyFill="1" applyBorder="1" applyAlignment="1" applyProtection="0">
      <alignment horizontal="center" vertical="bottom"/>
    </xf>
    <xf numFmtId="0" fontId="9" fillId="10" borderId="47" applyNumberFormat="1" applyFont="1" applyFill="1" applyBorder="1" applyAlignment="1" applyProtection="0">
      <alignment horizontal="center" vertical="bottom"/>
    </xf>
    <xf numFmtId="49" fontId="9" borderId="48" applyNumberFormat="1" applyFont="1" applyFill="0" applyBorder="1" applyAlignment="1" applyProtection="0">
      <alignment vertical="bottom"/>
    </xf>
    <xf numFmtId="49" fontId="9" borderId="2" applyNumberFormat="1" applyFont="1" applyFill="0" applyBorder="1" applyAlignment="1" applyProtection="0">
      <alignment vertical="bottom"/>
    </xf>
    <xf numFmtId="0" fontId="0" borderId="57" applyNumberFormat="0" applyFont="1" applyFill="0" applyBorder="1" applyAlignment="1" applyProtection="0">
      <alignment vertical="bottom"/>
    </xf>
    <xf numFmtId="0" fontId="0" borderId="58" applyNumberFormat="0" applyFont="1" applyFill="0" applyBorder="1" applyAlignment="1" applyProtection="0">
      <alignment vertical="bottom"/>
    </xf>
    <xf numFmtId="60" fontId="9" borderId="59" applyNumberFormat="1" applyFont="1" applyFill="0" applyBorder="1" applyAlignment="1" applyProtection="0">
      <alignment vertical="bottom"/>
    </xf>
    <xf numFmtId="62" fontId="9" borderId="60" applyNumberFormat="1" applyFont="1" applyFill="0" applyBorder="1" applyAlignment="1" applyProtection="0">
      <alignment vertical="bottom"/>
    </xf>
    <xf numFmtId="0" fontId="9" borderId="61" applyNumberFormat="0" applyFont="1" applyFill="0" applyBorder="1" applyAlignment="1" applyProtection="0">
      <alignment vertical="bottom"/>
    </xf>
    <xf numFmtId="0" fontId="9" borderId="1" applyNumberFormat="0" applyFont="1" applyFill="0" applyBorder="1" applyAlignment="1" applyProtection="0">
      <alignment vertical="bottom"/>
    </xf>
    <xf numFmtId="0" fontId="9" borderId="62" applyNumberFormat="0" applyFont="1" applyFill="0" applyBorder="1" applyAlignment="1" applyProtection="0">
      <alignment vertical="bottom"/>
    </xf>
    <xf numFmtId="0" fontId="9" borderId="5" applyNumberFormat="0" applyFont="1" applyFill="0" applyBorder="1" applyAlignment="1" applyProtection="0">
      <alignment vertical="bottom"/>
    </xf>
    <xf numFmtId="0" fontId="9" borderId="38" applyNumberFormat="0" applyFont="1" applyFill="0" applyBorder="1" applyAlignment="1" applyProtection="0">
      <alignment vertical="bottom"/>
    </xf>
    <xf numFmtId="60" fontId="9" fillId="12" borderId="17" applyNumberFormat="1" applyFont="1" applyFill="1" applyBorder="1" applyAlignment="1" applyProtection="0">
      <alignment vertical="bottom"/>
    </xf>
    <xf numFmtId="62" fontId="9" fillId="12" borderId="50" applyNumberFormat="1" applyFont="1" applyFill="1" applyBorder="1" applyAlignment="1" applyProtection="0">
      <alignment vertical="bottom"/>
    </xf>
    <xf numFmtId="0" fontId="9" fillId="12" borderId="62" applyNumberFormat="0" applyFont="1" applyFill="1" applyBorder="1" applyAlignment="1" applyProtection="0">
      <alignment vertical="bottom"/>
    </xf>
    <xf numFmtId="0" fontId="9" fillId="12" borderId="5" applyNumberFormat="0" applyFont="1" applyFill="1" applyBorder="1" applyAlignment="1" applyProtection="0">
      <alignment vertical="bottom"/>
    </xf>
    <xf numFmtId="0" fontId="9" fillId="12" borderId="38" applyNumberFormat="0" applyFont="1" applyFill="1" applyBorder="1" applyAlignment="1" applyProtection="0">
      <alignment vertical="bottom"/>
    </xf>
    <xf numFmtId="60" fontId="9" fillId="10" borderId="17" applyNumberFormat="1" applyFont="1" applyFill="1" applyBorder="1" applyAlignment="1" applyProtection="0">
      <alignment vertical="bottom"/>
    </xf>
    <xf numFmtId="0" fontId="9" fillId="10" borderId="62" applyNumberFormat="0" applyFont="1" applyFill="1" applyBorder="1" applyAlignment="1" applyProtection="0">
      <alignment vertical="bottom"/>
    </xf>
    <xf numFmtId="0" fontId="9" fillId="10" borderId="5" applyNumberFormat="0" applyFont="1" applyFill="1" applyBorder="1" applyAlignment="1" applyProtection="0">
      <alignment vertical="bottom"/>
    </xf>
    <xf numFmtId="0" fontId="9" fillId="10" borderId="38" applyNumberFormat="0" applyFont="1" applyFill="1" applyBorder="1" applyAlignment="1" applyProtection="0">
      <alignment vertical="bottom"/>
    </xf>
    <xf numFmtId="0" fontId="9" borderId="63" applyNumberFormat="0" applyFont="1" applyFill="0" applyBorder="1" applyAlignment="1" applyProtection="0">
      <alignment vertical="bottom"/>
    </xf>
    <xf numFmtId="0" fontId="9" borderId="13" applyNumberFormat="0" applyFont="1" applyFill="0" applyBorder="1" applyAlignment="1" applyProtection="0">
      <alignment vertical="bottom"/>
    </xf>
    <xf numFmtId="63" fontId="9" borderId="17" applyNumberFormat="1" applyFont="1" applyFill="0" applyBorder="1" applyAlignment="1" applyProtection="0">
      <alignment horizontal="center" vertical="bottom"/>
    </xf>
    <xf numFmtId="63" fontId="9" fillId="10" borderId="17" applyNumberFormat="1" applyFont="1" applyFill="1" applyBorder="1" applyAlignment="1" applyProtection="0">
      <alignment horizontal="center" vertical="bottom"/>
    </xf>
    <xf numFmtId="0" fontId="9" fillId="10" borderId="50" applyNumberFormat="0" applyFont="1" applyFill="1" applyBorder="1" applyAlignment="1" applyProtection="0">
      <alignment vertical="bottom"/>
    </xf>
    <xf numFmtId="49" fontId="9" borderId="52" applyNumberFormat="1" applyFont="1" applyFill="0" applyBorder="1" applyAlignment="1" applyProtection="0">
      <alignment vertical="bottom"/>
    </xf>
    <xf numFmtId="49" fontId="9" fillId="12" borderId="17" applyNumberFormat="1" applyFont="1" applyFill="1" applyBorder="1" applyAlignment="1" applyProtection="0">
      <alignment horizontal="center" vertical="bottom"/>
    </xf>
    <xf numFmtId="49" fontId="9" fillId="12" borderId="17" applyNumberFormat="1" applyFont="1" applyFill="1" applyBorder="1" applyAlignment="1" applyProtection="0">
      <alignment vertical="bottom"/>
    </xf>
    <xf numFmtId="49" fontId="9" fillId="12" borderId="50" applyNumberFormat="1" applyFont="1" applyFill="1" applyBorder="1" applyAlignment="1" applyProtection="0">
      <alignment vertical="bottom"/>
    </xf>
    <xf numFmtId="60" fontId="9" fillId="12" borderId="51" applyNumberFormat="1" applyFont="1" applyFill="1" applyBorder="1" applyAlignment="1" applyProtection="0">
      <alignment vertical="bottom"/>
    </xf>
    <xf numFmtId="63" fontId="9" fillId="12" borderId="17" applyNumberFormat="1" applyFont="1" applyFill="1" applyBorder="1" applyAlignment="1" applyProtection="0">
      <alignment horizontal="center" vertical="bottom"/>
    </xf>
    <xf numFmtId="49" fontId="9" fillId="12" borderId="17" applyNumberFormat="1" applyFont="1" applyFill="1" applyBorder="1" applyAlignment="1" applyProtection="0">
      <alignment horizontal="left" vertical="bottom"/>
    </xf>
    <xf numFmtId="61" fontId="10" fillId="12" borderId="50" applyNumberFormat="1" applyFont="1" applyFill="1" applyBorder="1" applyAlignment="1" applyProtection="0">
      <alignment horizontal="center" vertical="bottom"/>
    </xf>
    <xf numFmtId="60" fontId="9" fillId="12" borderId="51" applyNumberFormat="1" applyFont="1" applyFill="1" applyBorder="1" applyAlignment="1" applyProtection="0">
      <alignment horizontal="center" vertical="bottom"/>
    </xf>
    <xf numFmtId="0" fontId="9" borderId="17" applyNumberFormat="0" applyFont="1" applyFill="0" applyBorder="1" applyAlignment="1" applyProtection="0">
      <alignment horizontal="left" vertical="bottom"/>
    </xf>
    <xf numFmtId="49" fontId="9" fillId="13" borderId="17" applyNumberFormat="1" applyFont="1" applyFill="1" applyBorder="1" applyAlignment="1" applyProtection="0">
      <alignment horizontal="left" vertical="bottom"/>
    </xf>
    <xf numFmtId="49" fontId="9" fillId="13" borderId="17" applyNumberFormat="1" applyFont="1" applyFill="1" applyBorder="1" applyAlignment="1" applyProtection="0">
      <alignment vertical="bottom"/>
    </xf>
    <xf numFmtId="49" fontId="9" fillId="13" borderId="50" applyNumberFormat="1" applyFont="1" applyFill="1" applyBorder="1" applyAlignment="1" applyProtection="0">
      <alignment vertical="bottom"/>
    </xf>
    <xf numFmtId="60" fontId="9" fillId="14" borderId="17" applyNumberFormat="1" applyFont="1" applyFill="1" applyBorder="1" applyAlignment="1" applyProtection="0">
      <alignment vertical="bottom"/>
    </xf>
    <xf numFmtId="62" fontId="9" fillId="14" borderId="50" applyNumberFormat="1" applyFont="1" applyFill="1" applyBorder="1" applyAlignment="1" applyProtection="0">
      <alignment vertical="bottom"/>
    </xf>
    <xf numFmtId="0" fontId="9" fillId="14" borderId="62" applyNumberFormat="0" applyFont="1" applyFill="1" applyBorder="1" applyAlignment="1" applyProtection="0">
      <alignment vertical="bottom"/>
    </xf>
    <xf numFmtId="0" fontId="9" fillId="14" borderId="5" applyNumberFormat="0" applyFont="1" applyFill="1" applyBorder="1" applyAlignment="1" applyProtection="0">
      <alignment vertical="bottom"/>
    </xf>
    <xf numFmtId="0" fontId="9" fillId="14" borderId="38" applyNumberFormat="0" applyFont="1" applyFill="1" applyBorder="1" applyAlignment="1" applyProtection="0">
      <alignment vertical="bottom"/>
    </xf>
    <xf numFmtId="0" fontId="9" fillId="12" borderId="17" applyNumberFormat="0" applyFont="1" applyFill="1" applyBorder="1" applyAlignment="1" applyProtection="0">
      <alignment horizontal="center" vertical="bottom"/>
    </xf>
    <xf numFmtId="60" fontId="10" fillId="12" borderId="51" applyNumberFormat="1" applyFont="1" applyFill="1" applyBorder="1" applyAlignment="1" applyProtection="0">
      <alignment horizontal="center" vertical="bottom"/>
    </xf>
    <xf numFmtId="49" fontId="9" fillId="13" borderId="17" applyNumberFormat="1" applyFont="1" applyFill="1" applyBorder="1" applyAlignment="1" applyProtection="0">
      <alignment horizontal="center" vertical="bottom"/>
    </xf>
    <xf numFmtId="0" fontId="9" fillId="13" borderId="17" applyNumberFormat="0" applyFont="1" applyFill="1" applyBorder="1" applyAlignment="1" applyProtection="0">
      <alignment horizontal="center" vertical="bottom"/>
    </xf>
    <xf numFmtId="60" fontId="9" fillId="13" borderId="51" applyNumberFormat="1" applyFont="1" applyFill="1" applyBorder="1" applyAlignment="1" applyProtection="0">
      <alignment vertical="bottom"/>
    </xf>
    <xf numFmtId="62" fontId="9" fillId="13" borderId="50" applyNumberFormat="1" applyFont="1" applyFill="1" applyBorder="1" applyAlignment="1" applyProtection="0">
      <alignment vertical="bottom"/>
    </xf>
    <xf numFmtId="60" fontId="10" fillId="13" borderId="51" applyNumberFormat="1" applyFont="1" applyFill="1" applyBorder="1" applyAlignment="1" applyProtection="0">
      <alignment horizontal="center" vertical="bottom"/>
    </xf>
    <xf numFmtId="49" fontId="11" fillId="10" borderId="17" applyNumberFormat="1" applyFont="1" applyFill="1" applyBorder="1" applyAlignment="1" applyProtection="0">
      <alignment horizontal="center" vertical="bottom"/>
    </xf>
    <xf numFmtId="49" fontId="11" fillId="10" borderId="17" applyNumberFormat="1" applyFont="1" applyFill="1" applyBorder="1" applyAlignment="1" applyProtection="0">
      <alignment vertical="bottom"/>
    </xf>
    <xf numFmtId="49" fontId="11" fillId="10" borderId="50" applyNumberFormat="1" applyFont="1" applyFill="1" applyBorder="1" applyAlignment="1" applyProtection="0">
      <alignment vertical="bottom"/>
    </xf>
    <xf numFmtId="60" fontId="11" fillId="10" borderId="51" applyNumberFormat="1" applyFont="1" applyFill="1" applyBorder="1" applyAlignment="1" applyProtection="0">
      <alignment horizontal="center" vertical="bottom"/>
    </xf>
    <xf numFmtId="0" fontId="11" fillId="10" borderId="17" applyNumberFormat="1" applyFont="1" applyFill="1" applyBorder="1" applyAlignment="1" applyProtection="0">
      <alignment horizontal="center" vertical="bottom"/>
    </xf>
    <xf numFmtId="65" fontId="9" borderId="17" applyNumberFormat="1" applyFont="1" applyFill="0" applyBorder="1" applyAlignment="1" applyProtection="0">
      <alignment horizontal="center" vertical="bottom"/>
    </xf>
    <xf numFmtId="65" fontId="9" fillId="10" borderId="17" applyNumberFormat="1" applyFont="1" applyFill="1" applyBorder="1" applyAlignment="1" applyProtection="0">
      <alignment horizontal="center" vertical="bottom"/>
    </xf>
    <xf numFmtId="14" fontId="9" borderId="17" applyNumberFormat="1" applyFont="1" applyFill="0" applyBorder="1" applyAlignment="1" applyProtection="0">
      <alignment horizontal="center" vertical="bottom"/>
    </xf>
    <xf numFmtId="66" fontId="9" borderId="17" applyNumberFormat="1" applyFont="1" applyFill="0" applyBorder="1" applyAlignment="1" applyProtection="0">
      <alignment horizontal="center" vertical="bottom"/>
    </xf>
    <xf numFmtId="67" fontId="9" fillId="10" borderId="17" applyNumberFormat="1" applyFont="1" applyFill="1" applyBorder="1" applyAlignment="1" applyProtection="0">
      <alignment horizontal="center" vertical="bottom"/>
    </xf>
    <xf numFmtId="67" fontId="9" borderId="17" applyNumberFormat="1" applyFont="1" applyFill="0" applyBorder="1" applyAlignment="1" applyProtection="0">
      <alignment horizontal="center" vertical="bottom"/>
    </xf>
    <xf numFmtId="64" fontId="9" borderId="17" applyNumberFormat="1" applyFont="1" applyFill="0" applyBorder="1" applyAlignment="1" applyProtection="0">
      <alignment vertical="bottom"/>
    </xf>
    <xf numFmtId="0" fontId="9" borderId="64" applyNumberFormat="0" applyFont="1" applyFill="0" applyBorder="1" applyAlignment="1" applyProtection="0">
      <alignment vertical="bottom"/>
    </xf>
    <xf numFmtId="0" fontId="9" borderId="65" applyNumberFormat="0" applyFont="1" applyFill="0" applyBorder="1" applyAlignment="1" applyProtection="0">
      <alignment vertical="bottom"/>
    </xf>
    <xf numFmtId="64" fontId="9" fillId="10" borderId="17" applyNumberFormat="1" applyFont="1" applyFill="1" applyBorder="1" applyAlignment="1" applyProtection="0">
      <alignment vertical="bottom"/>
    </xf>
    <xf numFmtId="66" fontId="9" fillId="10" borderId="17" applyNumberFormat="1" applyFont="1" applyFill="1" applyBorder="1" applyAlignment="1" applyProtection="0">
      <alignment horizontal="center" vertical="bottom"/>
    </xf>
    <xf numFmtId="62" fontId="9" fillId="10" borderId="50" applyNumberFormat="1" applyFont="1" applyFill="1" applyBorder="1" applyAlignment="1" applyProtection="0">
      <alignment horizontal="center" vertical="bottom"/>
    </xf>
    <xf numFmtId="66" fontId="9" fillId="12" borderId="17" applyNumberFormat="1" applyFont="1" applyFill="1" applyBorder="1" applyAlignment="1" applyProtection="0">
      <alignment horizontal="center" vertical="bottom"/>
    </xf>
    <xf numFmtId="0" fontId="9" fillId="12" borderId="17" applyNumberFormat="1" applyFont="1" applyFill="1" applyBorder="1" applyAlignment="1" applyProtection="0">
      <alignment horizontal="center" vertical="bottom"/>
    </xf>
    <xf numFmtId="0" fontId="9" borderId="50" applyNumberFormat="0" applyFont="1" applyFill="0" applyBorder="1" applyAlignment="1" applyProtection="0">
      <alignment vertical="bottom"/>
    </xf>
    <xf numFmtId="49" fontId="9" fillId="10" borderId="51" applyNumberFormat="1" applyFont="1" applyFill="1" applyBorder="1" applyAlignment="1" applyProtection="0">
      <alignment vertical="bottom"/>
    </xf>
    <xf numFmtId="68" fontId="9" borderId="17" applyNumberFormat="1" applyFont="1" applyFill="0" applyBorder="1" applyAlignment="1" applyProtection="0">
      <alignment horizontal="center" vertical="bottom"/>
    </xf>
    <xf numFmtId="69" fontId="9" fillId="10" borderId="17" applyNumberFormat="1" applyFont="1" applyFill="1" applyBorder="1" applyAlignment="1" applyProtection="0">
      <alignment horizontal="center" vertical="bottom"/>
    </xf>
    <xf numFmtId="0" fontId="0" borderId="63" applyNumberFormat="0" applyFont="1" applyFill="0" applyBorder="1" applyAlignment="1" applyProtection="0">
      <alignment vertical="bottom"/>
    </xf>
    <xf numFmtId="0" fontId="0" borderId="52" applyNumberFormat="0" applyFont="1" applyFill="0" applyBorder="1" applyAlignment="1" applyProtection="0">
      <alignment vertical="bottom"/>
    </xf>
    <xf numFmtId="68" fontId="9" fillId="10" borderId="17" applyNumberFormat="1" applyFont="1" applyFill="1" applyBorder="1" applyAlignment="1" applyProtection="0">
      <alignment horizontal="center" vertical="bottom"/>
    </xf>
    <xf numFmtId="0" fontId="0" borderId="61" applyNumberFormat="0" applyFont="1" applyFill="0" applyBorder="1" applyAlignment="1" applyProtection="0">
      <alignment vertical="bottom"/>
    </xf>
    <xf numFmtId="68" fontId="9" fillId="12" borderId="17" applyNumberFormat="1" applyFont="1" applyFill="1" applyBorder="1" applyAlignment="1" applyProtection="0">
      <alignment horizontal="center" vertical="bottom"/>
    </xf>
    <xf numFmtId="0" fontId="0" fillId="12" borderId="62" applyNumberFormat="0" applyFont="1" applyFill="1" applyBorder="1" applyAlignment="1" applyProtection="0">
      <alignment vertical="bottom"/>
    </xf>
    <xf numFmtId="0" fontId="0" fillId="12" borderId="5" applyNumberFormat="0" applyFont="1" applyFill="1" applyBorder="1" applyAlignment="1" applyProtection="0">
      <alignment vertical="bottom"/>
    </xf>
    <xf numFmtId="0" fontId="0" fillId="12" borderId="38" applyNumberFormat="0" applyFont="1" applyFill="1" applyBorder="1" applyAlignment="1" applyProtection="0">
      <alignment vertical="bottom"/>
    </xf>
    <xf numFmtId="69" fontId="9" borderId="17" applyNumberFormat="1" applyFont="1" applyFill="0" applyBorder="1" applyAlignment="1" applyProtection="0">
      <alignment horizontal="center" vertical="bottom"/>
    </xf>
    <xf numFmtId="0" fontId="0" borderId="64" applyNumberFormat="0" applyFont="1" applyFill="0" applyBorder="1" applyAlignment="1" applyProtection="0">
      <alignment vertical="bottom"/>
    </xf>
    <xf numFmtId="0" fontId="0" borderId="65" applyNumberFormat="0" applyFont="1" applyFill="0" applyBorder="1" applyAlignment="1" applyProtection="0">
      <alignment vertical="bottom"/>
    </xf>
    <xf numFmtId="60" fontId="0" fillId="10" borderId="51" applyNumberFormat="1" applyFont="1" applyFill="1" applyBorder="1" applyAlignment="1" applyProtection="0">
      <alignment vertical="bottom"/>
    </xf>
    <xf numFmtId="62" fontId="0" fillId="10" borderId="50" applyNumberFormat="1" applyFont="1" applyFill="1" applyBorder="1" applyAlignment="1" applyProtection="0">
      <alignment vertical="bottom"/>
    </xf>
    <xf numFmtId="60" fontId="0" fillId="10" borderId="17" applyNumberFormat="1" applyFont="1" applyFill="1" applyBorder="1" applyAlignment="1" applyProtection="0">
      <alignment vertical="bottom"/>
    </xf>
    <xf numFmtId="60" fontId="0" borderId="51" applyNumberFormat="1" applyFont="1" applyFill="0" applyBorder="1" applyAlignment="1" applyProtection="0">
      <alignment vertical="bottom"/>
    </xf>
    <xf numFmtId="62" fontId="0" borderId="50" applyNumberFormat="1" applyFont="1" applyFill="0" applyBorder="1" applyAlignment="1" applyProtection="0">
      <alignment vertical="bottom"/>
    </xf>
    <xf numFmtId="60" fontId="0" borderId="17" applyNumberFormat="1" applyFont="1" applyFill="0" applyBorder="1" applyAlignment="1" applyProtection="0">
      <alignment vertical="bottom"/>
    </xf>
    <xf numFmtId="49" fontId="9" borderId="66" applyNumberFormat="1" applyFont="1" applyFill="0" applyBorder="1" applyAlignment="1" applyProtection="0">
      <alignment vertical="bottom"/>
    </xf>
    <xf numFmtId="62" fontId="0" borderId="66" applyNumberFormat="1" applyFont="1" applyFill="0" applyBorder="1" applyAlignment="1" applyProtection="0">
      <alignment vertical="bottom"/>
    </xf>
    <xf numFmtId="68" fontId="9" fillId="14" borderId="17" applyNumberFormat="1" applyFont="1" applyFill="1" applyBorder="1" applyAlignment="1" applyProtection="0">
      <alignment horizontal="center" vertical="bottom"/>
    </xf>
    <xf numFmtId="0" fontId="9" fillId="14" borderId="17" applyNumberFormat="0" applyFont="1" applyFill="1" applyBorder="1" applyAlignment="1" applyProtection="0">
      <alignment horizontal="center" vertical="bottom"/>
    </xf>
    <xf numFmtId="49" fontId="9" fillId="14" borderId="17" applyNumberFormat="1" applyFont="1" applyFill="1" applyBorder="1" applyAlignment="1" applyProtection="0">
      <alignment vertical="bottom"/>
    </xf>
    <xf numFmtId="49" fontId="9" fillId="14" borderId="50" applyNumberFormat="1" applyFont="1" applyFill="1" applyBorder="1" applyAlignment="1" applyProtection="0">
      <alignment vertical="bottom"/>
    </xf>
    <xf numFmtId="60" fontId="0" fillId="14" borderId="51" applyNumberFormat="1" applyFont="1" applyFill="1" applyBorder="1" applyAlignment="1" applyProtection="0">
      <alignment vertical="bottom"/>
    </xf>
    <xf numFmtId="62" fontId="0" fillId="14" borderId="50" applyNumberFormat="1" applyFont="1" applyFill="1" applyBorder="1" applyAlignment="1" applyProtection="0">
      <alignment vertical="bottom"/>
    </xf>
    <xf numFmtId="60" fontId="10" fillId="14" borderId="51" applyNumberFormat="1" applyFont="1" applyFill="1" applyBorder="1" applyAlignment="1" applyProtection="0">
      <alignment horizontal="center" vertical="bottom"/>
    </xf>
    <xf numFmtId="61" fontId="10" fillId="14" borderId="50" applyNumberFormat="1" applyFont="1" applyFill="1" applyBorder="1" applyAlignment="1" applyProtection="0">
      <alignment horizontal="center" vertical="bottom"/>
    </xf>
    <xf numFmtId="60" fontId="9" fillId="14" borderId="51" applyNumberFormat="1" applyFont="1" applyFill="1" applyBorder="1" applyAlignment="1" applyProtection="0">
      <alignment horizontal="center" vertical="bottom"/>
    </xf>
    <xf numFmtId="49" fontId="10" fillId="10" borderId="51" applyNumberFormat="1" applyFont="1" applyFill="1" applyBorder="1" applyAlignment="1" applyProtection="0">
      <alignment horizontal="center" vertical="bottom"/>
    </xf>
    <xf numFmtId="49" fontId="9" fillId="10" borderId="51"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64" fontId="12" borderId="20" applyNumberFormat="1" applyFont="1" applyFill="0" applyBorder="1" applyAlignment="1" applyProtection="0">
      <alignment vertical="bottom"/>
    </xf>
    <xf numFmtId="0" fontId="13" borderId="20" applyNumberFormat="0" applyFont="1" applyFill="0" applyBorder="1" applyAlignment="1" applyProtection="0">
      <alignment vertical="bottom"/>
    </xf>
    <xf numFmtId="0" fontId="13" borderId="42" applyNumberFormat="0" applyFont="1" applyFill="0" applyBorder="1" applyAlignment="1" applyProtection="0">
      <alignment vertical="bottom"/>
    </xf>
    <xf numFmtId="49" fontId="12" fillId="6" borderId="43" applyNumberFormat="1" applyFont="1" applyFill="1" applyBorder="1" applyAlignment="1" applyProtection="0">
      <alignment horizontal="center" vertical="bottom"/>
    </xf>
    <xf numFmtId="49" fontId="12" fillId="15" borderId="43" applyNumberFormat="1" applyFont="1" applyFill="1" applyBorder="1" applyAlignment="1" applyProtection="0">
      <alignment horizontal="center" vertical="bottom"/>
    </xf>
    <xf numFmtId="49" fontId="12" fillId="8" borderId="47" applyNumberFormat="1" applyFont="1" applyFill="1" applyBorder="1" applyAlignment="1" applyProtection="0">
      <alignment horizontal="center" vertical="bottom"/>
    </xf>
    <xf numFmtId="0" fontId="13" borderId="49" applyNumberFormat="0" applyFont="1" applyFill="0" applyBorder="1" applyAlignment="1" applyProtection="0">
      <alignment vertical="bottom"/>
    </xf>
    <xf numFmtId="0" fontId="13" borderId="2" applyNumberFormat="0" applyFont="1" applyFill="0" applyBorder="1" applyAlignment="1" applyProtection="0">
      <alignment vertical="bottom"/>
    </xf>
    <xf numFmtId="49" fontId="13" borderId="17" applyNumberFormat="1" applyFont="1" applyFill="0" applyBorder="1" applyAlignment="1" applyProtection="0">
      <alignment horizontal="center" vertical="bottom"/>
    </xf>
    <xf numFmtId="49" fontId="12" borderId="17" applyNumberFormat="1" applyFont="1" applyFill="0" applyBorder="1" applyAlignment="1" applyProtection="0">
      <alignment horizontal="center" vertical="bottom"/>
    </xf>
    <xf numFmtId="49" fontId="12" borderId="50" applyNumberFormat="1" applyFont="1" applyFill="0" applyBorder="1" applyAlignment="1" applyProtection="0">
      <alignment horizontal="center" vertical="bottom"/>
    </xf>
    <xf numFmtId="49" fontId="12" borderId="51" applyNumberFormat="1" applyFont="1" applyFill="0" applyBorder="1" applyAlignment="1" applyProtection="0">
      <alignment horizontal="center" vertical="bottom"/>
    </xf>
    <xf numFmtId="49" fontId="12" fillId="9" borderId="51" applyNumberFormat="1" applyFont="1" applyFill="1" applyBorder="1" applyAlignment="1" applyProtection="0">
      <alignment horizontal="center" vertical="top" wrapText="1"/>
    </xf>
    <xf numFmtId="0" fontId="13" borderId="52" applyNumberFormat="0" applyFont="1" applyFill="0" applyBorder="1" applyAlignment="1" applyProtection="0">
      <alignment vertical="bottom"/>
    </xf>
    <xf numFmtId="64" fontId="13" fillId="5" borderId="17" applyNumberFormat="1" applyFont="1" applyFill="1" applyBorder="1" applyAlignment="1" applyProtection="0">
      <alignment vertical="bottom"/>
    </xf>
    <xf numFmtId="0" fontId="13" fillId="5" borderId="17" applyNumberFormat="0" applyFont="1" applyFill="1" applyBorder="1" applyAlignment="1" applyProtection="0">
      <alignment vertical="bottom"/>
    </xf>
    <xf numFmtId="0" fontId="13" fillId="5" borderId="50" applyNumberFormat="0" applyFont="1" applyFill="1" applyBorder="1" applyAlignment="1" applyProtection="0">
      <alignment vertical="bottom"/>
    </xf>
    <xf numFmtId="60" fontId="12" fillId="5" borderId="51" applyNumberFormat="1" applyFont="1" applyFill="1" applyBorder="1" applyAlignment="1" applyProtection="0">
      <alignment horizontal="center" vertical="bottom"/>
    </xf>
    <xf numFmtId="60" fontId="12" fillId="5" borderId="17" applyNumberFormat="1" applyFont="1" applyFill="1" applyBorder="1" applyAlignment="1" applyProtection="0">
      <alignment horizontal="center" vertical="bottom"/>
    </xf>
    <xf numFmtId="62" fontId="12" fillId="5" borderId="17" applyNumberFormat="1" applyFont="1" applyFill="1" applyBorder="1" applyAlignment="1" applyProtection="0">
      <alignment horizontal="center" vertical="bottom"/>
    </xf>
    <xf numFmtId="60" fontId="13" fillId="5" borderId="17" applyNumberFormat="1" applyFont="1" applyFill="1" applyBorder="1" applyAlignment="1" applyProtection="0">
      <alignment vertical="bottom"/>
    </xf>
    <xf numFmtId="60" fontId="12" fillId="5" borderId="17" applyNumberFormat="1" applyFont="1" applyFill="1" applyBorder="1" applyAlignment="1" applyProtection="0">
      <alignment horizontal="right" vertical="bottom"/>
    </xf>
    <xf numFmtId="62" fontId="12" fillId="5" borderId="50" applyNumberFormat="1" applyFont="1" applyFill="1" applyBorder="1" applyAlignment="1" applyProtection="0">
      <alignment horizontal="right" vertical="bottom"/>
    </xf>
    <xf numFmtId="49" fontId="13" fillId="10" borderId="17" applyNumberFormat="1" applyFont="1" applyFill="1" applyBorder="1" applyAlignment="1" applyProtection="0">
      <alignment horizontal="center" vertical="bottom"/>
    </xf>
    <xf numFmtId="0" fontId="13" fillId="10" borderId="17" applyNumberFormat="0" applyFont="1" applyFill="1" applyBorder="1" applyAlignment="1" applyProtection="0">
      <alignment vertical="bottom"/>
    </xf>
    <xf numFmtId="49" fontId="13" fillId="10" borderId="50" applyNumberFormat="1" applyFont="1" applyFill="1" applyBorder="1" applyAlignment="1" applyProtection="0">
      <alignment vertical="bottom"/>
    </xf>
    <xf numFmtId="60" fontId="13" fillId="10" borderId="51" applyNumberFormat="1" applyFont="1" applyFill="1" applyBorder="1" applyAlignment="1" applyProtection="0">
      <alignment horizontal="center" vertical="bottom"/>
    </xf>
    <xf numFmtId="62" fontId="13" fillId="10" borderId="50" applyNumberFormat="1" applyFont="1" applyFill="1" applyBorder="1" applyAlignment="1" applyProtection="0">
      <alignment horizontal="center" vertical="bottom"/>
    </xf>
    <xf numFmtId="61" fontId="13" fillId="10" borderId="50" applyNumberFormat="1" applyFont="1" applyFill="1" applyBorder="1" applyAlignment="1" applyProtection="0">
      <alignment horizontal="center" vertical="bottom"/>
    </xf>
    <xf numFmtId="60" fontId="13" borderId="17" applyNumberFormat="1" applyFont="1" applyFill="0" applyBorder="1" applyAlignment="1" applyProtection="0">
      <alignment vertical="bottom"/>
    </xf>
    <xf numFmtId="62" fontId="13" borderId="50" applyNumberFormat="1" applyFont="1" applyFill="0" applyBorder="1" applyAlignment="1" applyProtection="0">
      <alignment vertical="bottom"/>
    </xf>
    <xf numFmtId="0" fontId="13" borderId="17" applyNumberFormat="0" applyFont="1" applyFill="0" applyBorder="1" applyAlignment="1" applyProtection="0">
      <alignment vertical="bottom"/>
    </xf>
    <xf numFmtId="49" fontId="13" borderId="50" applyNumberFormat="1" applyFont="1" applyFill="0" applyBorder="1" applyAlignment="1" applyProtection="0">
      <alignment vertical="bottom"/>
    </xf>
    <xf numFmtId="60" fontId="13" borderId="51" applyNumberFormat="1" applyFont="1" applyFill="0" applyBorder="1" applyAlignment="1" applyProtection="0">
      <alignment horizontal="center" vertical="bottom"/>
    </xf>
    <xf numFmtId="62" fontId="13" borderId="50" applyNumberFormat="1" applyFont="1" applyFill="0" applyBorder="1" applyAlignment="1" applyProtection="0">
      <alignment horizontal="center" vertical="bottom"/>
    </xf>
    <xf numFmtId="61" fontId="13" borderId="50" applyNumberFormat="1" applyFont="1" applyFill="0" applyBorder="1" applyAlignment="1" applyProtection="0">
      <alignment horizontal="center" vertical="bottom"/>
    </xf>
    <xf numFmtId="64" fontId="13" borderId="17" applyNumberFormat="1" applyFont="1" applyFill="0" applyBorder="1" applyAlignment="1" applyProtection="0">
      <alignment horizontal="center" vertical="bottom"/>
    </xf>
    <xf numFmtId="0" fontId="13" borderId="53" applyNumberFormat="0" applyFont="1" applyFill="0" applyBorder="1" applyAlignment="1" applyProtection="0">
      <alignment vertical="bottom"/>
    </xf>
    <xf numFmtId="49" fontId="13" borderId="46" applyNumberFormat="1" applyFont="1" applyFill="0" applyBorder="1" applyAlignment="1" applyProtection="0">
      <alignment horizontal="center" vertical="bottom"/>
    </xf>
    <xf numFmtId="64" fontId="13" fillId="10" borderId="17" applyNumberFormat="1" applyFont="1" applyFill="1" applyBorder="1" applyAlignment="1" applyProtection="0">
      <alignment horizontal="center" vertical="bottom"/>
    </xf>
    <xf numFmtId="0" fontId="13" fillId="10" borderId="47" applyNumberFormat="0" applyFont="1" applyFill="1" applyBorder="1" applyAlignment="1" applyProtection="0">
      <alignment vertical="bottom"/>
    </xf>
    <xf numFmtId="49" fontId="13" fillId="10" borderId="48" applyNumberFormat="1" applyFont="1" applyFill="1" applyBorder="1" applyAlignment="1" applyProtection="0">
      <alignment horizontal="center" vertical="bottom"/>
    </xf>
    <xf numFmtId="49" fontId="13" borderId="17" applyNumberFormat="1" applyFont="1" applyFill="0" applyBorder="1" applyAlignment="1" applyProtection="0">
      <alignment vertical="bottom"/>
    </xf>
    <xf numFmtId="0" fontId="13" borderId="17" applyNumberFormat="0" applyFont="1" applyFill="0" applyBorder="1" applyAlignment="1" applyProtection="0">
      <alignment horizontal="center" vertical="bottom"/>
    </xf>
    <xf numFmtId="0" fontId="13" fillId="10" borderId="17" applyNumberFormat="0" applyFont="1" applyFill="1" applyBorder="1" applyAlignment="1" applyProtection="0">
      <alignment horizontal="center" vertical="bottom"/>
    </xf>
    <xf numFmtId="49" fontId="13" fillId="10" borderId="47" applyNumberFormat="1" applyFont="1" applyFill="1" applyBorder="1" applyAlignment="1" applyProtection="0">
      <alignment vertical="bottom"/>
    </xf>
    <xf numFmtId="60" fontId="13" fillId="10" borderId="48" applyNumberFormat="1" applyFont="1" applyFill="1" applyBorder="1" applyAlignment="1" applyProtection="0">
      <alignment horizontal="center" vertical="bottom"/>
    </xf>
    <xf numFmtId="64" fontId="13" fillId="16" borderId="17" applyNumberFormat="1" applyFont="1" applyFill="1" applyBorder="1" applyAlignment="1" applyProtection="0">
      <alignment horizontal="center" vertical="bottom"/>
    </xf>
    <xf numFmtId="0" fontId="13" fillId="16" borderId="17" applyNumberFormat="0" applyFont="1" applyFill="1" applyBorder="1" applyAlignment="1" applyProtection="0">
      <alignment vertical="bottom"/>
    </xf>
    <xf numFmtId="49" fontId="13" fillId="16" borderId="17" applyNumberFormat="1" applyFont="1" applyFill="1" applyBorder="1" applyAlignment="1" applyProtection="0">
      <alignment horizontal="center" vertical="bottom"/>
    </xf>
    <xf numFmtId="49" fontId="13" fillId="16" borderId="50" applyNumberFormat="1" applyFont="1" applyFill="1" applyBorder="1" applyAlignment="1" applyProtection="0">
      <alignment vertical="bottom"/>
    </xf>
    <xf numFmtId="60" fontId="13" fillId="16" borderId="51" applyNumberFormat="1" applyFont="1" applyFill="1" applyBorder="1" applyAlignment="1" applyProtection="0">
      <alignment vertical="bottom"/>
    </xf>
    <xf numFmtId="62" fontId="13" fillId="16" borderId="50" applyNumberFormat="1" applyFont="1" applyFill="1" applyBorder="1" applyAlignment="1" applyProtection="0">
      <alignment vertical="bottom"/>
    </xf>
    <xf numFmtId="60" fontId="13" fillId="16" borderId="51" applyNumberFormat="1" applyFont="1" applyFill="1" applyBorder="1" applyAlignment="1" applyProtection="0">
      <alignment horizontal="center" vertical="bottom"/>
    </xf>
    <xf numFmtId="61" fontId="13" fillId="16" borderId="50" applyNumberFormat="1" applyFont="1" applyFill="1" applyBorder="1" applyAlignment="1" applyProtection="0">
      <alignment horizontal="center" vertical="bottom"/>
    </xf>
    <xf numFmtId="49" fontId="13" fillId="16" borderId="47" applyNumberFormat="1" applyFont="1" applyFill="1" applyBorder="1" applyAlignment="1" applyProtection="0">
      <alignment vertical="bottom"/>
    </xf>
    <xf numFmtId="62" fontId="13" fillId="16" borderId="54" applyNumberFormat="1" applyFont="1" applyFill="1" applyBorder="1" applyAlignment="1" applyProtection="0">
      <alignment vertical="bottom"/>
    </xf>
    <xf numFmtId="0" fontId="13" borderId="30" applyNumberFormat="0" applyFont="1" applyFill="0" applyBorder="1" applyAlignment="1" applyProtection="0">
      <alignment vertical="bottom"/>
    </xf>
    <xf numFmtId="0" fontId="13" fillId="16" borderId="47" applyNumberFormat="0" applyFont="1" applyFill="1" applyBorder="1" applyAlignment="1" applyProtection="0">
      <alignment vertical="bottom"/>
    </xf>
    <xf numFmtId="49" fontId="13" fillId="16" borderId="48" applyNumberFormat="1" applyFont="1" applyFill="1" applyBorder="1" applyAlignment="1" applyProtection="0">
      <alignment horizontal="center" vertical="bottom"/>
    </xf>
    <xf numFmtId="0" fontId="13" borderId="67" applyNumberFormat="0" applyFont="1" applyFill="0" applyBorder="1" applyAlignment="1" applyProtection="0">
      <alignment vertical="bottom"/>
    </xf>
    <xf numFmtId="0" fontId="13" borderId="22" applyNumberFormat="0" applyFont="1" applyFill="0" applyBorder="1" applyAlignment="1" applyProtection="0">
      <alignment vertical="bottom"/>
    </xf>
    <xf numFmtId="60" fontId="13" borderId="2" applyNumberFormat="1" applyFont="1" applyFill="0" applyBorder="1" applyAlignment="1" applyProtection="0">
      <alignment vertical="bottom"/>
    </xf>
    <xf numFmtId="62" fontId="13" borderId="2" applyNumberFormat="1" applyFont="1" applyFill="0" applyBorder="1" applyAlignment="1" applyProtection="0">
      <alignment vertical="bottom"/>
    </xf>
    <xf numFmtId="60" fontId="13" borderId="68" applyNumberFormat="1" applyFont="1" applyFill="0" applyBorder="1" applyAlignment="1" applyProtection="0">
      <alignment vertical="bottom"/>
    </xf>
    <xf numFmtId="49" fontId="13" borderId="60" applyNumberFormat="1" applyFont="1" applyFill="0" applyBorder="1" applyAlignment="1" applyProtection="0">
      <alignment vertical="bottom"/>
    </xf>
    <xf numFmtId="62" fontId="13" borderId="42" applyNumberFormat="1" applyFont="1" applyFill="0" applyBorder="1" applyAlignment="1" applyProtection="0">
      <alignment vertical="bottom"/>
    </xf>
    <xf numFmtId="0" fontId="13" borderId="57" applyNumberFormat="0" applyFont="1" applyFill="0" applyBorder="1" applyAlignment="1" applyProtection="0">
      <alignment vertical="bottom"/>
    </xf>
    <xf numFmtId="60" fontId="13" borderId="69" applyNumberFormat="1" applyFont="1" applyFill="0" applyBorder="1" applyAlignment="1" applyProtection="0">
      <alignment vertical="bottom"/>
    </xf>
    <xf numFmtId="60" fontId="13" borderId="52" applyNumberFormat="1" applyFont="1" applyFill="0" applyBorder="1" applyAlignment="1" applyProtection="0">
      <alignment vertical="bottom"/>
    </xf>
    <xf numFmtId="0" fontId="13" borderId="50" applyNumberFormat="0" applyFont="1" applyFill="0" applyBorder="1" applyAlignment="1" applyProtection="0">
      <alignment vertical="bottom"/>
    </xf>
    <xf numFmtId="49" fontId="13" fillId="12" borderId="17" applyNumberFormat="1" applyFont="1" applyFill="1" applyBorder="1" applyAlignment="1" applyProtection="0">
      <alignment horizontal="center" vertical="bottom"/>
    </xf>
    <xf numFmtId="49" fontId="13" borderId="2" applyNumberFormat="1" applyFont="1" applyFill="0" applyBorder="1" applyAlignment="1" applyProtection="0">
      <alignment vertical="bottom"/>
    </xf>
    <xf numFmtId="63" fontId="13" borderId="17" applyNumberFormat="1" applyFont="1" applyFill="0" applyBorder="1" applyAlignment="1" applyProtection="0">
      <alignment horizontal="center" vertical="bottom"/>
    </xf>
    <xf numFmtId="63" fontId="13" fillId="10" borderId="17" applyNumberFormat="1" applyFont="1" applyFill="1" applyBorder="1" applyAlignment="1" applyProtection="0">
      <alignment horizontal="center" vertical="bottom"/>
    </xf>
    <xf numFmtId="0" fontId="13" borderId="1" applyNumberFormat="0" applyFont="1" applyFill="0" applyBorder="1" applyAlignment="1" applyProtection="0">
      <alignment vertical="bottom"/>
    </xf>
    <xf numFmtId="0" fontId="13" borderId="17" applyNumberFormat="1" applyFont="1" applyFill="0" applyBorder="1" applyAlignment="1" applyProtection="0">
      <alignment horizontal="center" vertical="bottom"/>
    </xf>
    <xf numFmtId="60" fontId="13" borderId="51" applyNumberFormat="1" applyFont="1" applyFill="0" applyBorder="1" applyAlignment="1" applyProtection="0">
      <alignment vertical="bottom"/>
    </xf>
    <xf numFmtId="60" fontId="13" fillId="17" borderId="51" applyNumberFormat="1" applyFont="1" applyFill="1" applyBorder="1" applyAlignment="1" applyProtection="0">
      <alignment horizontal="center" vertical="bottom"/>
    </xf>
    <xf numFmtId="49" fontId="13" borderId="69" applyNumberFormat="1" applyFont="1" applyFill="0" applyBorder="1" applyAlignment="1" applyProtection="0">
      <alignment vertical="bottom"/>
    </xf>
    <xf numFmtId="60" fontId="13" borderId="59" applyNumberFormat="1" applyFont="1" applyFill="0" applyBorder="1" applyAlignment="1" applyProtection="0">
      <alignment vertical="bottom"/>
    </xf>
    <xf numFmtId="62" fontId="13" borderId="60" applyNumberFormat="1" applyFont="1" applyFill="0" applyBorder="1" applyAlignment="1" applyProtection="0">
      <alignment vertical="bottom"/>
    </xf>
    <xf numFmtId="60" fontId="12" fillId="17" borderId="70" applyNumberFormat="1" applyFont="1" applyFill="1" applyBorder="1" applyAlignment="1" applyProtection="0">
      <alignment horizontal="center" vertical="bottom"/>
    </xf>
    <xf numFmtId="61" fontId="12" borderId="60" applyNumberFormat="1" applyFont="1" applyFill="0" applyBorder="1" applyAlignment="1" applyProtection="0">
      <alignment horizontal="center" vertical="bottom"/>
    </xf>
    <xf numFmtId="60" fontId="13" borderId="59" applyNumberFormat="1" applyFont="1" applyFill="0" applyBorder="1" applyAlignment="1" applyProtection="0">
      <alignment horizontal="center" vertical="bottom"/>
    </xf>
    <xf numFmtId="49" fontId="13" borderId="69" applyNumberFormat="1" applyFont="1" applyFill="0" applyBorder="1" applyAlignment="1" applyProtection="0">
      <alignment horizontal="center" vertical="bottom"/>
    </xf>
    <xf numFmtId="0" fontId="13" borderId="69" applyNumberFormat="1" applyFont="1" applyFill="0" applyBorder="1" applyAlignment="1" applyProtection="0">
      <alignment horizontal="center" vertical="bottom"/>
    </xf>
    <xf numFmtId="66" fontId="13" borderId="17" applyNumberFormat="1" applyFont="1" applyFill="0" applyBorder="1" applyAlignment="1" applyProtection="0">
      <alignment horizontal="center" vertical="bottom"/>
    </xf>
    <xf numFmtId="66" fontId="13" fillId="10" borderId="17" applyNumberFormat="1" applyFont="1" applyFill="1" applyBorder="1" applyAlignment="1" applyProtection="0">
      <alignment horizontal="center" vertical="bottom"/>
    </xf>
    <xf numFmtId="0" fontId="13" fillId="10" borderId="17" applyNumberFormat="1" applyFont="1" applyFill="1" applyBorder="1" applyAlignment="1" applyProtection="0">
      <alignment vertical="bottom"/>
    </xf>
    <xf numFmtId="67" fontId="13" fillId="10" borderId="17" applyNumberFormat="1" applyFont="1" applyFill="1" applyBorder="1" applyAlignment="1" applyProtection="0">
      <alignment horizontal="center" vertical="bottom"/>
    </xf>
    <xf numFmtId="0" fontId="13" borderId="17" applyNumberFormat="1" applyFont="1" applyFill="0" applyBorder="1" applyAlignment="1" applyProtection="0">
      <alignment vertical="bottom"/>
    </xf>
    <xf numFmtId="67" fontId="13" borderId="17" applyNumberFormat="1" applyFont="1" applyFill="0" applyBorder="1" applyAlignment="1" applyProtection="0">
      <alignment horizontal="center" vertical="bottom"/>
    </xf>
    <xf numFmtId="0" fontId="13" borderId="61" applyNumberFormat="0" applyFont="1" applyFill="0" applyBorder="1" applyAlignment="1" applyProtection="0">
      <alignment vertical="bottom"/>
    </xf>
    <xf numFmtId="0" fontId="13" borderId="62" applyNumberFormat="0" applyFont="1" applyFill="0" applyBorder="1" applyAlignment="1" applyProtection="0">
      <alignment vertical="bottom"/>
    </xf>
    <xf numFmtId="0" fontId="13" borderId="5" applyNumberFormat="0" applyFont="1" applyFill="0" applyBorder="1" applyAlignment="1" applyProtection="0">
      <alignment vertical="bottom"/>
    </xf>
    <xf numFmtId="0" fontId="13" borderId="38" applyNumberFormat="0" applyFont="1" applyFill="0" applyBorder="1" applyAlignment="1" applyProtection="0">
      <alignment vertical="bottom"/>
    </xf>
    <xf numFmtId="0" fontId="13" borderId="63" applyNumberFormat="0" applyFont="1" applyFill="0" applyBorder="1" applyAlignment="1" applyProtection="0">
      <alignment vertical="bottom"/>
    </xf>
    <xf numFmtId="0" fontId="13" borderId="13" applyNumberFormat="0" applyFont="1" applyFill="0" applyBorder="1" applyAlignment="1" applyProtection="0">
      <alignment vertical="bottom"/>
    </xf>
    <xf numFmtId="70" fontId="13" borderId="17" applyNumberFormat="1" applyFont="1" applyFill="0" applyBorder="1" applyAlignment="1" applyProtection="0">
      <alignment horizontal="center" vertical="bottom"/>
    </xf>
    <xf numFmtId="49" fontId="13" fillId="10" borderId="50" applyNumberFormat="1" applyFont="1" applyFill="1" applyBorder="1" applyAlignment="1" applyProtection="0">
      <alignment horizontal="center" vertical="bottom"/>
    </xf>
    <xf numFmtId="68" fontId="13" fillId="10" borderId="17" applyNumberFormat="1" applyFont="1" applyFill="1" applyBorder="1" applyAlignment="1" applyProtection="0">
      <alignment horizontal="center" vertical="bottom"/>
    </xf>
    <xf numFmtId="68" fontId="13" borderId="17" applyNumberFormat="1" applyFont="1" applyFill="0" applyBorder="1" applyAlignment="1" applyProtection="0">
      <alignment horizontal="center" vertical="bottom"/>
    </xf>
    <xf numFmtId="49" fontId="13" borderId="51" applyNumberFormat="1" applyFont="1" applyFill="0" applyBorder="1" applyAlignment="1" applyProtection="0">
      <alignment horizontal="center" vertical="bottom"/>
    </xf>
    <xf numFmtId="64" fontId="13" borderId="17" applyNumberFormat="1" applyFont="1" applyFill="0" applyBorder="1" applyAlignment="1" applyProtection="0">
      <alignment vertical="bottom"/>
    </xf>
    <xf numFmtId="0" fontId="0" applyNumberFormat="1" applyFont="1" applyFill="0" applyBorder="0" applyAlignment="1" applyProtection="0">
      <alignment vertical="bottom"/>
    </xf>
    <xf numFmtId="64" fontId="13" borderId="2" applyNumberFormat="1" applyFont="1" applyFill="0" applyBorder="1" applyAlignment="1" applyProtection="0">
      <alignment horizontal="center" vertical="bottom"/>
    </xf>
    <xf numFmtId="0" fontId="12" borderId="2" applyNumberFormat="0" applyFont="1" applyFill="0" applyBorder="1" applyAlignment="1" applyProtection="0">
      <alignment horizontal="center" vertical="bottom"/>
    </xf>
    <xf numFmtId="0" fontId="12" borderId="3" applyNumberFormat="0" applyFont="1" applyFill="0" applyBorder="1" applyAlignment="1" applyProtection="0">
      <alignment horizontal="center" vertical="bottom"/>
    </xf>
    <xf numFmtId="60" fontId="12" borderId="3" applyNumberFormat="1" applyFont="1" applyFill="0" applyBorder="1" applyAlignment="1" applyProtection="0">
      <alignment horizontal="center" vertical="bottom"/>
    </xf>
    <xf numFmtId="62" fontId="12" borderId="2" applyNumberFormat="1" applyFont="1" applyFill="0" applyBorder="1" applyAlignment="1" applyProtection="0">
      <alignment horizontal="center" vertical="bottom"/>
    </xf>
    <xf numFmtId="60" fontId="14" fillId="9" borderId="2" applyNumberFormat="1" applyFont="1" applyFill="1" applyBorder="1" applyAlignment="1" applyProtection="0">
      <alignment horizontal="center" vertical="top" wrapText="1"/>
    </xf>
    <xf numFmtId="49" fontId="15" borderId="71" applyNumberFormat="1" applyFont="1" applyFill="0" applyBorder="1" applyAlignment="1" applyProtection="0">
      <alignment horizontal="center" vertical="bottom"/>
    </xf>
    <xf numFmtId="0" fontId="0" borderId="72" applyNumberFormat="0" applyFont="1" applyFill="0" applyBorder="1" applyAlignment="1" applyProtection="0">
      <alignment vertical="bottom"/>
    </xf>
    <xf numFmtId="64" fontId="13" borderId="20" applyNumberFormat="1" applyFont="1" applyFill="0" applyBorder="1" applyAlignment="1" applyProtection="0">
      <alignment horizontal="center" vertical="bottom"/>
    </xf>
    <xf numFmtId="0" fontId="12" borderId="20" applyNumberFormat="0" applyFont="1" applyFill="0" applyBorder="1" applyAlignment="1" applyProtection="0">
      <alignment horizontal="center" vertical="bottom"/>
    </xf>
    <xf numFmtId="0" fontId="12" borderId="73" applyNumberFormat="0" applyFont="1" applyFill="0" applyBorder="1" applyAlignment="1" applyProtection="0">
      <alignment horizontal="center" vertical="bottom"/>
    </xf>
    <xf numFmtId="60" fontId="12" borderId="73" applyNumberFormat="1" applyFont="1" applyFill="0" applyBorder="1" applyAlignment="1" applyProtection="0">
      <alignment horizontal="center" vertical="bottom"/>
    </xf>
    <xf numFmtId="62" fontId="12" borderId="20" applyNumberFormat="1" applyFont="1" applyFill="0" applyBorder="1" applyAlignment="1" applyProtection="0">
      <alignment horizontal="center" vertical="bottom"/>
    </xf>
    <xf numFmtId="60" fontId="14" fillId="9" borderId="20" applyNumberFormat="1" applyFont="1" applyFill="1" applyBorder="1" applyAlignment="1" applyProtection="0">
      <alignment horizontal="center" vertical="top" wrapText="1"/>
    </xf>
    <xf numFmtId="49" fontId="14" fillId="9" borderId="17" applyNumberFormat="1" applyFont="1" applyFill="1" applyBorder="1" applyAlignment="1" applyProtection="0">
      <alignment horizontal="center" vertical="top" wrapText="1"/>
    </xf>
    <xf numFmtId="0" fontId="0" borderId="49" applyNumberFormat="0" applyFont="1" applyFill="0" applyBorder="1" applyAlignment="1" applyProtection="0">
      <alignment vertical="bottom"/>
    </xf>
    <xf numFmtId="60" fontId="13" borderId="17" applyNumberFormat="1" applyFont="1" applyFill="0" applyBorder="1" applyAlignment="1" applyProtection="0">
      <alignment horizontal="center" vertical="bottom"/>
    </xf>
    <xf numFmtId="61" fontId="13" borderId="17" applyNumberFormat="1" applyFont="1" applyFill="0" applyBorder="1" applyAlignment="1" applyProtection="0">
      <alignment horizontal="center" vertical="bottom"/>
    </xf>
    <xf numFmtId="49" fontId="13" fillId="10" borderId="17" applyNumberFormat="1" applyFont="1" applyFill="1" applyBorder="1" applyAlignment="1" applyProtection="0">
      <alignment vertical="bottom"/>
    </xf>
    <xf numFmtId="60" fontId="13" fillId="10" borderId="17" applyNumberFormat="1" applyFont="1" applyFill="1" applyBorder="1" applyAlignment="1" applyProtection="0">
      <alignment horizontal="center" vertical="bottom"/>
    </xf>
    <xf numFmtId="61" fontId="13" fillId="10" borderId="17" applyNumberFormat="1" applyFont="1" applyFill="1" applyBorder="1" applyAlignment="1" applyProtection="0">
      <alignment horizontal="center" vertical="bottom"/>
    </xf>
    <xf numFmtId="49" fontId="6" borderId="74" applyNumberFormat="1" applyFont="1" applyFill="0" applyBorder="1" applyAlignment="1" applyProtection="0">
      <alignment horizontal="center" vertical="bottom"/>
    </xf>
    <xf numFmtId="0" fontId="6" borderId="74" applyNumberFormat="0" applyFont="1" applyFill="0" applyBorder="1" applyAlignment="1" applyProtection="0">
      <alignment vertical="bottom"/>
    </xf>
    <xf numFmtId="60" fontId="6" borderId="74" applyNumberFormat="1" applyFont="1" applyFill="0" applyBorder="1" applyAlignment="1" applyProtection="0">
      <alignment horizontal="center" vertical="bottom"/>
    </xf>
    <xf numFmtId="61" fontId="6" borderId="74" applyNumberFormat="1" applyFont="1" applyFill="0" applyBorder="1" applyAlignment="1" applyProtection="0">
      <alignment horizontal="center" vertical="bottom"/>
    </xf>
    <xf numFmtId="0" fontId="0" borderId="75" applyNumberFormat="0" applyFont="1" applyFill="0" applyBorder="1" applyAlignment="1" applyProtection="0">
      <alignment vertical="bottom"/>
    </xf>
    <xf numFmtId="49" fontId="15" fillId="9" borderId="71" applyNumberFormat="1" applyFont="1" applyFill="1" applyBorder="1" applyAlignment="1" applyProtection="0">
      <alignment horizontal="center" vertical="bottom" wrapText="1"/>
    </xf>
    <xf numFmtId="0" fontId="0" borderId="20" applyNumberFormat="0" applyFont="1" applyFill="0" applyBorder="1" applyAlignment="1" applyProtection="0">
      <alignment vertical="bottom"/>
    </xf>
    <xf numFmtId="0" fontId="0" borderId="73" applyNumberFormat="0" applyFont="1" applyFill="0" applyBorder="1" applyAlignment="1" applyProtection="0">
      <alignment vertical="bottom"/>
    </xf>
    <xf numFmtId="0" fontId="0" borderId="76" applyNumberFormat="0" applyFont="1" applyFill="0" applyBorder="1" applyAlignment="1" applyProtection="0">
      <alignment vertical="bottom"/>
    </xf>
    <xf numFmtId="60" fontId="13" borderId="77" applyNumberFormat="1" applyFont="1" applyFill="0" applyBorder="1" applyAlignment="1" applyProtection="0">
      <alignment horizontal="center" vertical="bottom"/>
    </xf>
    <xf numFmtId="0" fontId="0" borderId="78" applyNumberFormat="0" applyFont="1" applyFill="0" applyBorder="1" applyAlignment="1" applyProtection="0">
      <alignment vertical="bottom"/>
    </xf>
    <xf numFmtId="0" fontId="6" borderId="74" applyNumberFormat="0" applyFont="1" applyFill="0" applyBorder="1" applyAlignment="1" applyProtection="0">
      <alignment horizontal="center" vertical="bottom"/>
    </xf>
    <xf numFmtId="0" fontId="6" borderId="26" applyNumberFormat="0" applyFont="1" applyFill="0" applyBorder="1" applyAlignment="1" applyProtection="0">
      <alignment horizontal="center" vertical="bottom"/>
    </xf>
    <xf numFmtId="0" fontId="6" borderId="75" applyNumberFormat="0" applyFont="1" applyFill="0" applyBorder="1" applyAlignment="1" applyProtection="0">
      <alignment horizontal="center" vertical="bottom"/>
    </xf>
    <xf numFmtId="0" fontId="6" borderId="2" applyNumberFormat="0" applyFont="1" applyFill="0" applyBorder="1" applyAlignment="1" applyProtection="0">
      <alignment horizontal="center" vertical="bottom"/>
    </xf>
    <xf numFmtId="0" fontId="6" borderId="3" applyNumberFormat="0" applyFont="1" applyFill="0" applyBorder="1" applyAlignment="1" applyProtection="0">
      <alignment horizontal="center" vertical="bottom"/>
    </xf>
    <xf numFmtId="0" fontId="6" borderId="14" applyNumberFormat="0" applyFont="1" applyFill="0" applyBorder="1" applyAlignment="1" applyProtection="0">
      <alignment horizontal="center" vertical="bottom"/>
    </xf>
    <xf numFmtId="0" fontId="6" borderId="10" applyNumberFormat="0" applyFont="1" applyFill="0" applyBorder="1" applyAlignment="1" applyProtection="0">
      <alignment horizontal="center" vertical="bottom"/>
    </xf>
    <xf numFmtId="0" fontId="6" borderId="20" applyNumberFormat="0" applyFont="1" applyFill="0" applyBorder="1" applyAlignment="1" applyProtection="0">
      <alignment horizontal="center" vertical="bottom"/>
    </xf>
    <xf numFmtId="0" fontId="6" borderId="73" applyNumberFormat="0" applyFont="1" applyFill="0" applyBorder="1" applyAlignment="1" applyProtection="0">
      <alignment horizontal="center" vertical="bottom"/>
    </xf>
    <xf numFmtId="0" fontId="13" fillId="10" borderId="17" applyNumberFormat="1" applyFont="1" applyFill="1" applyBorder="1" applyAlignment="1" applyProtection="0">
      <alignment horizontal="center" vertical="bottom"/>
    </xf>
    <xf numFmtId="60" fontId="13" fillId="12" borderId="51" applyNumberFormat="1" applyFont="1" applyFill="1" applyBorder="1" applyAlignment="1" applyProtection="0">
      <alignment horizontal="center" vertical="bottom"/>
    </xf>
    <xf numFmtId="0" fontId="13" fillId="12" borderId="17" applyNumberFormat="0" applyFont="1" applyFill="1" applyBorder="1" applyAlignment="1" applyProtection="0">
      <alignment vertical="bottom"/>
    </xf>
    <xf numFmtId="49" fontId="13" fillId="12" borderId="50" applyNumberFormat="1" applyFont="1" applyFill="1" applyBorder="1" applyAlignment="1" applyProtection="0">
      <alignment vertical="bottom"/>
    </xf>
    <xf numFmtId="61" fontId="13" fillId="12" borderId="50" applyNumberFormat="1" applyFont="1" applyFill="1" applyBorder="1" applyAlignment="1" applyProtection="0">
      <alignment horizontal="center" vertical="bottom"/>
    </xf>
    <xf numFmtId="71" fontId="13" fillId="10" borderId="17" applyNumberFormat="1" applyFont="1" applyFill="1" applyBorder="1" applyAlignment="1" applyProtection="0">
      <alignment horizontal="center" vertical="bottom"/>
    </xf>
    <xf numFmtId="61" fontId="13" borderId="77"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49" fontId="13" borderId="47" applyNumberFormat="1" applyFont="1" applyFill="0" applyBorder="1" applyAlignment="1" applyProtection="0">
      <alignment vertical="bottom"/>
    </xf>
    <xf numFmtId="60" fontId="13" borderId="48" applyNumberFormat="1" applyFont="1" applyFill="0" applyBorder="1" applyAlignment="1" applyProtection="0">
      <alignment horizontal="center" vertical="bottom"/>
    </xf>
    <xf numFmtId="64" fontId="13" borderId="67" applyNumberFormat="1" applyFont="1" applyFill="0" applyBorder="1" applyAlignment="1" applyProtection="0">
      <alignment horizontal="center" vertical="bottom"/>
    </xf>
    <xf numFmtId="0" fontId="12" borderId="22" applyNumberFormat="0" applyFont="1" applyFill="0" applyBorder="1" applyAlignment="1" applyProtection="0">
      <alignment horizontal="center" vertical="bottom"/>
    </xf>
    <xf numFmtId="60" fontId="12" borderId="22" applyNumberFormat="1" applyFont="1" applyFill="0" applyBorder="1" applyAlignment="1" applyProtection="0">
      <alignment horizontal="center" vertical="bottom"/>
    </xf>
    <xf numFmtId="60" fontId="13" borderId="79" applyNumberFormat="1" applyFont="1" applyFill="0" applyBorder="1" applyAlignment="1" applyProtection="0">
      <alignment horizontal="center" vertical="bottom"/>
    </xf>
    <xf numFmtId="64" fontId="13" borderId="49" applyNumberFormat="1" applyFont="1" applyFill="0" applyBorder="1" applyAlignment="1" applyProtection="0">
      <alignment horizontal="center" vertical="bottom"/>
    </xf>
    <xf numFmtId="60" fontId="12" borderId="2" applyNumberFormat="1" applyFont="1" applyFill="0" applyBorder="1" applyAlignment="1" applyProtection="0">
      <alignment horizontal="center" vertical="bottom"/>
    </xf>
    <xf numFmtId="60" fontId="13" borderId="80" applyNumberFormat="1" applyFont="1" applyFill="0" applyBorder="1" applyAlignment="1" applyProtection="0">
      <alignment horizontal="center" vertical="bottom"/>
    </xf>
    <xf numFmtId="64" fontId="13" borderId="81" applyNumberFormat="1" applyFont="1" applyFill="0" applyBorder="1" applyAlignment="1" applyProtection="0">
      <alignment horizontal="center" vertical="bottom"/>
    </xf>
    <xf numFmtId="60" fontId="13" borderId="68" applyNumberFormat="1" applyFont="1" applyFill="0" applyBorder="1" applyAlignment="1" applyProtection="0">
      <alignment horizontal="center" vertical="bottom"/>
    </xf>
    <xf numFmtId="64" fontId="13" borderId="82" applyNumberFormat="1" applyFont="1" applyFill="0" applyBorder="1" applyAlignment="1" applyProtection="0">
      <alignment horizontal="center" vertical="bottom"/>
    </xf>
    <xf numFmtId="49" fontId="12" borderId="74" applyNumberFormat="1" applyFont="1" applyFill="0" applyBorder="1" applyAlignment="1" applyProtection="0">
      <alignment horizontal="center" vertical="bottom"/>
    </xf>
    <xf numFmtId="0" fontId="12" borderId="74" applyNumberFormat="0" applyFont="1" applyFill="0" applyBorder="1" applyAlignment="1" applyProtection="0">
      <alignment horizontal="center" vertical="bottom"/>
    </xf>
    <xf numFmtId="60" fontId="12" borderId="74" applyNumberFormat="1" applyFont="1" applyFill="0" applyBorder="1" applyAlignment="1" applyProtection="0">
      <alignment horizontal="center" vertical="bottom"/>
    </xf>
    <xf numFmtId="60" fontId="13" borderId="83" applyNumberFormat="1" applyFont="1" applyFill="0" applyBorder="1" applyAlignment="1" applyProtection="0">
      <alignment horizontal="center" vertical="bottom"/>
    </xf>
    <xf numFmtId="0" fontId="13" borderId="76" applyNumberFormat="0" applyFont="1" applyFill="0" applyBorder="1" applyAlignment="1" applyProtection="0">
      <alignment vertical="bottom"/>
    </xf>
    <xf numFmtId="64" fontId="13" borderId="4" applyNumberFormat="1" applyFont="1" applyFill="0" applyBorder="1" applyAlignment="1" applyProtection="0">
      <alignment horizontal="center" vertical="bottom"/>
    </xf>
    <xf numFmtId="0" fontId="13" borderId="32" applyNumberFormat="0" applyFont="1" applyFill="0" applyBorder="1" applyAlignment="1" applyProtection="0">
      <alignment vertical="bottom"/>
    </xf>
    <xf numFmtId="0" fontId="13" borderId="32" applyNumberFormat="0" applyFont="1" applyFill="0" applyBorder="1" applyAlignment="1" applyProtection="0">
      <alignment horizontal="center" vertical="bottom"/>
    </xf>
    <xf numFmtId="60" fontId="13" borderId="32" applyNumberFormat="1" applyFont="1" applyFill="0" applyBorder="1" applyAlignment="1" applyProtection="0">
      <alignment horizontal="center" vertical="bottom"/>
    </xf>
    <xf numFmtId="62" fontId="13" borderId="32" applyNumberFormat="1" applyFont="1" applyFill="0" applyBorder="1" applyAlignment="1" applyProtection="0">
      <alignment horizontal="center" vertical="bottom"/>
    </xf>
    <xf numFmtId="60" fontId="13" borderId="5" applyNumberFormat="1" applyFont="1" applyFill="0" applyBorder="1" applyAlignment="1" applyProtection="0">
      <alignment horizontal="center" vertical="bottom"/>
    </xf>
    <xf numFmtId="0" fontId="13" borderId="5" applyNumberFormat="0" applyFont="1" applyFill="0" applyBorder="1" applyAlignment="1" applyProtection="0">
      <alignment horizontal="center" vertical="bottom"/>
    </xf>
    <xf numFmtId="62" fontId="13" borderId="5" applyNumberFormat="1" applyFont="1" applyFill="0" applyBorder="1" applyAlignment="1" applyProtection="0">
      <alignment horizontal="center" vertical="bottom"/>
    </xf>
    <xf numFmtId="0" fontId="13" borderId="4" applyNumberFormat="0" applyFont="1" applyFill="0" applyBorder="1" applyAlignment="1" applyProtection="0">
      <alignment vertical="bottom"/>
    </xf>
    <xf numFmtId="62" fontId="13" borderId="5" applyNumberFormat="1" applyFont="1" applyFill="0" applyBorder="1" applyAlignment="1" applyProtection="0">
      <alignment vertical="bottom"/>
    </xf>
    <xf numFmtId="0" fontId="12" borderId="5" applyNumberFormat="0" applyFont="1" applyFill="0" applyBorder="1" applyAlignment="1" applyProtection="0">
      <alignment vertical="bottom"/>
    </xf>
    <xf numFmtId="62" fontId="12" borderId="5" applyNumberFormat="1" applyFont="1" applyFill="0" applyBorder="1" applyAlignment="1" applyProtection="0">
      <alignment horizontal="center" vertical="bottom"/>
    </xf>
    <xf numFmtId="62" fontId="13" borderId="13" applyNumberFormat="1" applyFont="1" applyFill="0" applyBorder="1" applyAlignment="1" applyProtection="0">
      <alignment vertical="bottom"/>
    </xf>
    <xf numFmtId="0" fontId="0" applyNumberFormat="1" applyFont="1" applyFill="0" applyBorder="0" applyAlignment="1" applyProtection="0">
      <alignment vertical="bottom"/>
    </xf>
    <xf numFmtId="0" fontId="13" borderId="84" applyNumberFormat="0" applyFont="1" applyFill="0" applyBorder="1" applyAlignment="1" applyProtection="0">
      <alignment vertical="bottom"/>
    </xf>
    <xf numFmtId="0" fontId="13" borderId="84" applyNumberFormat="0" applyFont="1" applyFill="0" applyBorder="1" applyAlignment="1" applyProtection="0">
      <alignment horizontal="center" vertical="bottom"/>
    </xf>
    <xf numFmtId="60" fontId="13" borderId="84" applyNumberFormat="1" applyFont="1" applyFill="0" applyBorder="1" applyAlignment="1" applyProtection="0">
      <alignment horizontal="center" vertical="bottom"/>
    </xf>
    <xf numFmtId="62" fontId="13" borderId="84" applyNumberFormat="1" applyFont="1" applyFill="0" applyBorder="1" applyAlignment="1" applyProtection="0">
      <alignment horizontal="center" vertical="bottom"/>
    </xf>
    <xf numFmtId="62" fontId="12" borderId="74"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borderId="2"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85" applyNumberFormat="0" applyFont="1" applyFill="0" applyBorder="1" applyAlignment="1" applyProtection="0">
      <alignment vertical="bottom"/>
    </xf>
    <xf numFmtId="0" fontId="0" fillId="18" borderId="38" applyNumberFormat="1" applyFont="1" applyFill="1" applyBorder="1" applyAlignment="1" applyProtection="0">
      <alignment vertical="bottom"/>
    </xf>
    <xf numFmtId="0" fontId="0" borderId="13" applyNumberFormat="1" applyFont="1" applyFill="0" applyBorder="1" applyAlignment="1" applyProtection="0">
      <alignment vertical="bottom"/>
    </xf>
    <xf numFmtId="49" fontId="9" fillId="11" borderId="86" applyNumberFormat="1" applyFont="1" applyFill="1" applyBorder="1" applyAlignment="1" applyProtection="0">
      <alignment vertical="bottom"/>
    </xf>
    <xf numFmtId="0" fontId="6" borderId="22" applyNumberFormat="0" applyFont="1" applyFill="0" applyBorder="1" applyAlignment="1" applyProtection="0">
      <alignment horizontal="center" vertical="bottom"/>
    </xf>
    <xf numFmtId="0" fontId="6" borderId="22" applyNumberFormat="0" applyFont="1" applyFill="0" applyBorder="1" applyAlignment="1" applyProtection="0">
      <alignment vertical="bottom"/>
    </xf>
    <xf numFmtId="0" fontId="6" borderId="2" applyNumberFormat="0" applyFont="1" applyFill="0" applyBorder="1" applyAlignment="1" applyProtection="0">
      <alignment vertical="bottom"/>
    </xf>
    <xf numFmtId="0" fontId="6" borderId="3" applyNumberFormat="0" applyFont="1" applyFill="0" applyBorder="1" applyAlignment="1" applyProtection="0">
      <alignment vertical="bottom"/>
    </xf>
    <xf numFmtId="0" fontId="0" applyNumberFormat="1" applyFont="1" applyFill="0" applyBorder="0" applyAlignment="1" applyProtection="0">
      <alignment vertical="bottom"/>
    </xf>
    <xf numFmtId="49" fontId="12" borderId="17" applyNumberFormat="1" applyFont="1" applyFill="0" applyBorder="1" applyAlignment="1" applyProtection="0">
      <alignment horizontal="left" vertical="bottom"/>
    </xf>
    <xf numFmtId="60" fontId="12" borderId="17" applyNumberFormat="1" applyFont="1" applyFill="0" applyBorder="1" applyAlignment="1" applyProtection="0">
      <alignment horizontal="center" vertical="bottom"/>
    </xf>
    <xf numFmtId="62" fontId="12" borderId="17" applyNumberFormat="1" applyFont="1" applyFill="0" applyBorder="1" applyAlignment="1" applyProtection="0">
      <alignment horizontal="center" vertical="bottom"/>
    </xf>
    <xf numFmtId="60" fontId="12" fillId="10" borderId="17" applyNumberFormat="1" applyFont="1" applyFill="1" applyBorder="1" applyAlignment="1" applyProtection="0">
      <alignment horizontal="center" vertical="bottom"/>
    </xf>
    <xf numFmtId="62" fontId="12" fillId="10" borderId="17" applyNumberFormat="1" applyFont="1" applyFill="1" applyBorder="1" applyAlignment="1" applyProtection="0">
      <alignment horizontal="center" vertical="bottom"/>
    </xf>
    <xf numFmtId="61" fontId="12" fillId="10" borderId="17" applyNumberFormat="1" applyFont="1" applyFill="1" applyBorder="1" applyAlignment="1" applyProtection="0">
      <alignment horizontal="center" vertical="bottom"/>
    </xf>
    <xf numFmtId="60" fontId="12" borderId="48" applyNumberFormat="1" applyFont="1" applyFill="0" applyBorder="1" applyAlignment="1" applyProtection="0">
      <alignment horizontal="center" vertical="bottom"/>
    </xf>
    <xf numFmtId="61" fontId="12" borderId="17" applyNumberFormat="1" applyFont="1" applyFill="0" applyBorder="1" applyAlignment="1" applyProtection="0">
      <alignment horizontal="center" vertical="bottom"/>
    </xf>
    <xf numFmtId="0" fontId="16" borderId="17" applyNumberFormat="1" applyFont="1" applyFill="0" applyBorder="1" applyAlignment="1" applyProtection="0">
      <alignment horizontal="center" vertical="bottom"/>
    </xf>
    <xf numFmtId="49" fontId="16" borderId="17" applyNumberFormat="1" applyFont="1" applyFill="0" applyBorder="1" applyAlignment="1" applyProtection="0">
      <alignment vertical="bottom"/>
    </xf>
    <xf numFmtId="60" fontId="12" borderId="51" applyNumberFormat="1" applyFont="1" applyFill="0" applyBorder="1" applyAlignment="1" applyProtection="0">
      <alignment horizontal="center" vertical="bottom"/>
    </xf>
    <xf numFmtId="61" fontId="12" borderId="50" applyNumberFormat="1" applyFont="1" applyFill="0" applyBorder="1" applyAlignment="1" applyProtection="0">
      <alignment horizontal="center" vertical="bottom"/>
    </xf>
    <xf numFmtId="0" fontId="0" borderId="22" applyNumberFormat="0" applyFont="1" applyFill="0" applyBorder="1" applyAlignment="1" applyProtection="0">
      <alignment horizontal="center" vertical="bottom"/>
    </xf>
    <xf numFmtId="62" fontId="0" borderId="22" applyNumberFormat="1" applyFont="1" applyFill="0" applyBorder="1" applyAlignment="1" applyProtection="0">
      <alignment vertical="bottom"/>
    </xf>
    <xf numFmtId="0" fontId="0" borderId="2" applyNumberFormat="0" applyFont="1" applyFill="0" applyBorder="1" applyAlignment="1" applyProtection="0">
      <alignment horizontal="center" vertical="bottom"/>
    </xf>
    <xf numFmtId="62" fontId="0" borderId="2" applyNumberFormat="1" applyFont="1" applyFill="0" applyBorder="1" applyAlignment="1" applyProtection="0">
      <alignment vertical="bottom"/>
    </xf>
    <xf numFmtId="0" fontId="0" borderId="3" applyNumberFormat="0" applyFont="1" applyFill="0" applyBorder="1" applyAlignment="1" applyProtection="0">
      <alignment horizontal="center" vertical="bottom"/>
    </xf>
    <xf numFmtId="62" fontId="0" borderId="3" applyNumberFormat="1" applyFont="1" applyFill="0" applyBorder="1" applyAlignment="1" applyProtection="0">
      <alignment vertical="bottom"/>
    </xf>
    <xf numFmtId="0" fontId="0" borderId="74" applyNumberFormat="0" applyFont="1" applyFill="0" applyBorder="1" applyAlignment="1" applyProtection="0">
      <alignment vertical="bottom"/>
    </xf>
    <xf numFmtId="62" fontId="6" borderId="74" applyNumberFormat="1" applyFont="1" applyFill="0" applyBorder="1" applyAlignment="1" applyProtection="0">
      <alignment horizontal="center" vertical="bottom"/>
    </xf>
    <xf numFmtId="0" fontId="0" borderId="75" applyNumberFormat="0" applyFont="1" applyFill="0" applyBorder="1" applyAlignment="1" applyProtection="0">
      <alignment horizontal="center" vertical="bottom"/>
    </xf>
    <xf numFmtId="62" fontId="0" borderId="75" applyNumberFormat="1" applyFont="1" applyFill="0" applyBorder="1" applyAlignment="1" applyProtection="0">
      <alignment vertical="bottom"/>
    </xf>
    <xf numFmtId="0" fontId="0" applyNumberFormat="1" applyFont="1" applyFill="0" applyBorder="0" applyAlignment="1" applyProtection="0">
      <alignment vertical="bottom"/>
    </xf>
    <xf numFmtId="62" fontId="0" borderId="26" applyNumberFormat="1" applyFont="1" applyFill="0" applyBorder="1" applyAlignment="1" applyProtection="0">
      <alignment vertical="bottom"/>
    </xf>
    <xf numFmtId="49" fontId="6" borderId="74" applyNumberFormat="1" applyFont="1" applyFill="0" applyBorder="1" applyAlignment="1" applyProtection="0">
      <alignment vertical="bottom"/>
    </xf>
    <xf numFmtId="0" fontId="0" applyNumberFormat="1" applyFont="1" applyFill="0" applyBorder="0" applyAlignment="1" applyProtection="0">
      <alignment vertical="bottom"/>
    </xf>
    <xf numFmtId="49" fontId="17" fillId="10" borderId="87" applyNumberFormat="1" applyFont="1" applyFill="1" applyBorder="1" applyAlignment="1" applyProtection="0">
      <alignment horizontal="left" vertical="bottom"/>
    </xf>
    <xf numFmtId="62" fontId="13" fillId="10" borderId="17" applyNumberFormat="1" applyFont="1" applyFill="1" applyBorder="1" applyAlignment="1" applyProtection="0">
      <alignment horizontal="center" vertical="bottom"/>
    </xf>
    <xf numFmtId="49" fontId="17" borderId="88" applyNumberFormat="1" applyFont="1" applyFill="0" applyBorder="1" applyAlignment="1" applyProtection="0">
      <alignment horizontal="left" vertical="bottom"/>
    </xf>
    <xf numFmtId="62" fontId="13" borderId="17" applyNumberFormat="1" applyFont="1" applyFill="0" applyBorder="1" applyAlignment="1" applyProtection="0">
      <alignment horizontal="center" vertical="bottom"/>
    </xf>
    <xf numFmtId="49" fontId="17" borderId="17" applyNumberFormat="1" applyFont="1" applyFill="0" applyBorder="1" applyAlignment="1" applyProtection="0">
      <alignment horizontal="left" vertical="bottom"/>
    </xf>
    <xf numFmtId="0" fontId="0" borderId="26" applyNumberFormat="0" applyFont="1" applyFill="0" applyBorder="1" applyAlignment="1" applyProtection="0">
      <alignment horizontal="center" vertical="bottom"/>
    </xf>
    <xf numFmtId="62" fontId="0" borderId="26" applyNumberFormat="1" applyFont="1" applyFill="0" applyBorder="1" applyAlignment="1" applyProtection="0">
      <alignment horizontal="center" vertical="bottom"/>
    </xf>
    <xf numFmtId="62" fontId="0" borderId="75" applyNumberFormat="1" applyFont="1" applyFill="0" applyBorder="1" applyAlignment="1" applyProtection="0">
      <alignment horizontal="center" vertical="bottom"/>
    </xf>
    <xf numFmtId="62" fontId="0" borderId="2"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d7e6b"/>
      <rgbColor rgb="ff45c986"/>
      <rgbColor rgb="ff00ff00"/>
      <rgbColor rgb="ffefefef"/>
      <rgbColor rgb="ffea9999"/>
      <rgbColor rgb="ffffffff"/>
      <rgbColor rgb="ffd9d9d9"/>
      <rgbColor rgb="ffff00ff"/>
      <rgbColor rgb="ffcccccc"/>
      <rgbColor rgb="ffe06666"/>
      <rgbColor rgb="fff3f3f3"/>
      <rgbColor rgb="ffff0000"/>
      <rgbColor rgb="ffd5a6bd"/>
      <rgbColor rgb="fff4cccc"/>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19</v>
      </c>
      <c r="C11" s="3"/>
      <c r="D11" s="3"/>
    </row>
    <row r="12">
      <c r="B12" s="4"/>
      <c r="C12" t="s" s="4">
        <v>5</v>
      </c>
      <c r="D12" t="s" s="5">
        <v>19</v>
      </c>
    </row>
    <row r="13">
      <c r="B13" t="s" s="3">
        <v>1135</v>
      </c>
      <c r="C13" s="3"/>
      <c r="D13" s="3"/>
    </row>
    <row r="14">
      <c r="B14" s="4"/>
      <c r="C14" t="s" s="4">
        <v>5</v>
      </c>
      <c r="D14" t="s" s="5">
        <v>1135</v>
      </c>
    </row>
    <row r="15">
      <c r="B15" t="s" s="3">
        <v>1578</v>
      </c>
      <c r="C15" s="3"/>
      <c r="D15" s="3"/>
    </row>
    <row r="16">
      <c r="B16" s="4"/>
      <c r="C16" t="s" s="4">
        <v>5</v>
      </c>
      <c r="D16" t="s" s="5">
        <v>1578</v>
      </c>
    </row>
    <row r="17">
      <c r="B17" t="s" s="3">
        <v>169</v>
      </c>
      <c r="C17" s="3"/>
      <c r="D17" s="3"/>
    </row>
    <row r="18">
      <c r="B18" s="4"/>
      <c r="C18" t="s" s="4">
        <v>5</v>
      </c>
      <c r="D18" t="s" s="5">
        <v>169</v>
      </c>
    </row>
    <row r="19">
      <c r="B19" t="s" s="3">
        <v>185</v>
      </c>
      <c r="C19" s="3"/>
      <c r="D19" s="3"/>
    </row>
    <row r="20">
      <c r="B20" s="4"/>
      <c r="C20" t="s" s="4">
        <v>5</v>
      </c>
      <c r="D20" t="s" s="5">
        <v>185</v>
      </c>
    </row>
    <row r="21">
      <c r="B21" t="s" s="3">
        <v>1592</v>
      </c>
      <c r="C21" s="3"/>
      <c r="D21" s="3"/>
    </row>
    <row r="22">
      <c r="B22" s="4"/>
      <c r="C22" t="s" s="4">
        <v>5</v>
      </c>
      <c r="D22" t="s" s="5">
        <v>1592</v>
      </c>
    </row>
    <row r="23">
      <c r="B23" t="s" s="3">
        <v>276</v>
      </c>
      <c r="C23" s="3"/>
      <c r="D23" s="3"/>
    </row>
    <row r="24">
      <c r="B24" s="4"/>
      <c r="C24" t="s" s="4">
        <v>5</v>
      </c>
      <c r="D24" t="s" s="5">
        <v>276</v>
      </c>
    </row>
    <row r="25">
      <c r="B25" t="s" s="3">
        <v>1599</v>
      </c>
      <c r="C25" s="3"/>
      <c r="D25" s="3"/>
    </row>
    <row r="26">
      <c r="B26" s="4"/>
      <c r="C26" t="s" s="4">
        <v>5</v>
      </c>
      <c r="D26" t="s" s="5">
        <v>1599</v>
      </c>
    </row>
    <row r="27">
      <c r="B27" t="s" s="3">
        <v>67</v>
      </c>
      <c r="C27" s="3"/>
      <c r="D27" s="3"/>
    </row>
    <row r="28">
      <c r="B28" s="4"/>
      <c r="C28" t="s" s="4">
        <v>5</v>
      </c>
      <c r="D28" t="s" s="5">
        <v>67</v>
      </c>
    </row>
  </sheetData>
  <mergeCells count="1">
    <mergeCell ref="B3:D3"/>
  </mergeCells>
  <hyperlinks>
    <hyperlink ref="D10" location="'TOTALES'!R1C1" tooltip="" display="TOTALES"/>
    <hyperlink ref="D12" location="'GENERAL Facturado'!R1C1" tooltip="" display="GENERAL Facturado"/>
    <hyperlink ref="D14" location="'GENERAL. Sin Facturar'!R1C1" tooltip="" display="GENERAL. Sin Facturar"/>
    <hyperlink ref="D16" location="'NES SA'!R1C1" tooltip="" display="NES SA"/>
    <hyperlink ref="D18" location="'ELECTRICIDAD'!R1C1" tooltip="" display="ELECTRICIDAD"/>
    <hyperlink ref="D20" location="'PLOMERIA'!R1C1" tooltip="" display="PLOMERIA"/>
    <hyperlink ref="D22" location="'ARQUITECTO'!R1C1" tooltip="" display="ARQUITECTO"/>
    <hyperlink ref="D24" location="'DRAP'!R1C1" tooltip="" display="DRAP"/>
    <hyperlink ref="D26" location="'ASCENSORES Y MONTA AUTOS'!R1C1" tooltip="" display="ASCENSORES Y MONTA AUTOS"/>
    <hyperlink ref="D28" location="'IMEPHO'!R1C1" tooltip="" display="IMEPHO"/>
  </hyperlinks>
</worksheet>
</file>

<file path=xl/worksheets/sheet2.xml><?xml version="1.0" encoding="utf-8"?>
<worksheet xmlns:r="http://schemas.openxmlformats.org/officeDocument/2006/relationships" xmlns="http://schemas.openxmlformats.org/spreadsheetml/2006/main">
  <sheetPr>
    <pageSetUpPr fitToPage="1"/>
  </sheetPr>
  <dimension ref="A1:Z32"/>
  <sheetViews>
    <sheetView workbookViewId="0" showGridLines="0" defaultGridColor="1"/>
  </sheetViews>
  <sheetFormatPr defaultColWidth="14.4" defaultRowHeight="15" customHeight="1" outlineLevelRow="0" outlineLevelCol="0"/>
  <cols>
    <col min="1" max="1" width="17.2109" style="6" customWidth="1"/>
    <col min="2" max="2" width="16.2109" style="6" customWidth="1"/>
    <col min="3" max="3" width="23.6016" style="6" customWidth="1"/>
    <col min="4" max="4" width="14.4219" style="6" customWidth="1"/>
    <col min="5" max="5" width="16.2109" style="6" customWidth="1"/>
    <col min="6" max="6" width="15.2109" style="6" customWidth="1"/>
    <col min="7" max="7" width="16" style="6" customWidth="1"/>
    <col min="8" max="26" width="14.4219" style="6" customWidth="1"/>
    <col min="27" max="16384" width="14.4219" style="6" customWidth="1"/>
  </cols>
  <sheetData>
    <row r="1" ht="14.75" customHeight="1">
      <c r="A1" s="7"/>
      <c r="B1" t="s" s="8">
        <v>6</v>
      </c>
      <c r="C1" t="s" s="8">
        <v>7</v>
      </c>
      <c r="D1" s="9"/>
      <c r="E1" s="10"/>
      <c r="F1" t="s" s="11">
        <v>6</v>
      </c>
      <c r="G1" t="s" s="11">
        <v>7</v>
      </c>
      <c r="H1" s="9"/>
      <c r="I1" s="9"/>
      <c r="J1" s="9"/>
      <c r="K1" s="9"/>
      <c r="L1" s="9"/>
      <c r="M1" s="9"/>
      <c r="N1" s="9"/>
      <c r="O1" s="9"/>
      <c r="P1" s="9"/>
      <c r="Q1" s="9"/>
      <c r="R1" s="9"/>
      <c r="S1" s="9"/>
      <c r="T1" s="9"/>
      <c r="U1" s="9"/>
      <c r="V1" s="9"/>
      <c r="W1" s="9"/>
      <c r="X1" s="9"/>
      <c r="Y1" s="9"/>
      <c r="Z1" s="9"/>
    </row>
    <row r="2" ht="14.75" customHeight="1">
      <c r="A2" t="s" s="12">
        <v>8</v>
      </c>
      <c r="B2" s="13"/>
      <c r="C2" s="13"/>
      <c r="D2" s="14"/>
      <c r="E2" s="15"/>
      <c r="F2" s="16"/>
      <c r="G2" s="17"/>
      <c r="H2" s="18"/>
      <c r="I2" s="9"/>
      <c r="J2" s="9"/>
      <c r="K2" s="9"/>
      <c r="L2" s="9"/>
      <c r="M2" s="9"/>
      <c r="N2" s="9"/>
      <c r="O2" s="9"/>
      <c r="P2" s="9"/>
      <c r="Q2" s="9"/>
      <c r="R2" s="9"/>
      <c r="S2" s="9"/>
      <c r="T2" s="9"/>
      <c r="U2" s="9"/>
      <c r="V2" s="9"/>
      <c r="W2" s="9"/>
      <c r="X2" s="9"/>
      <c r="Y2" s="9"/>
      <c r="Z2" s="9"/>
    </row>
    <row r="3" ht="13.75" customHeight="1">
      <c r="A3" t="s" s="12">
        <v>9</v>
      </c>
      <c r="B3" s="19" cm="1">
        <f t="array" ref="B3">'GENERAL Facturado'!J3</f>
        <v>-773394988.6155</v>
      </c>
      <c r="C3" s="19" cm="1">
        <f t="array" ref="C3">'GENERAL Facturado'!K3</f>
        <v>-2709504.46537166</v>
      </c>
      <c r="D3" s="14"/>
      <c r="E3" t="s" s="20">
        <v>10</v>
      </c>
      <c r="F3" s="21"/>
      <c r="G3" s="14"/>
      <c r="H3" s="18"/>
      <c r="I3" s="9"/>
      <c r="J3" s="9"/>
      <c r="K3" s="9"/>
      <c r="L3" s="9"/>
      <c r="M3" s="9"/>
      <c r="N3" s="9"/>
      <c r="O3" s="9"/>
      <c r="P3" s="9"/>
      <c r="Q3" s="9"/>
      <c r="R3" s="9"/>
      <c r="S3" s="9"/>
      <c r="T3" s="9"/>
      <c r="U3" s="9"/>
      <c r="V3" s="9"/>
      <c r="W3" s="9"/>
      <c r="X3" s="9"/>
      <c r="Y3" s="9"/>
      <c r="Z3" s="9"/>
    </row>
    <row r="4" ht="13.75" customHeight="1">
      <c r="A4" t="s" s="12">
        <v>11</v>
      </c>
      <c r="B4" s="19" cm="1">
        <f t="array" ref="B4">'GENERAL. Sin Facturar'!J3</f>
        <v>-181168737.9</v>
      </c>
      <c r="C4" s="19" cm="1">
        <f t="array" ref="C4">'GENERAL. Sin Facturar'!K3</f>
        <v>-1173504.06811792</v>
      </c>
      <c r="D4" s="14"/>
      <c r="E4" s="22"/>
      <c r="F4" s="23"/>
      <c r="G4" s="24"/>
      <c r="H4" s="18"/>
      <c r="I4" s="9"/>
      <c r="J4" s="9"/>
      <c r="K4" s="9"/>
      <c r="L4" s="9"/>
      <c r="M4" s="9"/>
      <c r="N4" s="9"/>
      <c r="O4" s="9"/>
      <c r="P4" s="9"/>
      <c r="Q4" s="9"/>
      <c r="R4" s="9"/>
      <c r="S4" s="9"/>
      <c r="T4" s="9"/>
      <c r="U4" s="9"/>
      <c r="V4" s="9"/>
      <c r="W4" s="9"/>
      <c r="X4" s="9"/>
      <c r="Y4" s="9"/>
      <c r="Z4" s="9"/>
    </row>
    <row r="5" ht="13.75" customHeight="1">
      <c r="A5" s="25"/>
      <c r="B5" s="26"/>
      <c r="C5" s="26"/>
      <c r="D5" s="14"/>
      <c r="E5" t="s" s="27">
        <v>12</v>
      </c>
      <c r="F5" s="28" cm="1">
        <f t="array" ref="F5">SUM('GENERAL Facturado'!G162:G252)</f>
        <v>6120284.88</v>
      </c>
      <c r="G5" s="29" cm="1">
        <f t="array" ref="G5">SUM('GENERAL Facturado'!H162:H252)</f>
        <v>199553.392375509</v>
      </c>
      <c r="H5" s="18"/>
      <c r="I5" s="9"/>
      <c r="J5" s="9"/>
      <c r="K5" s="9"/>
      <c r="L5" s="9"/>
      <c r="M5" s="9"/>
      <c r="N5" s="9"/>
      <c r="O5" s="9"/>
      <c r="P5" s="9"/>
      <c r="Q5" s="9"/>
      <c r="R5" s="9"/>
      <c r="S5" s="9"/>
      <c r="T5" s="9"/>
      <c r="U5" s="9"/>
      <c r="V5" s="9"/>
      <c r="W5" s="9"/>
      <c r="X5" s="9"/>
      <c r="Y5" s="9"/>
      <c r="Z5" s="9"/>
    </row>
    <row r="6" ht="13.75" customHeight="1">
      <c r="A6" t="s" s="30">
        <v>13</v>
      </c>
      <c r="B6" s="31" cm="1">
        <f t="array" ref="B6">SUM(B3:B4)</f>
        <v>-954563726.5154999</v>
      </c>
      <c r="C6" s="32" cm="1">
        <f t="array" ref="C6">SUM(C3:C4)</f>
        <v>-3883008.53348958</v>
      </c>
      <c r="D6" s="33"/>
      <c r="E6" t="s" s="34">
        <v>14</v>
      </c>
      <c r="F6" s="35" cm="1">
        <f t="array" ref="F6">SUM('GENERAL. Sin Facturar'!G60:G114)</f>
        <v>4375640.84</v>
      </c>
      <c r="G6" s="36" cm="1">
        <f t="array" ref="G6">SUM('GENERAL. Sin Facturar'!H60:H114)</f>
        <v>131993.636503825</v>
      </c>
      <c r="H6" s="18"/>
      <c r="I6" s="9"/>
      <c r="J6" s="9"/>
      <c r="K6" s="9"/>
      <c r="L6" s="9"/>
      <c r="M6" s="9"/>
      <c r="N6" s="9"/>
      <c r="O6" s="9"/>
      <c r="P6" s="9"/>
      <c r="Q6" s="9"/>
      <c r="R6" s="9"/>
      <c r="S6" s="9"/>
      <c r="T6" s="9"/>
      <c r="U6" s="9"/>
      <c r="V6" s="9"/>
      <c r="W6" s="9"/>
      <c r="X6" s="9"/>
      <c r="Y6" s="9"/>
      <c r="Z6" s="9"/>
    </row>
    <row r="7" ht="13.75" customHeight="1">
      <c r="A7" s="37"/>
      <c r="B7" s="37"/>
      <c r="C7" s="37"/>
      <c r="D7" s="24"/>
      <c r="E7" t="s" s="38">
        <v>13</v>
      </c>
      <c r="F7" s="39" cm="1">
        <f t="array" ref="F7">SUM(F5:F6)</f>
        <v>10495925.72</v>
      </c>
      <c r="G7" s="40" cm="1">
        <f t="array" ref="G7">SUM(G5:G6)</f>
        <v>331547.028879334</v>
      </c>
      <c r="H7" s="18"/>
      <c r="I7" s="9"/>
      <c r="J7" s="9"/>
      <c r="K7" s="9"/>
      <c r="L7" s="9"/>
      <c r="M7" s="9"/>
      <c r="N7" s="9"/>
      <c r="O7" s="9"/>
      <c r="P7" s="9"/>
      <c r="Q7" s="9"/>
      <c r="R7" s="9"/>
      <c r="S7" s="9"/>
      <c r="T7" s="9"/>
      <c r="U7" s="9"/>
      <c r="V7" s="9"/>
      <c r="W7" s="9"/>
      <c r="X7" s="9"/>
      <c r="Y7" s="9"/>
      <c r="Z7" s="9"/>
    </row>
    <row r="8" ht="14.75" customHeight="1">
      <c r="A8" s="9"/>
      <c r="B8" s="9"/>
      <c r="C8" s="9"/>
      <c r="D8" s="24"/>
      <c r="E8" s="41"/>
      <c r="F8" s="42"/>
      <c r="G8" s="43"/>
      <c r="H8" s="18"/>
      <c r="I8" s="9"/>
      <c r="J8" s="9"/>
      <c r="K8" s="9"/>
      <c r="L8" s="9"/>
      <c r="M8" s="9"/>
      <c r="N8" s="9"/>
      <c r="O8" s="9"/>
      <c r="P8" s="9"/>
      <c r="Q8" s="9"/>
      <c r="R8" s="9"/>
      <c r="S8" s="9"/>
      <c r="T8" s="9"/>
      <c r="U8" s="9"/>
      <c r="V8" s="9"/>
      <c r="W8" s="9"/>
      <c r="X8" s="9"/>
      <c r="Y8" s="9"/>
      <c r="Z8" s="9"/>
    </row>
    <row r="9" ht="15.75" customHeight="1">
      <c r="A9" s="9"/>
      <c r="B9" s="9"/>
      <c r="C9" s="9"/>
      <c r="D9" s="44"/>
      <c r="E9" s="45"/>
      <c r="F9" s="46"/>
      <c r="G9" s="46"/>
      <c r="H9" s="47"/>
      <c r="I9" s="9"/>
      <c r="J9" s="9"/>
      <c r="K9" s="9"/>
      <c r="L9" s="9"/>
      <c r="M9" s="9"/>
      <c r="N9" s="9"/>
      <c r="O9" s="9"/>
      <c r="P9" s="9"/>
      <c r="Q9" s="9"/>
      <c r="R9" s="9"/>
      <c r="S9" s="9"/>
      <c r="T9" s="9"/>
      <c r="U9" s="9"/>
      <c r="V9" s="9"/>
      <c r="W9" s="9"/>
      <c r="X9" s="9"/>
      <c r="Y9" s="9"/>
      <c r="Z9" s="9"/>
    </row>
    <row r="10" ht="14.75" customHeight="1">
      <c r="A10" s="9"/>
      <c r="B10" s="9"/>
      <c r="C10" s="9"/>
      <c r="D10" s="24"/>
      <c r="E10" s="48"/>
      <c r="F10" s="49"/>
      <c r="G10" s="50"/>
      <c r="H10" s="18"/>
      <c r="I10" s="9"/>
      <c r="J10" s="9"/>
      <c r="K10" s="9"/>
      <c r="L10" s="9"/>
      <c r="M10" s="9"/>
      <c r="N10" s="9"/>
      <c r="O10" s="9"/>
      <c r="P10" s="9"/>
      <c r="Q10" s="9"/>
      <c r="R10" s="9"/>
      <c r="S10" s="9"/>
      <c r="T10" s="9"/>
      <c r="U10" s="9"/>
      <c r="V10" s="9"/>
      <c r="W10" s="9"/>
      <c r="X10" s="9"/>
      <c r="Y10" s="9"/>
      <c r="Z10" s="9"/>
    </row>
    <row r="11" ht="13.75" customHeight="1">
      <c r="A11" s="9"/>
      <c r="B11" s="9"/>
      <c r="C11" s="9"/>
      <c r="D11" s="24"/>
      <c r="E11" t="s" s="20">
        <v>15</v>
      </c>
      <c r="F11" s="21"/>
      <c r="G11" s="51"/>
      <c r="H11" s="18"/>
      <c r="I11" s="9"/>
      <c r="J11" s="9"/>
      <c r="K11" t="s" s="52">
        <v>16</v>
      </c>
      <c r="L11" s="9"/>
      <c r="M11" s="9"/>
      <c r="N11" s="9"/>
      <c r="O11" s="9"/>
      <c r="P11" s="9"/>
      <c r="Q11" s="9"/>
      <c r="R11" s="9"/>
      <c r="S11" s="9"/>
      <c r="T11" s="9"/>
      <c r="U11" s="9"/>
      <c r="V11" s="9"/>
      <c r="W11" s="9"/>
      <c r="X11" s="9"/>
      <c r="Y11" s="9"/>
      <c r="Z11" s="9"/>
    </row>
    <row r="12" ht="13.75" customHeight="1">
      <c r="A12" s="9"/>
      <c r="B12" s="9"/>
      <c r="C12" s="9"/>
      <c r="D12" s="24"/>
      <c r="E12" s="22"/>
      <c r="F12" s="23"/>
      <c r="G12" s="24"/>
      <c r="H12" s="18"/>
      <c r="I12" s="9"/>
      <c r="J12" s="9"/>
      <c r="K12" s="9"/>
      <c r="L12" s="9"/>
      <c r="M12" s="9"/>
      <c r="N12" s="9"/>
      <c r="O12" s="9"/>
      <c r="P12" s="9"/>
      <c r="Q12" s="9"/>
      <c r="R12" s="9"/>
      <c r="S12" s="9"/>
      <c r="T12" s="9"/>
      <c r="U12" s="9"/>
      <c r="V12" s="9"/>
      <c r="W12" s="9"/>
      <c r="X12" s="9"/>
      <c r="Y12" s="9"/>
      <c r="Z12" s="9"/>
    </row>
    <row r="13" ht="13.75" customHeight="1">
      <c r="A13" s="9"/>
      <c r="B13" s="9"/>
      <c r="C13" s="9"/>
      <c r="D13" s="24"/>
      <c r="E13" t="s" s="27">
        <v>12</v>
      </c>
      <c r="F13" s="28" cm="1">
        <f t="array" ref="F13">SUM('GENERAL Facturado'!G253:G425)</f>
        <v>14863651.44</v>
      </c>
      <c r="G13" s="29" cm="1">
        <f t="array" ref="G13">SUM('GENERAL Facturado'!H253:H425)</f>
        <v>234944.719457835</v>
      </c>
      <c r="H13" s="18"/>
      <c r="I13" s="9"/>
      <c r="J13" s="9"/>
      <c r="K13" s="9"/>
      <c r="L13" s="9"/>
      <c r="M13" s="9"/>
      <c r="N13" s="9"/>
      <c r="O13" s="9"/>
      <c r="P13" s="9"/>
      <c r="Q13" s="9"/>
      <c r="R13" s="9"/>
      <c r="S13" s="9"/>
      <c r="T13" s="9"/>
      <c r="U13" s="9"/>
      <c r="V13" s="9"/>
      <c r="W13" s="9"/>
      <c r="X13" s="9"/>
      <c r="Y13" s="9"/>
      <c r="Z13" s="9"/>
    </row>
    <row r="14" ht="13.75" customHeight="1">
      <c r="A14" s="9"/>
      <c r="B14" s="9"/>
      <c r="C14" s="9"/>
      <c r="D14" s="53"/>
      <c r="E14" t="s" s="34">
        <v>14</v>
      </c>
      <c r="F14" s="35" cm="1">
        <f t="array" ref="F14">SUM('GENERAL. Sin Facturar'!G115:G164)</f>
        <v>6930978.39</v>
      </c>
      <c r="G14" s="36" cm="1">
        <f t="array" ref="G14">SUM('GENERAL. Sin Facturar'!H115:H164)</f>
        <v>126477.086956522</v>
      </c>
      <c r="H14" s="54"/>
      <c r="I14" s="7"/>
      <c r="J14" s="7"/>
      <c r="K14" s="7"/>
      <c r="L14" s="7"/>
      <c r="M14" s="7"/>
      <c r="N14" s="7"/>
      <c r="O14" s="7"/>
      <c r="P14" s="7"/>
      <c r="Q14" s="7"/>
      <c r="R14" s="7"/>
      <c r="S14" s="7"/>
      <c r="T14" s="7"/>
      <c r="U14" s="7"/>
      <c r="V14" s="7"/>
      <c r="W14" s="7"/>
      <c r="X14" s="7"/>
      <c r="Y14" s="7"/>
      <c r="Z14" s="7"/>
    </row>
    <row r="15" ht="13.75" customHeight="1">
      <c r="A15" s="9"/>
      <c r="B15" s="9"/>
      <c r="C15" s="44"/>
      <c r="D15" s="55"/>
      <c r="E15" t="s" s="38">
        <v>13</v>
      </c>
      <c r="F15" s="39" cm="1">
        <f t="array" ref="F15">SUM(F13:F14)</f>
        <v>21794629.83</v>
      </c>
      <c r="G15" s="40" cm="1">
        <f t="array" ref="G15">SUM(G13:G14)</f>
        <v>361421.806414357</v>
      </c>
      <c r="H15" s="56"/>
      <c r="I15" s="57"/>
      <c r="J15" s="57"/>
      <c r="K15" s="57"/>
      <c r="L15" s="57"/>
      <c r="M15" s="57"/>
      <c r="N15" s="57"/>
      <c r="O15" s="57"/>
      <c r="P15" s="57"/>
      <c r="Q15" s="57"/>
      <c r="R15" s="57"/>
      <c r="S15" s="57"/>
      <c r="T15" s="57"/>
      <c r="U15" s="57"/>
      <c r="V15" s="57"/>
      <c r="W15" s="57"/>
      <c r="X15" s="57"/>
      <c r="Y15" s="57"/>
      <c r="Z15" s="58"/>
    </row>
    <row r="16" ht="14.75" customHeight="1">
      <c r="A16" s="9"/>
      <c r="B16" s="9"/>
      <c r="C16" s="44"/>
      <c r="D16" s="55"/>
      <c r="E16" s="41"/>
      <c r="F16" s="42"/>
      <c r="G16" s="43"/>
      <c r="H16" s="56"/>
      <c r="I16" s="57"/>
      <c r="J16" s="57"/>
      <c r="K16" s="57"/>
      <c r="L16" s="57"/>
      <c r="M16" s="57"/>
      <c r="N16" s="57"/>
      <c r="O16" s="57"/>
      <c r="P16" s="57"/>
      <c r="Q16" s="57"/>
      <c r="R16" s="57"/>
      <c r="S16" s="57"/>
      <c r="T16" s="57"/>
      <c r="U16" s="57"/>
      <c r="V16" s="57"/>
      <c r="W16" s="57"/>
      <c r="X16" s="57"/>
      <c r="Y16" s="57"/>
      <c r="Z16" s="58"/>
    </row>
    <row r="17" ht="15.75" customHeight="1">
      <c r="A17" s="9"/>
      <c r="B17" s="9"/>
      <c r="C17" s="9"/>
      <c r="D17" s="59"/>
      <c r="E17" s="45"/>
      <c r="F17" s="46"/>
      <c r="G17" s="46"/>
      <c r="H17" s="60"/>
      <c r="I17" s="23"/>
      <c r="J17" s="23"/>
      <c r="K17" s="23"/>
      <c r="L17" s="23"/>
      <c r="M17" s="23"/>
      <c r="N17" s="23"/>
      <c r="O17" s="23"/>
      <c r="P17" s="23"/>
      <c r="Q17" s="23"/>
      <c r="R17" s="23"/>
      <c r="S17" s="23"/>
      <c r="T17" s="23"/>
      <c r="U17" s="23"/>
      <c r="V17" s="23"/>
      <c r="W17" s="23"/>
      <c r="X17" s="23"/>
      <c r="Y17" s="23"/>
      <c r="Z17" s="23"/>
    </row>
    <row r="18" ht="14.75" customHeight="1">
      <c r="A18" s="9"/>
      <c r="B18" s="9"/>
      <c r="C18" s="9"/>
      <c r="D18" s="24"/>
      <c r="E18" s="48"/>
      <c r="F18" s="49"/>
      <c r="G18" s="50"/>
      <c r="H18" s="18"/>
      <c r="I18" s="9"/>
      <c r="J18" s="9"/>
      <c r="K18" s="9"/>
      <c r="L18" s="9"/>
      <c r="M18" s="9"/>
      <c r="N18" s="9"/>
      <c r="O18" s="9"/>
      <c r="P18" s="9"/>
      <c r="Q18" s="9"/>
      <c r="R18" s="9"/>
      <c r="S18" s="9"/>
      <c r="T18" s="9"/>
      <c r="U18" s="9"/>
      <c r="V18" s="9"/>
      <c r="W18" s="9"/>
      <c r="X18" s="9"/>
      <c r="Y18" s="9"/>
      <c r="Z18" s="9"/>
    </row>
    <row r="19" ht="13.75" customHeight="1">
      <c r="A19" s="9"/>
      <c r="B19" s="9"/>
      <c r="C19" s="9"/>
      <c r="D19" s="24"/>
      <c r="E19" t="s" s="20">
        <v>17</v>
      </c>
      <c r="F19" s="21"/>
      <c r="G19" s="51"/>
      <c r="H19" s="18"/>
      <c r="I19" s="9"/>
      <c r="J19" s="9"/>
      <c r="K19" s="9"/>
      <c r="L19" s="9"/>
      <c r="M19" s="9"/>
      <c r="N19" s="9"/>
      <c r="O19" s="9"/>
      <c r="P19" s="9"/>
      <c r="Q19" s="9"/>
      <c r="R19" s="9"/>
      <c r="S19" s="9"/>
      <c r="T19" s="9"/>
      <c r="U19" s="9"/>
      <c r="V19" s="9"/>
      <c r="W19" s="9"/>
      <c r="X19" s="9"/>
      <c r="Y19" s="9"/>
      <c r="Z19" s="9"/>
    </row>
    <row r="20" ht="13.75" customHeight="1">
      <c r="A20" s="9"/>
      <c r="B20" s="9"/>
      <c r="C20" s="9"/>
      <c r="D20" s="24"/>
      <c r="E20" s="22"/>
      <c r="F20" s="23"/>
      <c r="G20" s="24"/>
      <c r="H20" s="18"/>
      <c r="I20" s="9"/>
      <c r="J20" s="9"/>
      <c r="K20" s="9"/>
      <c r="L20" s="9"/>
      <c r="M20" s="9"/>
      <c r="N20" s="9"/>
      <c r="O20" s="9"/>
      <c r="P20" s="9"/>
      <c r="Q20" s="9"/>
      <c r="R20" s="9"/>
      <c r="S20" s="9"/>
      <c r="T20" s="9"/>
      <c r="U20" s="9"/>
      <c r="V20" s="9"/>
      <c r="W20" s="9"/>
      <c r="X20" s="9"/>
      <c r="Y20" s="9"/>
      <c r="Z20" s="9"/>
    </row>
    <row r="21" ht="15.75" customHeight="1">
      <c r="A21" s="9"/>
      <c r="B21" s="9"/>
      <c r="C21" s="9"/>
      <c r="D21" s="24"/>
      <c r="E21" t="s" s="27">
        <v>12</v>
      </c>
      <c r="F21" s="28" cm="1">
        <f t="array" ref="F21">SUM('GENERAL Facturado'!G426:G575)</f>
        <v>17834501.59</v>
      </c>
      <c r="G21" s="29" cm="1">
        <f t="array" ref="G21">SUM('GENERAL Facturado'!H426:H575)</f>
        <v>140941.869501296</v>
      </c>
      <c r="H21" s="18"/>
      <c r="I21" s="9"/>
      <c r="J21" s="9"/>
      <c r="K21" s="9"/>
      <c r="L21" s="9"/>
      <c r="M21" s="9"/>
      <c r="N21" s="9"/>
      <c r="O21" s="9"/>
      <c r="P21" s="9"/>
      <c r="Q21" s="9"/>
      <c r="R21" s="9"/>
      <c r="S21" s="9"/>
      <c r="T21" s="9"/>
      <c r="U21" s="9"/>
      <c r="V21" s="9"/>
      <c r="W21" s="9"/>
      <c r="X21" s="9"/>
      <c r="Y21" s="9"/>
      <c r="Z21" s="9"/>
    </row>
    <row r="22" ht="15.75" customHeight="1">
      <c r="A22" s="9"/>
      <c r="B22" s="9"/>
      <c r="C22" s="9"/>
      <c r="D22" s="53"/>
      <c r="E22" t="s" s="34">
        <v>14</v>
      </c>
      <c r="F22" s="35" cm="1">
        <f t="array" ref="F22">SUM('GENERAL. Sin Facturar'!G165:G234)</f>
        <v>22329412.15</v>
      </c>
      <c r="G22" s="36" cm="1">
        <f t="array" ref="G22">SUM('GENERAL. Sin Facturar'!H165:H234)</f>
        <v>170729.737919414</v>
      </c>
      <c r="H22" s="54"/>
      <c r="I22" s="7"/>
      <c r="J22" s="7"/>
      <c r="K22" s="7"/>
      <c r="L22" s="7"/>
      <c r="M22" s="7"/>
      <c r="N22" s="7"/>
      <c r="O22" s="7"/>
      <c r="P22" s="7"/>
      <c r="Q22" s="7"/>
      <c r="R22" s="7"/>
      <c r="S22" s="7"/>
      <c r="T22" s="7"/>
      <c r="U22" s="7"/>
      <c r="V22" s="7"/>
      <c r="W22" s="7"/>
      <c r="X22" s="7"/>
      <c r="Y22" s="7"/>
      <c r="Z22" s="7"/>
    </row>
    <row r="23" ht="15.75" customHeight="1">
      <c r="A23" s="9"/>
      <c r="B23" s="9"/>
      <c r="C23" s="44"/>
      <c r="D23" s="55"/>
      <c r="E23" t="s" s="38">
        <v>13</v>
      </c>
      <c r="F23" s="39" cm="1">
        <f t="array" ref="F23">SUM(F21:F22)</f>
        <v>40163913.74</v>
      </c>
      <c r="G23" s="40" cm="1">
        <f t="array" ref="G23">SUM(G21:G22)</f>
        <v>311671.60742071</v>
      </c>
      <c r="H23" s="56"/>
      <c r="I23" s="57"/>
      <c r="J23" s="57"/>
      <c r="K23" s="57"/>
      <c r="L23" s="57"/>
      <c r="M23" s="57"/>
      <c r="N23" s="57"/>
      <c r="O23" s="57"/>
      <c r="P23" s="57"/>
      <c r="Q23" s="57"/>
      <c r="R23" s="57"/>
      <c r="S23" s="57"/>
      <c r="T23" s="57"/>
      <c r="U23" s="57"/>
      <c r="V23" s="57"/>
      <c r="W23" s="57"/>
      <c r="X23" s="57"/>
      <c r="Y23" s="57"/>
      <c r="Z23" s="58"/>
    </row>
    <row r="24" ht="15.75" customHeight="1">
      <c r="A24" s="9"/>
      <c r="B24" s="9"/>
      <c r="C24" s="44"/>
      <c r="D24" s="55"/>
      <c r="E24" s="41"/>
      <c r="F24" s="42"/>
      <c r="G24" s="43"/>
      <c r="H24" s="56"/>
      <c r="I24" s="57"/>
      <c r="J24" s="57"/>
      <c r="K24" s="57"/>
      <c r="L24" s="57"/>
      <c r="M24" s="57"/>
      <c r="N24" s="57"/>
      <c r="O24" s="57"/>
      <c r="P24" s="57"/>
      <c r="Q24" s="57"/>
      <c r="R24" s="57"/>
      <c r="S24" s="57"/>
      <c r="T24" s="57"/>
      <c r="U24" s="57"/>
      <c r="V24" s="57"/>
      <c r="W24" s="57"/>
      <c r="X24" s="57"/>
      <c r="Y24" s="57"/>
      <c r="Z24" s="58"/>
    </row>
    <row r="25" ht="15.75" customHeight="1">
      <c r="A25" s="9"/>
      <c r="B25" s="9"/>
      <c r="C25" s="9"/>
      <c r="D25" s="23"/>
      <c r="E25" s="61"/>
      <c r="F25" s="61"/>
      <c r="G25" s="61"/>
      <c r="H25" s="23"/>
      <c r="I25" s="23"/>
      <c r="J25" s="23"/>
      <c r="K25" s="23"/>
      <c r="L25" s="23"/>
      <c r="M25" s="23"/>
      <c r="N25" s="23"/>
      <c r="O25" s="23"/>
      <c r="P25" s="23"/>
      <c r="Q25" s="23"/>
      <c r="R25" s="23"/>
      <c r="S25" s="23"/>
      <c r="T25" s="23"/>
      <c r="U25" s="23"/>
      <c r="V25" s="23"/>
      <c r="W25" s="23"/>
      <c r="X25" s="23"/>
      <c r="Y25" s="23"/>
      <c r="Z25" s="23"/>
    </row>
    <row r="26" ht="15.75" customHeight="1">
      <c r="A26" s="9"/>
      <c r="B26" s="9"/>
      <c r="C26" s="9"/>
      <c r="D26" s="24"/>
      <c r="E26" s="48"/>
      <c r="F26" s="49"/>
      <c r="G26" s="50"/>
      <c r="H26" s="18"/>
      <c r="I26" s="9"/>
      <c r="J26" s="9"/>
      <c r="K26" s="9"/>
      <c r="L26" s="9"/>
      <c r="M26" s="9"/>
      <c r="N26" s="9"/>
      <c r="O26" s="9"/>
      <c r="P26" s="9"/>
      <c r="Q26" s="9"/>
      <c r="R26" s="9"/>
      <c r="S26" s="9"/>
      <c r="T26" s="9"/>
      <c r="U26" s="9"/>
      <c r="V26" s="9"/>
      <c r="W26" s="9"/>
      <c r="X26" s="9"/>
      <c r="Y26" s="9"/>
      <c r="Z26" s="9"/>
    </row>
    <row r="27" ht="15.75" customHeight="1">
      <c r="A27" s="9"/>
      <c r="B27" s="9"/>
      <c r="C27" s="9"/>
      <c r="D27" s="24"/>
      <c r="E27" t="s" s="20">
        <v>18</v>
      </c>
      <c r="F27" s="21"/>
      <c r="G27" s="51"/>
      <c r="H27" s="18"/>
      <c r="I27" s="9"/>
      <c r="J27" s="9"/>
      <c r="K27" s="9"/>
      <c r="L27" s="9"/>
      <c r="M27" s="9"/>
      <c r="N27" s="9"/>
      <c r="O27" s="9"/>
      <c r="P27" s="9"/>
      <c r="Q27" s="9"/>
      <c r="R27" s="9"/>
      <c r="S27" s="9"/>
      <c r="T27" s="9"/>
      <c r="U27" s="9"/>
      <c r="V27" s="9"/>
      <c r="W27" s="9"/>
      <c r="X27" s="9"/>
      <c r="Y27" s="9"/>
      <c r="Z27" s="9"/>
    </row>
    <row r="28" ht="15.75" customHeight="1">
      <c r="A28" s="9"/>
      <c r="B28" s="9"/>
      <c r="C28" s="9"/>
      <c r="D28" s="24"/>
      <c r="E28" s="22"/>
      <c r="F28" s="23"/>
      <c r="G28" s="24"/>
      <c r="H28" s="18"/>
      <c r="I28" s="9"/>
      <c r="J28" s="9"/>
      <c r="K28" s="9"/>
      <c r="L28" s="9"/>
      <c r="M28" s="9"/>
      <c r="N28" s="9"/>
      <c r="O28" s="9"/>
      <c r="P28" s="9"/>
      <c r="Q28" s="9"/>
      <c r="R28" s="9"/>
      <c r="S28" s="9"/>
      <c r="T28" s="9"/>
      <c r="U28" s="9"/>
      <c r="V28" s="9"/>
      <c r="W28" s="9"/>
      <c r="X28" s="9"/>
      <c r="Y28" s="9"/>
      <c r="Z28" s="9"/>
    </row>
    <row r="29" ht="15.75" customHeight="1">
      <c r="A29" s="9"/>
      <c r="B29" s="9"/>
      <c r="C29" s="9"/>
      <c r="D29" s="24"/>
      <c r="E29" t="s" s="27">
        <v>12</v>
      </c>
      <c r="F29" s="28" cm="1">
        <f t="array" ref="F29">SUM('GENERAL Facturado'!G722:G803)</f>
        <v>137269207.431</v>
      </c>
      <c r="G29" s="29" cm="1">
        <f t="array" ref="G29">SUM('GENERAL Facturado'!H722:H803)</f>
        <v>207721.156761899</v>
      </c>
      <c r="H29" s="18"/>
      <c r="I29" s="9"/>
      <c r="J29" s="9"/>
      <c r="K29" s="9"/>
      <c r="L29" s="9"/>
      <c r="M29" s="9"/>
      <c r="N29" s="9"/>
      <c r="O29" s="9"/>
      <c r="P29" s="9"/>
      <c r="Q29" s="9"/>
      <c r="R29" s="9"/>
      <c r="S29" s="9"/>
      <c r="T29" s="9"/>
      <c r="U29" s="9"/>
      <c r="V29" s="9"/>
      <c r="W29" s="9"/>
      <c r="X29" s="9"/>
      <c r="Y29" s="9"/>
      <c r="Z29" s="9"/>
    </row>
    <row r="30" ht="15.75" customHeight="1">
      <c r="A30" s="9"/>
      <c r="B30" s="9"/>
      <c r="C30" s="9"/>
      <c r="D30" s="24"/>
      <c r="E30" t="s" s="34">
        <v>14</v>
      </c>
      <c r="F30" s="35" cm="1">
        <f t="array" ref="F30">SUM('GENERAL. Sin Facturar'!G346:G372)</f>
        <v>50791284</v>
      </c>
      <c r="G30" s="36" cm="1">
        <f t="array" ref="G30">SUM('GENERAL. Sin Facturar'!H346:H372)</f>
        <v>86022.3899521986</v>
      </c>
      <c r="H30" s="18"/>
      <c r="I30" s="9"/>
      <c r="J30" s="9"/>
      <c r="K30" s="9"/>
      <c r="L30" s="9"/>
      <c r="M30" s="9"/>
      <c r="N30" s="9"/>
      <c r="O30" s="9"/>
      <c r="P30" s="9"/>
      <c r="Q30" s="9"/>
      <c r="R30" s="9"/>
      <c r="S30" s="9"/>
      <c r="T30" s="9"/>
      <c r="U30" s="9"/>
      <c r="V30" s="9"/>
      <c r="W30" s="9"/>
      <c r="X30" s="9"/>
      <c r="Y30" s="9"/>
      <c r="Z30" s="9"/>
    </row>
    <row r="31" ht="15.75" customHeight="1">
      <c r="A31" s="9"/>
      <c r="B31" s="9"/>
      <c r="C31" s="9"/>
      <c r="D31" s="24"/>
      <c r="E31" t="s" s="38">
        <v>13</v>
      </c>
      <c r="F31" s="39" cm="1">
        <f t="array" ref="F31">SUM(F29:F30)</f>
        <v>188060491.431</v>
      </c>
      <c r="G31" s="40" cm="1">
        <f t="array" ref="G31">SUM(G29:G30)</f>
        <v>293743.546714098</v>
      </c>
      <c r="H31" s="18"/>
      <c r="I31" s="9"/>
      <c r="J31" s="9"/>
      <c r="K31" s="9"/>
      <c r="L31" s="9"/>
      <c r="M31" s="9"/>
      <c r="N31" s="9"/>
      <c r="O31" s="9"/>
      <c r="P31" s="9"/>
      <c r="Q31" s="9"/>
      <c r="R31" s="9"/>
      <c r="S31" s="9"/>
      <c r="T31" s="9"/>
      <c r="U31" s="9"/>
      <c r="V31" s="9"/>
      <c r="W31" s="9"/>
      <c r="X31" s="9"/>
      <c r="Y31" s="9"/>
      <c r="Z31" s="9"/>
    </row>
    <row r="32" ht="15.75" customHeight="1">
      <c r="A32" s="9"/>
      <c r="B32" s="9"/>
      <c r="C32" s="9"/>
      <c r="D32" s="24"/>
      <c r="E32" s="41"/>
      <c r="F32" s="42"/>
      <c r="G32" s="43"/>
      <c r="H32" s="18"/>
      <c r="I32" s="9"/>
      <c r="J32" s="9"/>
      <c r="K32" s="9"/>
      <c r="L32" s="9"/>
      <c r="M32" s="9"/>
      <c r="N32" s="9"/>
      <c r="O32" s="9"/>
      <c r="P32" s="9"/>
      <c r="Q32" s="9"/>
      <c r="R32" s="9"/>
      <c r="S32" s="9"/>
      <c r="T32" s="9"/>
      <c r="U32" s="9"/>
      <c r="V32" s="9"/>
      <c r="W32" s="9"/>
      <c r="X32" s="9"/>
      <c r="Y32" s="9"/>
      <c r="Z32" s="9"/>
    </row>
  </sheetData>
  <pageMargins left="0.7" right="0.7" top="0.75" bottom="0.75" header="0" footer="0"/>
  <pageSetup firstPageNumber="1" fitToHeight="1" fitToWidth="1" scale="100" useFirstPageNumber="0" orientation="portrait" pageOrder="overThenDown"/>
  <headerFooter>
    <oddFooter>&amp;C&amp;"Helvetica Neue,Regular"&amp;11&amp;K000000&amp;P</oddFooter>
  </headerFooter>
</worksheet>
</file>

<file path=xl/worksheets/sheet3.xml><?xml version="1.0" encoding="utf-8"?>
<worksheet xmlns:r="http://schemas.openxmlformats.org/officeDocument/2006/relationships" xmlns="http://schemas.openxmlformats.org/spreadsheetml/2006/main">
  <dimension ref="A1:AB1211"/>
  <sheetViews>
    <sheetView workbookViewId="0" showGridLines="0" defaultGridColor="1"/>
  </sheetViews>
  <sheetFormatPr defaultColWidth="14.4" defaultRowHeight="15" customHeight="1" outlineLevelRow="0" outlineLevelCol="0"/>
  <cols>
    <col min="1" max="1" width="9.8125" style="62" customWidth="1"/>
    <col min="2" max="2" width="23.8125" style="62" customWidth="1"/>
    <col min="3" max="3" width="26.2109" style="62" customWidth="1"/>
    <col min="4" max="4" width="50.8125" style="62" customWidth="1"/>
    <col min="5" max="5" width="13.2109" style="62" customWidth="1"/>
    <col min="6" max="6" width="10.8125" style="62" customWidth="1"/>
    <col min="7" max="7" width="15.4219" style="62" customWidth="1"/>
    <col min="8" max="8" width="16.2109" style="62" customWidth="1"/>
    <col min="9" max="9" width="18.2109" style="62" customWidth="1"/>
    <col min="10" max="10" width="29.8125" style="62" customWidth="1"/>
    <col min="11" max="11" width="17.2109" style="62" customWidth="1"/>
    <col min="12" max="12" width="41.4219" style="62" customWidth="1"/>
    <col min="13" max="27" width="43.8125" style="62" customWidth="1"/>
    <col min="28" max="28" width="1.60156" style="62" customWidth="1"/>
    <col min="29" max="16384" width="14.4219" style="62" customWidth="1"/>
  </cols>
  <sheetData>
    <row r="1" ht="12.75" customHeight="1">
      <c r="A1" s="63"/>
      <c r="B1" s="64"/>
      <c r="C1" s="65"/>
      <c r="D1" s="66"/>
      <c r="E1" t="s" s="67">
        <v>20</v>
      </c>
      <c r="F1" s="68"/>
      <c r="G1" t="s" s="69">
        <v>21</v>
      </c>
      <c r="H1" s="70"/>
      <c r="I1" s="71"/>
      <c r="J1" t="s" s="72">
        <v>22</v>
      </c>
      <c r="K1" s="73"/>
      <c r="L1" s="74"/>
      <c r="M1" s="75"/>
      <c r="N1" s="75"/>
      <c r="O1" s="75"/>
      <c r="P1" s="75"/>
      <c r="Q1" s="75"/>
      <c r="R1" s="75"/>
      <c r="S1" s="75"/>
      <c r="T1" s="75"/>
      <c r="U1" s="75"/>
      <c r="V1" s="75"/>
      <c r="W1" s="75"/>
      <c r="X1" s="75"/>
      <c r="Y1" s="75"/>
      <c r="Z1" s="75"/>
      <c r="AA1" s="75"/>
      <c r="AB1" s="75"/>
    </row>
    <row r="2" ht="12.75" customHeight="1">
      <c r="A2" s="76"/>
      <c r="B2" t="s" s="77">
        <v>23</v>
      </c>
      <c r="C2" t="s" s="78">
        <v>24</v>
      </c>
      <c r="D2" t="s" s="79">
        <v>25</v>
      </c>
      <c r="E2" t="s" s="80">
        <v>26</v>
      </c>
      <c r="F2" t="s" s="81">
        <v>27</v>
      </c>
      <c r="G2" t="s" s="80">
        <v>26</v>
      </c>
      <c r="H2" t="s" s="81">
        <v>27</v>
      </c>
      <c r="I2" t="s" s="82">
        <v>28</v>
      </c>
      <c r="J2" t="s" s="83">
        <v>26</v>
      </c>
      <c r="K2" t="s" s="81">
        <v>27</v>
      </c>
      <c r="L2" s="84"/>
      <c r="M2" s="85"/>
      <c r="N2" s="85"/>
      <c r="O2" s="85"/>
      <c r="P2" s="85"/>
      <c r="Q2" s="85"/>
      <c r="R2" s="85"/>
      <c r="S2" s="85"/>
      <c r="T2" s="85"/>
      <c r="U2" s="85"/>
      <c r="V2" s="85"/>
      <c r="W2" s="85"/>
      <c r="X2" s="85"/>
      <c r="Y2" s="85"/>
      <c r="Z2" s="85"/>
      <c r="AA2" s="85"/>
      <c r="AB2" s="85"/>
    </row>
    <row r="3" ht="12.75" customHeight="1">
      <c r="A3" s="86"/>
      <c r="B3" s="87"/>
      <c r="C3" s="88"/>
      <c r="D3" s="89"/>
      <c r="E3" s="90" cm="1">
        <f t="array" ref="E3">SUM(E4:E1211)</f>
        <v>0</v>
      </c>
      <c r="F3" s="91" cm="1">
        <f t="array" ref="F3">SUM(F4:F1211)</f>
        <v>0</v>
      </c>
      <c r="G3" s="91" cm="1">
        <f t="array" ref="G3">SUM(G4:G1211)</f>
        <v>773394988.6155</v>
      </c>
      <c r="H3" s="92" cm="1">
        <f t="array" ref="H3">SUM(H4:H1211)</f>
        <v>2709504.46537166</v>
      </c>
      <c r="I3" s="93"/>
      <c r="J3" s="94" cm="1">
        <f t="array" ref="J3">E3-G3</f>
        <v>-773394988.6155</v>
      </c>
      <c r="K3" s="95" cm="1">
        <f t="array" ref="K3">F3-H3</f>
        <v>-2709504.46537166</v>
      </c>
      <c r="L3" s="96"/>
      <c r="M3" s="75"/>
      <c r="N3" s="75"/>
      <c r="O3" s="75"/>
      <c r="P3" s="75"/>
      <c r="Q3" s="75"/>
      <c r="R3" s="75"/>
      <c r="S3" s="75"/>
      <c r="T3" s="75"/>
      <c r="U3" s="75"/>
      <c r="V3" s="75"/>
      <c r="W3" s="75"/>
      <c r="X3" s="75"/>
      <c r="Y3" s="75"/>
      <c r="Z3" s="75"/>
      <c r="AA3" s="75"/>
      <c r="AB3" s="75"/>
    </row>
    <row r="4" ht="12.75" customHeight="1">
      <c r="A4" s="97">
        <v>40575</v>
      </c>
      <c r="B4" s="98"/>
      <c r="C4" s="99"/>
      <c r="D4" t="s" s="79">
        <v>29</v>
      </c>
      <c r="E4" s="100"/>
      <c r="F4" s="101"/>
      <c r="G4" s="102" cm="1">
        <f t="array" ref="G4">H4*I4</f>
        <v>1722000</v>
      </c>
      <c r="H4" s="103">
        <v>420000</v>
      </c>
      <c r="I4" s="104">
        <v>4.1</v>
      </c>
      <c r="J4" s="105"/>
      <c r="K4" s="101"/>
      <c r="L4" s="96"/>
      <c r="M4" s="75"/>
      <c r="N4" s="75"/>
      <c r="O4" s="75"/>
      <c r="P4" s="75"/>
      <c r="Q4" s="75"/>
      <c r="R4" s="75"/>
      <c r="S4" s="75"/>
      <c r="T4" s="75"/>
      <c r="U4" s="75"/>
      <c r="V4" s="75"/>
      <c r="W4" s="75"/>
      <c r="X4" s="75"/>
      <c r="Y4" s="75"/>
      <c r="Z4" s="75"/>
      <c r="AA4" s="75"/>
      <c r="AB4" s="75"/>
    </row>
    <row r="5" ht="12.75" customHeight="1">
      <c r="A5" s="106">
        <v>40575</v>
      </c>
      <c r="B5" s="107"/>
      <c r="C5" s="108"/>
      <c r="D5" t="s" s="109">
        <v>30</v>
      </c>
      <c r="E5" s="110"/>
      <c r="F5" s="111"/>
      <c r="G5" s="112" cm="1">
        <f t="array" ref="G5">H5*I5</f>
        <v>28700</v>
      </c>
      <c r="H5" s="113">
        <v>7000</v>
      </c>
      <c r="I5" s="114">
        <v>4.1</v>
      </c>
      <c r="J5" s="105"/>
      <c r="K5" s="101"/>
      <c r="L5" s="96"/>
      <c r="M5" s="75"/>
      <c r="N5" s="75"/>
      <c r="O5" s="75"/>
      <c r="P5" s="75"/>
      <c r="Q5" s="75"/>
      <c r="R5" s="75"/>
      <c r="S5" s="75"/>
      <c r="T5" s="75"/>
      <c r="U5" s="75"/>
      <c r="V5" s="75"/>
      <c r="W5" s="75"/>
      <c r="X5" s="75"/>
      <c r="Y5" s="75"/>
      <c r="Z5" s="75"/>
      <c r="AA5" s="75"/>
      <c r="AB5" s="75"/>
    </row>
    <row r="6" ht="12.75" customHeight="1">
      <c r="A6" s="97">
        <v>40575</v>
      </c>
      <c r="B6" s="98"/>
      <c r="C6" s="99"/>
      <c r="D6" t="s" s="79">
        <v>31</v>
      </c>
      <c r="E6" s="100"/>
      <c r="F6" s="101"/>
      <c r="G6" s="102" cm="1">
        <f t="array" ref="G6">H6*I6</f>
        <v>41000</v>
      </c>
      <c r="H6" s="103">
        <v>10000</v>
      </c>
      <c r="I6" s="104">
        <v>4.1</v>
      </c>
      <c r="J6" s="105"/>
      <c r="K6" s="101"/>
      <c r="L6" s="96"/>
      <c r="M6" s="75"/>
      <c r="N6" s="75"/>
      <c r="O6" s="75"/>
      <c r="P6" s="75"/>
      <c r="Q6" s="75"/>
      <c r="R6" s="75"/>
      <c r="S6" s="75"/>
      <c r="T6" s="75"/>
      <c r="U6" s="75"/>
      <c r="V6" s="75"/>
      <c r="W6" s="75"/>
      <c r="X6" s="75"/>
      <c r="Y6" s="75"/>
      <c r="Z6" s="75"/>
      <c r="AA6" s="75"/>
      <c r="AB6" s="75"/>
    </row>
    <row r="7" ht="12.75" customHeight="1">
      <c r="A7" s="106">
        <v>40585</v>
      </c>
      <c r="B7" s="107"/>
      <c r="C7" t="s" s="115">
        <v>32</v>
      </c>
      <c r="D7" t="s" s="109">
        <v>33</v>
      </c>
      <c r="E7" s="110"/>
      <c r="F7" s="111"/>
      <c r="G7" s="112">
        <v>4660.4</v>
      </c>
      <c r="H7" s="113" cm="1">
        <f t="array" ref="H7">G7/I7</f>
        <v>1122.987951807230</v>
      </c>
      <c r="I7" s="114">
        <v>4.15</v>
      </c>
      <c r="J7" s="105"/>
      <c r="K7" s="101"/>
      <c r="L7" s="96"/>
      <c r="M7" s="75"/>
      <c r="N7" s="75"/>
      <c r="O7" s="75"/>
      <c r="P7" s="75"/>
      <c r="Q7" s="75"/>
      <c r="R7" s="75"/>
      <c r="S7" s="75"/>
      <c r="T7" s="75"/>
      <c r="U7" s="75"/>
      <c r="V7" s="75"/>
      <c r="W7" s="75"/>
      <c r="X7" s="75"/>
      <c r="Y7" s="75"/>
      <c r="Z7" s="75"/>
      <c r="AA7" s="75"/>
      <c r="AB7" s="75"/>
    </row>
    <row r="8" ht="12.75" customHeight="1">
      <c r="A8" s="97">
        <v>40620</v>
      </c>
      <c r="B8" s="98"/>
      <c r="C8" t="s" s="116">
        <v>34</v>
      </c>
      <c r="D8" t="s" s="79">
        <v>35</v>
      </c>
      <c r="E8" s="100"/>
      <c r="F8" s="101"/>
      <c r="G8" s="102">
        <v>31.96</v>
      </c>
      <c r="H8" s="103" cm="1">
        <f t="array" ref="H8">G8/I8</f>
        <v>7.70120481927711</v>
      </c>
      <c r="I8" s="104">
        <v>4.15</v>
      </c>
      <c r="J8" s="105"/>
      <c r="K8" s="101"/>
      <c r="L8" s="96"/>
      <c r="M8" s="75"/>
      <c r="N8" s="75"/>
      <c r="O8" s="75"/>
      <c r="P8" s="75"/>
      <c r="Q8" s="75"/>
      <c r="R8" s="75"/>
      <c r="S8" s="75"/>
      <c r="T8" s="75"/>
      <c r="U8" s="75"/>
      <c r="V8" s="75"/>
      <c r="W8" s="75"/>
      <c r="X8" s="75"/>
      <c r="Y8" s="75"/>
      <c r="Z8" s="75"/>
      <c r="AA8" s="75"/>
      <c r="AB8" s="75"/>
    </row>
    <row r="9" ht="12.75" customHeight="1">
      <c r="A9" s="106">
        <v>40673</v>
      </c>
      <c r="B9" s="107"/>
      <c r="C9" t="s" s="115">
        <v>34</v>
      </c>
      <c r="D9" t="s" s="109">
        <v>36</v>
      </c>
      <c r="E9" s="110"/>
      <c r="F9" s="111"/>
      <c r="G9" s="112">
        <v>31.96</v>
      </c>
      <c r="H9" s="113" cm="1">
        <f t="array" ref="H9">G9/I9</f>
        <v>7.43255813953488</v>
      </c>
      <c r="I9" s="114">
        <v>4.3</v>
      </c>
      <c r="J9" s="105"/>
      <c r="K9" s="101"/>
      <c r="L9" s="96"/>
      <c r="M9" s="75"/>
      <c r="N9" s="75"/>
      <c r="O9" s="75"/>
      <c r="P9" s="75"/>
      <c r="Q9" s="75"/>
      <c r="R9" s="75"/>
      <c r="S9" s="75"/>
      <c r="T9" s="75"/>
      <c r="U9" s="75"/>
      <c r="V9" s="75"/>
      <c r="W9" s="75"/>
      <c r="X9" s="75"/>
      <c r="Y9" s="75"/>
      <c r="Z9" s="75"/>
      <c r="AA9" s="75"/>
      <c r="AB9" s="75"/>
    </row>
    <row r="10" ht="12.75" customHeight="1">
      <c r="A10" s="97">
        <v>40732</v>
      </c>
      <c r="B10" s="98"/>
      <c r="C10" t="s" s="116">
        <v>34</v>
      </c>
      <c r="D10" t="s" s="79">
        <v>37</v>
      </c>
      <c r="E10" s="100"/>
      <c r="F10" s="101"/>
      <c r="G10" s="102">
        <v>63.92</v>
      </c>
      <c r="H10" s="103" cm="1">
        <f t="array" ref="H10">G10/I10</f>
        <v>14.8651162790698</v>
      </c>
      <c r="I10" s="104">
        <v>4.3</v>
      </c>
      <c r="J10" s="105"/>
      <c r="K10" s="101"/>
      <c r="L10" s="96"/>
      <c r="M10" s="75"/>
      <c r="N10" s="75"/>
      <c r="O10" s="75"/>
      <c r="P10" s="75"/>
      <c r="Q10" s="75"/>
      <c r="R10" s="75"/>
      <c r="S10" s="75"/>
      <c r="T10" s="75"/>
      <c r="U10" s="75"/>
      <c r="V10" s="75"/>
      <c r="W10" s="75"/>
      <c r="X10" s="75"/>
      <c r="Y10" s="75"/>
      <c r="Z10" s="75"/>
      <c r="AA10" s="75"/>
      <c r="AB10" s="75"/>
    </row>
    <row r="11" ht="12.75" customHeight="1">
      <c r="A11" s="106">
        <v>40857</v>
      </c>
      <c r="B11" s="107"/>
      <c r="C11" t="s" s="115">
        <v>34</v>
      </c>
      <c r="D11" t="s" s="109">
        <v>38</v>
      </c>
      <c r="E11" s="110"/>
      <c r="F11" s="111"/>
      <c r="G11" s="112">
        <v>63.92</v>
      </c>
      <c r="H11" s="113" cm="1">
        <f t="array" ref="H11">G11/I11</f>
        <v>12.784</v>
      </c>
      <c r="I11" s="114">
        <v>5</v>
      </c>
      <c r="J11" s="105"/>
      <c r="K11" s="101"/>
      <c r="L11" s="96"/>
      <c r="M11" s="75"/>
      <c r="N11" s="75"/>
      <c r="O11" s="75"/>
      <c r="P11" s="75"/>
      <c r="Q11" s="75"/>
      <c r="R11" s="75"/>
      <c r="S11" s="75"/>
      <c r="T11" s="75"/>
      <c r="U11" s="75"/>
      <c r="V11" s="75"/>
      <c r="W11" s="75"/>
      <c r="X11" s="75"/>
      <c r="Y11" s="75"/>
      <c r="Z11" s="75"/>
      <c r="AA11" s="75"/>
      <c r="AB11" s="75"/>
    </row>
    <row r="12" ht="12.75" customHeight="1">
      <c r="A12" s="97">
        <v>40918</v>
      </c>
      <c r="B12" s="98"/>
      <c r="C12" t="s" s="116">
        <v>34</v>
      </c>
      <c r="D12" t="s" s="79">
        <v>39</v>
      </c>
      <c r="E12" s="100"/>
      <c r="F12" s="101"/>
      <c r="G12" s="102">
        <v>63.92</v>
      </c>
      <c r="H12" s="103" cm="1">
        <f t="array" ref="H12">G12/I12</f>
        <v>13.3166666666667</v>
      </c>
      <c r="I12" s="104">
        <v>4.8</v>
      </c>
      <c r="J12" s="105"/>
      <c r="K12" s="101"/>
      <c r="L12" s="96"/>
      <c r="M12" s="75"/>
      <c r="N12" s="75"/>
      <c r="O12" s="75"/>
      <c r="P12" s="75"/>
      <c r="Q12" s="75"/>
      <c r="R12" s="75"/>
      <c r="S12" s="75"/>
      <c r="T12" s="75"/>
      <c r="U12" s="75"/>
      <c r="V12" s="75"/>
      <c r="W12" s="75"/>
      <c r="X12" s="75"/>
      <c r="Y12" s="75"/>
      <c r="Z12" s="75"/>
      <c r="AA12" s="75"/>
      <c r="AB12" s="75"/>
    </row>
    <row r="13" ht="12.75" customHeight="1">
      <c r="A13" s="106">
        <v>40943</v>
      </c>
      <c r="B13" s="107"/>
      <c r="C13" t="s" s="115">
        <v>32</v>
      </c>
      <c r="D13" t="s" s="117">
        <v>40</v>
      </c>
      <c r="E13" s="118"/>
      <c r="F13" s="111"/>
      <c r="G13" s="112">
        <v>18646.7</v>
      </c>
      <c r="H13" s="113" cm="1">
        <f t="array" ref="H13">G13/I13</f>
        <v>3884.729166666670</v>
      </c>
      <c r="I13" s="114" cm="1">
        <f t="array" ref="I13">I12</f>
        <v>4.8</v>
      </c>
      <c r="J13" s="105"/>
      <c r="K13" s="101"/>
      <c r="L13" s="96"/>
      <c r="M13" s="75"/>
      <c r="N13" s="75"/>
      <c r="O13" s="75"/>
      <c r="P13" s="75"/>
      <c r="Q13" s="75"/>
      <c r="R13" s="75"/>
      <c r="S13" s="75"/>
      <c r="T13" s="75"/>
      <c r="U13" s="75"/>
      <c r="V13" s="75"/>
      <c r="W13" s="75"/>
      <c r="X13" s="75"/>
      <c r="Y13" s="75"/>
      <c r="Z13" s="75"/>
      <c r="AA13" s="75"/>
      <c r="AB13" s="75"/>
    </row>
    <row r="14" ht="12.75" customHeight="1">
      <c r="A14" s="97">
        <v>40943</v>
      </c>
      <c r="B14" s="98"/>
      <c r="C14" t="s" s="116">
        <v>41</v>
      </c>
      <c r="D14" t="s" s="119">
        <v>42</v>
      </c>
      <c r="E14" s="120"/>
      <c r="F14" s="101"/>
      <c r="G14" s="102">
        <v>14936.75</v>
      </c>
      <c r="H14" s="103" cm="1">
        <f t="array" ref="H14">G14/I14</f>
        <v>3111.822916666670</v>
      </c>
      <c r="I14" s="104" cm="1">
        <f t="array" ref="I14">I13</f>
        <v>4.8</v>
      </c>
      <c r="J14" s="105"/>
      <c r="K14" s="101"/>
      <c r="L14" s="96"/>
      <c r="M14" s="75"/>
      <c r="N14" s="75"/>
      <c r="O14" s="75"/>
      <c r="P14" s="75"/>
      <c r="Q14" s="75"/>
      <c r="R14" s="75"/>
      <c r="S14" s="75"/>
      <c r="T14" s="75"/>
      <c r="U14" s="75"/>
      <c r="V14" s="75"/>
      <c r="W14" s="75"/>
      <c r="X14" s="75"/>
      <c r="Y14" s="75"/>
      <c r="Z14" s="75"/>
      <c r="AA14" s="75"/>
      <c r="AB14" s="75"/>
    </row>
    <row r="15" ht="12.75" customHeight="1">
      <c r="A15" s="106">
        <v>40977</v>
      </c>
      <c r="B15" s="107"/>
      <c r="C15" t="s" s="115">
        <v>34</v>
      </c>
      <c r="D15" t="s" s="109">
        <v>43</v>
      </c>
      <c r="E15" s="110"/>
      <c r="F15" s="111"/>
      <c r="G15" s="112">
        <v>77.22</v>
      </c>
      <c r="H15" s="113" cm="1">
        <f t="array" ref="H15">G15/I15</f>
        <v>16.0875</v>
      </c>
      <c r="I15" s="114" cm="1">
        <f t="array" ref="I15">I14</f>
        <v>4.8</v>
      </c>
      <c r="J15" s="105"/>
      <c r="K15" s="101"/>
      <c r="L15" s="96"/>
      <c r="M15" s="75"/>
      <c r="N15" s="75"/>
      <c r="O15" s="75"/>
      <c r="P15" s="75"/>
      <c r="Q15" s="75"/>
      <c r="R15" s="75"/>
      <c r="S15" s="75"/>
      <c r="T15" s="75"/>
      <c r="U15" s="75"/>
      <c r="V15" s="75"/>
      <c r="W15" s="75"/>
      <c r="X15" s="75"/>
      <c r="Y15" s="75"/>
      <c r="Z15" s="75"/>
      <c r="AA15" s="75"/>
      <c r="AB15" s="75"/>
    </row>
    <row r="16" ht="12.75" customHeight="1">
      <c r="A16" s="97">
        <v>41039</v>
      </c>
      <c r="B16" s="98"/>
      <c r="C16" t="s" s="116">
        <v>34</v>
      </c>
      <c r="D16" t="s" s="79">
        <v>44</v>
      </c>
      <c r="E16" s="100"/>
      <c r="F16" s="101"/>
      <c r="G16" s="102">
        <v>77.22</v>
      </c>
      <c r="H16" s="103" cm="1">
        <f t="array" ref="H16">G16/I16</f>
        <v>15.444</v>
      </c>
      <c r="I16" s="104">
        <v>5</v>
      </c>
      <c r="J16" s="105"/>
      <c r="K16" s="101"/>
      <c r="L16" s="96"/>
      <c r="M16" s="75"/>
      <c r="N16" s="75"/>
      <c r="O16" s="75"/>
      <c r="P16" s="75"/>
      <c r="Q16" s="75"/>
      <c r="R16" s="75"/>
      <c r="S16" s="75"/>
      <c r="T16" s="75"/>
      <c r="U16" s="75"/>
      <c r="V16" s="75"/>
      <c r="W16" s="75"/>
      <c r="X16" s="75"/>
      <c r="Y16" s="75"/>
      <c r="Z16" s="75"/>
      <c r="AA16" s="75"/>
      <c r="AB16" s="75"/>
    </row>
    <row r="17" ht="12.75" customHeight="1">
      <c r="A17" s="106">
        <v>41102</v>
      </c>
      <c r="B17" s="107"/>
      <c r="C17" t="s" s="115">
        <v>34</v>
      </c>
      <c r="D17" t="s" s="109">
        <v>45</v>
      </c>
      <c r="E17" s="110"/>
      <c r="F17" s="111"/>
      <c r="G17" s="112">
        <v>42.26</v>
      </c>
      <c r="H17" s="113" cm="1">
        <f t="array" ref="H17">G17/I17</f>
        <v>6.92786885245902</v>
      </c>
      <c r="I17" s="114">
        <v>6.1</v>
      </c>
      <c r="J17" s="105"/>
      <c r="K17" s="101"/>
      <c r="L17" s="96"/>
      <c r="M17" s="75"/>
      <c r="N17" s="75"/>
      <c r="O17" s="75"/>
      <c r="P17" s="75"/>
      <c r="Q17" s="75"/>
      <c r="R17" s="75"/>
      <c r="S17" s="75"/>
      <c r="T17" s="75"/>
      <c r="U17" s="75"/>
      <c r="V17" s="75"/>
      <c r="W17" s="75"/>
      <c r="X17" s="75"/>
      <c r="Y17" s="75"/>
      <c r="Z17" s="75"/>
      <c r="AA17" s="75"/>
      <c r="AB17" s="75"/>
    </row>
    <row r="18" ht="12.75" customHeight="1">
      <c r="A18" s="97">
        <v>41160</v>
      </c>
      <c r="B18" s="98"/>
      <c r="C18" t="s" s="116">
        <v>34</v>
      </c>
      <c r="D18" t="s" s="79">
        <v>46</v>
      </c>
      <c r="E18" s="100"/>
      <c r="F18" s="101"/>
      <c r="G18" s="102">
        <v>42.26</v>
      </c>
      <c r="H18" s="103" cm="1">
        <f t="array" ref="H18">G18/I18</f>
        <v>6.70793650793651</v>
      </c>
      <c r="I18" s="104">
        <v>6.3</v>
      </c>
      <c r="J18" s="105"/>
      <c r="K18" s="101"/>
      <c r="L18" s="96"/>
      <c r="M18" s="75"/>
      <c r="N18" s="75"/>
      <c r="O18" s="75"/>
      <c r="P18" s="75"/>
      <c r="Q18" s="75"/>
      <c r="R18" s="75"/>
      <c r="S18" s="75"/>
      <c r="T18" s="75"/>
      <c r="U18" s="75"/>
      <c r="V18" s="75"/>
      <c r="W18" s="75"/>
      <c r="X18" s="75"/>
      <c r="Y18" s="75"/>
      <c r="Z18" s="75"/>
      <c r="AA18" s="75"/>
      <c r="AB18" s="75"/>
    </row>
    <row r="19" ht="12.75" customHeight="1">
      <c r="A19" s="106">
        <v>41222</v>
      </c>
      <c r="B19" s="107"/>
      <c r="C19" t="s" s="115">
        <v>34</v>
      </c>
      <c r="D19" t="s" s="109">
        <v>47</v>
      </c>
      <c r="E19" s="110"/>
      <c r="F19" s="111"/>
      <c r="G19" s="112">
        <v>42.26</v>
      </c>
      <c r="H19" s="113" cm="1">
        <f t="array" ref="H19">G19/I19</f>
        <v>6.70793650793651</v>
      </c>
      <c r="I19" s="114" cm="1">
        <f t="array" ref="I19">I18</f>
        <v>6.3</v>
      </c>
      <c r="J19" s="105"/>
      <c r="K19" s="101"/>
      <c r="L19" s="96"/>
      <c r="M19" s="75"/>
      <c r="N19" s="75"/>
      <c r="O19" s="75"/>
      <c r="P19" s="75"/>
      <c r="Q19" s="75"/>
      <c r="R19" s="75"/>
      <c r="S19" s="75"/>
      <c r="T19" s="75"/>
      <c r="U19" s="75"/>
      <c r="V19" s="75"/>
      <c r="W19" s="75"/>
      <c r="X19" s="75"/>
      <c r="Y19" s="75"/>
      <c r="Z19" s="75"/>
      <c r="AA19" s="75"/>
      <c r="AB19" s="75"/>
    </row>
    <row r="20" ht="12.75" customHeight="1">
      <c r="A20" s="97">
        <v>41286</v>
      </c>
      <c r="B20" s="98"/>
      <c r="C20" t="s" s="116">
        <v>41</v>
      </c>
      <c r="D20" t="s" s="119">
        <v>48</v>
      </c>
      <c r="E20" s="120"/>
      <c r="F20" s="101"/>
      <c r="G20" s="102">
        <v>18530.11</v>
      </c>
      <c r="H20" s="103" cm="1">
        <f t="array" ref="H20">G20/I20</f>
        <v>2555.877241379310</v>
      </c>
      <c r="I20" s="104">
        <v>7.25</v>
      </c>
      <c r="J20" s="105"/>
      <c r="K20" s="101"/>
      <c r="L20" s="96"/>
      <c r="M20" s="75"/>
      <c r="N20" s="75"/>
      <c r="O20" s="75"/>
      <c r="P20" s="75"/>
      <c r="Q20" s="75"/>
      <c r="R20" s="75"/>
      <c r="S20" s="75"/>
      <c r="T20" s="75"/>
      <c r="U20" s="75"/>
      <c r="V20" s="75"/>
      <c r="W20" s="75"/>
      <c r="X20" s="75"/>
      <c r="Y20" s="75"/>
      <c r="Z20" s="75"/>
      <c r="AA20" s="75"/>
      <c r="AB20" s="75"/>
    </row>
    <row r="21" ht="12.75" customHeight="1">
      <c r="A21" s="106">
        <v>41351</v>
      </c>
      <c r="B21" s="107"/>
      <c r="C21" t="s" s="115">
        <v>34</v>
      </c>
      <c r="D21" t="s" s="109">
        <v>49</v>
      </c>
      <c r="E21" s="110"/>
      <c r="F21" s="111"/>
      <c r="G21" s="112">
        <v>69.36</v>
      </c>
      <c r="H21" s="113" cm="1">
        <f t="array" ref="H21">G21/I21</f>
        <v>8.67</v>
      </c>
      <c r="I21" s="114">
        <v>8</v>
      </c>
      <c r="J21" s="105"/>
      <c r="K21" s="101"/>
      <c r="L21" s="96"/>
      <c r="M21" s="75"/>
      <c r="N21" s="75"/>
      <c r="O21" s="75"/>
      <c r="P21" s="75"/>
      <c r="Q21" s="75"/>
      <c r="R21" s="75"/>
      <c r="S21" s="75"/>
      <c r="T21" s="75"/>
      <c r="U21" s="75"/>
      <c r="V21" s="75"/>
      <c r="W21" s="75"/>
      <c r="X21" s="75"/>
      <c r="Y21" s="75"/>
      <c r="Z21" s="75"/>
      <c r="AA21" s="75"/>
      <c r="AB21" s="75"/>
    </row>
    <row r="22" ht="12.75" customHeight="1">
      <c r="A22" s="97">
        <v>41373</v>
      </c>
      <c r="B22" s="98"/>
      <c r="C22" t="s" s="116">
        <v>32</v>
      </c>
      <c r="D22" t="s" s="119">
        <v>50</v>
      </c>
      <c r="E22" s="120"/>
      <c r="F22" s="101"/>
      <c r="G22" s="102">
        <v>19222.4</v>
      </c>
      <c r="H22" s="103" cm="1">
        <f t="array" ref="H22">G22/I22</f>
        <v>2302.083832335330</v>
      </c>
      <c r="I22" s="104">
        <v>8.35</v>
      </c>
      <c r="J22" s="105"/>
      <c r="K22" s="101"/>
      <c r="L22" s="96"/>
      <c r="M22" s="75"/>
      <c r="N22" s="75"/>
      <c r="O22" s="75"/>
      <c r="P22" s="75"/>
      <c r="Q22" s="75"/>
      <c r="R22" s="75"/>
      <c r="S22" s="75"/>
      <c r="T22" s="75"/>
      <c r="U22" s="75"/>
      <c r="V22" s="75"/>
      <c r="W22" s="75"/>
      <c r="X22" s="75"/>
      <c r="Y22" s="75"/>
      <c r="Z22" s="75"/>
      <c r="AA22" s="75"/>
      <c r="AB22" s="75"/>
    </row>
    <row r="23" ht="12.75" customHeight="1">
      <c r="A23" s="106">
        <v>41404</v>
      </c>
      <c r="B23" s="107"/>
      <c r="C23" t="s" s="115">
        <v>34</v>
      </c>
      <c r="D23" t="s" s="109">
        <v>51</v>
      </c>
      <c r="E23" s="110"/>
      <c r="F23" s="111"/>
      <c r="G23" s="112">
        <v>69.36</v>
      </c>
      <c r="H23" s="113" cm="1">
        <f t="array" ref="H23">G23/I23</f>
        <v>6.936</v>
      </c>
      <c r="I23" s="114">
        <v>10</v>
      </c>
      <c r="J23" s="105"/>
      <c r="K23" s="101"/>
      <c r="L23" s="96"/>
      <c r="M23" s="75"/>
      <c r="N23" s="75"/>
      <c r="O23" s="75"/>
      <c r="P23" s="75"/>
      <c r="Q23" s="75"/>
      <c r="R23" s="75"/>
      <c r="S23" s="75"/>
      <c r="T23" s="75"/>
      <c r="U23" s="75"/>
      <c r="V23" s="75"/>
      <c r="W23" s="75"/>
      <c r="X23" s="75"/>
      <c r="Y23" s="75"/>
      <c r="Z23" s="75"/>
      <c r="AA23" s="75"/>
      <c r="AB23" s="75"/>
    </row>
    <row r="24" ht="12.75" customHeight="1">
      <c r="A24" s="97">
        <v>41466</v>
      </c>
      <c r="B24" s="98"/>
      <c r="C24" t="s" s="116">
        <v>34</v>
      </c>
      <c r="D24" t="s" s="79">
        <v>52</v>
      </c>
      <c r="E24" s="100"/>
      <c r="F24" s="101"/>
      <c r="G24" s="102">
        <v>69.36</v>
      </c>
      <c r="H24" s="103" cm="1">
        <f t="array" ref="H24">G24/I24</f>
        <v>8.458536585365851</v>
      </c>
      <c r="I24" s="104">
        <v>8.199999999999999</v>
      </c>
      <c r="J24" s="105"/>
      <c r="K24" s="101"/>
      <c r="L24" s="96"/>
      <c r="M24" s="75"/>
      <c r="N24" s="75"/>
      <c r="O24" s="75"/>
      <c r="P24" s="75"/>
      <c r="Q24" s="75"/>
      <c r="R24" s="75"/>
      <c r="S24" s="75"/>
      <c r="T24" s="75"/>
      <c r="U24" s="75"/>
      <c r="V24" s="75"/>
      <c r="W24" s="75"/>
      <c r="X24" s="75"/>
      <c r="Y24" s="75"/>
      <c r="Z24" s="75"/>
      <c r="AA24" s="75"/>
      <c r="AB24" s="75"/>
    </row>
    <row r="25" ht="12.75" customHeight="1">
      <c r="A25" s="106">
        <v>41527</v>
      </c>
      <c r="B25" s="107"/>
      <c r="C25" t="s" s="115">
        <v>34</v>
      </c>
      <c r="D25" t="s" s="109">
        <v>53</v>
      </c>
      <c r="E25" s="110"/>
      <c r="F25" s="111"/>
      <c r="G25" s="112">
        <v>69.36</v>
      </c>
      <c r="H25" s="113" cm="1">
        <f t="array" ref="H25">G25/I25</f>
        <v>7.53913043478261</v>
      </c>
      <c r="I25" s="114">
        <v>9.199999999999999</v>
      </c>
      <c r="J25" s="105"/>
      <c r="K25" s="101"/>
      <c r="L25" s="96"/>
      <c r="M25" s="75"/>
      <c r="N25" s="75"/>
      <c r="O25" s="75"/>
      <c r="P25" s="75"/>
      <c r="Q25" s="75"/>
      <c r="R25" s="75"/>
      <c r="S25" s="75"/>
      <c r="T25" s="75"/>
      <c r="U25" s="75"/>
      <c r="V25" s="75"/>
      <c r="W25" s="75"/>
      <c r="X25" s="75"/>
      <c r="Y25" s="75"/>
      <c r="Z25" s="75"/>
      <c r="AA25" s="75"/>
      <c r="AB25" s="75"/>
    </row>
    <row r="26" ht="12.75" customHeight="1">
      <c r="A26" s="97">
        <v>41547</v>
      </c>
      <c r="B26" s="98"/>
      <c r="C26" t="s" s="116">
        <v>41</v>
      </c>
      <c r="D26" t="s" s="79">
        <v>54</v>
      </c>
      <c r="E26" s="100"/>
      <c r="F26" s="101"/>
      <c r="G26" s="102">
        <v>29868.81</v>
      </c>
      <c r="H26" s="103" cm="1">
        <f t="array" ref="H26">G26/I26</f>
        <v>3144.085263157890</v>
      </c>
      <c r="I26" s="104">
        <v>9.5</v>
      </c>
      <c r="J26" s="105"/>
      <c r="K26" s="101"/>
      <c r="L26" s="96"/>
      <c r="M26" s="75"/>
      <c r="N26" s="75"/>
      <c r="O26" s="75"/>
      <c r="P26" s="75"/>
      <c r="Q26" s="75"/>
      <c r="R26" s="75"/>
      <c r="S26" s="75"/>
      <c r="T26" s="75"/>
      <c r="U26" s="75"/>
      <c r="V26" s="75"/>
      <c r="W26" s="75"/>
      <c r="X26" s="75"/>
      <c r="Y26" s="75"/>
      <c r="Z26" s="75"/>
      <c r="AA26" s="75"/>
      <c r="AB26" s="75"/>
    </row>
    <row r="27" ht="12.75" customHeight="1">
      <c r="A27" s="106">
        <v>41590</v>
      </c>
      <c r="B27" s="107"/>
      <c r="C27" t="s" s="115">
        <v>34</v>
      </c>
      <c r="D27" t="s" s="109">
        <v>55</v>
      </c>
      <c r="E27" s="110"/>
      <c r="F27" s="111"/>
      <c r="G27" s="112">
        <v>69.363</v>
      </c>
      <c r="H27" s="113" cm="1">
        <f t="array" ref="H27">G27/I27</f>
        <v>7.07785714285714</v>
      </c>
      <c r="I27" s="114">
        <v>9.800000000000001</v>
      </c>
      <c r="J27" s="105"/>
      <c r="K27" s="101"/>
      <c r="L27" s="96"/>
      <c r="M27" s="75"/>
      <c r="N27" s="75"/>
      <c r="O27" s="75"/>
      <c r="P27" s="75"/>
      <c r="Q27" s="75"/>
      <c r="R27" s="75"/>
      <c r="S27" s="75"/>
      <c r="T27" s="75"/>
      <c r="U27" s="75"/>
      <c r="V27" s="75"/>
      <c r="W27" s="75"/>
      <c r="X27" s="75"/>
      <c r="Y27" s="75"/>
      <c r="Z27" s="75"/>
      <c r="AA27" s="75"/>
      <c r="AB27" s="75"/>
    </row>
    <row r="28" ht="12.75" customHeight="1">
      <c r="A28" s="97">
        <v>41600</v>
      </c>
      <c r="B28" s="98"/>
      <c r="C28" t="s" s="116">
        <v>34</v>
      </c>
      <c r="D28" t="s" s="79">
        <v>56</v>
      </c>
      <c r="E28" s="100"/>
      <c r="F28" s="101"/>
      <c r="G28" s="102">
        <v>6165.5</v>
      </c>
      <c r="H28" s="103" cm="1">
        <f t="array" ref="H28">G28/I28</f>
        <v>616.55</v>
      </c>
      <c r="I28" s="104">
        <v>10</v>
      </c>
      <c r="J28" s="105"/>
      <c r="K28" s="101"/>
      <c r="L28" s="96"/>
      <c r="M28" s="75"/>
      <c r="N28" s="75"/>
      <c r="O28" s="75"/>
      <c r="P28" s="75"/>
      <c r="Q28" s="75"/>
      <c r="R28" s="75"/>
      <c r="S28" s="75"/>
      <c r="T28" s="75"/>
      <c r="U28" s="75"/>
      <c r="V28" s="75"/>
      <c r="W28" s="75"/>
      <c r="X28" s="75"/>
      <c r="Y28" s="75"/>
      <c r="Z28" s="75"/>
      <c r="AA28" s="75"/>
      <c r="AB28" s="75"/>
    </row>
    <row r="29" ht="12.75" customHeight="1">
      <c r="A29" s="106">
        <v>41649</v>
      </c>
      <c r="B29" s="107"/>
      <c r="C29" t="s" s="115">
        <v>34</v>
      </c>
      <c r="D29" t="s" s="109">
        <v>57</v>
      </c>
      <c r="E29" s="110"/>
      <c r="F29" s="111"/>
      <c r="G29" s="112">
        <v>69.36</v>
      </c>
      <c r="H29" s="113" cm="1">
        <f t="array" ref="H29">G29/I29</f>
        <v>6.42222222222222</v>
      </c>
      <c r="I29" s="114">
        <v>10.8</v>
      </c>
      <c r="J29" s="105"/>
      <c r="K29" s="101"/>
      <c r="L29" s="96"/>
      <c r="M29" s="75"/>
      <c r="N29" s="75"/>
      <c r="O29" s="75"/>
      <c r="P29" s="75"/>
      <c r="Q29" s="75"/>
      <c r="R29" s="75"/>
      <c r="S29" s="75"/>
      <c r="T29" s="75"/>
      <c r="U29" s="75"/>
      <c r="V29" s="75"/>
      <c r="W29" s="75"/>
      <c r="X29" s="75"/>
      <c r="Y29" s="75"/>
      <c r="Z29" s="75"/>
      <c r="AA29" s="75"/>
      <c r="AB29" s="75"/>
    </row>
    <row r="30" ht="12.75" customHeight="1">
      <c r="A30" s="97">
        <v>41666</v>
      </c>
      <c r="B30" s="98"/>
      <c r="C30" t="s" s="116">
        <v>41</v>
      </c>
      <c r="D30" t="s" s="119">
        <v>58</v>
      </c>
      <c r="E30" s="120"/>
      <c r="F30" s="101"/>
      <c r="G30" s="102">
        <v>23762.37</v>
      </c>
      <c r="H30" s="103" cm="1">
        <f t="array" ref="H30">G30/I30</f>
        <v>1980.1975</v>
      </c>
      <c r="I30" s="104">
        <v>12</v>
      </c>
      <c r="J30" s="105"/>
      <c r="K30" s="101"/>
      <c r="L30" s="96"/>
      <c r="M30" s="75"/>
      <c r="N30" s="75"/>
      <c r="O30" s="75"/>
      <c r="P30" s="75"/>
      <c r="Q30" s="75"/>
      <c r="R30" s="75"/>
      <c r="S30" s="75"/>
      <c r="T30" s="75"/>
      <c r="U30" s="75"/>
      <c r="V30" s="75"/>
      <c r="W30" s="75"/>
      <c r="X30" s="75"/>
      <c r="Y30" s="75"/>
      <c r="Z30" s="75"/>
      <c r="AA30" s="75"/>
      <c r="AB30" s="75"/>
    </row>
    <row r="31" ht="12.75" customHeight="1">
      <c r="A31" s="106">
        <v>41709</v>
      </c>
      <c r="B31" s="107"/>
      <c r="C31" t="s" s="115">
        <v>34</v>
      </c>
      <c r="D31" t="s" s="109">
        <v>59</v>
      </c>
      <c r="E31" s="110"/>
      <c r="F31" s="111"/>
      <c r="G31" s="112">
        <v>78.48</v>
      </c>
      <c r="H31" s="113" cm="1">
        <f t="array" ref="H31">G31/I31</f>
        <v>7.2</v>
      </c>
      <c r="I31" s="114">
        <v>10.9</v>
      </c>
      <c r="J31" s="105"/>
      <c r="K31" s="101"/>
      <c r="L31" s="96"/>
      <c r="M31" s="75"/>
      <c r="N31" s="75"/>
      <c r="O31" s="75"/>
      <c r="P31" s="75"/>
      <c r="Q31" s="75"/>
      <c r="R31" s="75"/>
      <c r="S31" s="75"/>
      <c r="T31" s="75"/>
      <c r="U31" s="75"/>
      <c r="V31" s="75"/>
      <c r="W31" s="75"/>
      <c r="X31" s="75"/>
      <c r="Y31" s="75"/>
      <c r="Z31" s="75"/>
      <c r="AA31" s="75"/>
      <c r="AB31" s="75"/>
    </row>
    <row r="32" ht="12.75" customHeight="1">
      <c r="A32" s="97">
        <v>41718</v>
      </c>
      <c r="B32" s="121">
        <v>1331</v>
      </c>
      <c r="C32" t="s" s="116">
        <v>60</v>
      </c>
      <c r="D32" t="s" s="79">
        <v>61</v>
      </c>
      <c r="E32" s="100"/>
      <c r="F32" s="101"/>
      <c r="G32" s="102">
        <v>2500</v>
      </c>
      <c r="H32" s="103" cm="1">
        <f t="array" ref="H32">G32/I32</f>
        <v>227.272727272727</v>
      </c>
      <c r="I32" s="104">
        <v>11</v>
      </c>
      <c r="J32" s="105"/>
      <c r="K32" s="101"/>
      <c r="L32" s="96"/>
      <c r="M32" s="75"/>
      <c r="N32" s="75"/>
      <c r="O32" s="75"/>
      <c r="P32" s="75"/>
      <c r="Q32" s="75"/>
      <c r="R32" s="75"/>
      <c r="S32" s="75"/>
      <c r="T32" s="75"/>
      <c r="U32" s="75"/>
      <c r="V32" s="75"/>
      <c r="W32" s="75"/>
      <c r="X32" s="75"/>
      <c r="Y32" s="75"/>
      <c r="Z32" s="75"/>
      <c r="AA32" s="75"/>
      <c r="AB32" s="75"/>
    </row>
    <row r="33" ht="12.75" customHeight="1">
      <c r="A33" s="106">
        <v>41743</v>
      </c>
      <c r="B33" s="107"/>
      <c r="C33" t="s" s="115">
        <v>32</v>
      </c>
      <c r="D33" t="s" s="117">
        <v>62</v>
      </c>
      <c r="E33" s="118"/>
      <c r="F33" s="111"/>
      <c r="G33" s="112">
        <v>20234</v>
      </c>
      <c r="H33" s="113" cm="1">
        <f t="array" ref="H33">G33/I33</f>
        <v>1964.466019417480</v>
      </c>
      <c r="I33" s="114">
        <v>10.3</v>
      </c>
      <c r="J33" s="105"/>
      <c r="K33" s="101"/>
      <c r="L33" s="96"/>
      <c r="M33" s="75"/>
      <c r="N33" s="75"/>
      <c r="O33" s="75"/>
      <c r="P33" s="75"/>
      <c r="Q33" s="75"/>
      <c r="R33" s="75"/>
      <c r="S33" s="75"/>
      <c r="T33" s="75"/>
      <c r="U33" s="75"/>
      <c r="V33" s="75"/>
      <c r="W33" s="75"/>
      <c r="X33" s="75"/>
      <c r="Y33" s="75"/>
      <c r="Z33" s="75"/>
      <c r="AA33" s="75"/>
      <c r="AB33" s="75"/>
    </row>
    <row r="34" ht="12.75" customHeight="1">
      <c r="A34" s="97">
        <v>41767</v>
      </c>
      <c r="B34" s="98"/>
      <c r="C34" t="s" s="116">
        <v>34</v>
      </c>
      <c r="D34" t="s" s="79">
        <v>63</v>
      </c>
      <c r="E34" s="100"/>
      <c r="F34" s="101"/>
      <c r="G34" s="102">
        <v>78.48</v>
      </c>
      <c r="H34" s="103" cm="1">
        <f t="array" ref="H34">G34/I34</f>
        <v>7.29842834557798</v>
      </c>
      <c r="I34" s="104">
        <v>10.753</v>
      </c>
      <c r="J34" s="105"/>
      <c r="K34" s="101"/>
      <c r="L34" s="96"/>
      <c r="M34" s="75"/>
      <c r="N34" s="75"/>
      <c r="O34" s="75"/>
      <c r="P34" s="75"/>
      <c r="Q34" s="75"/>
      <c r="R34" s="75"/>
      <c r="S34" s="75"/>
      <c r="T34" s="75"/>
      <c r="U34" s="75"/>
      <c r="V34" s="75"/>
      <c r="W34" s="75"/>
      <c r="X34" s="75"/>
      <c r="Y34" s="75"/>
      <c r="Z34" s="75"/>
      <c r="AA34" s="75"/>
      <c r="AB34" s="75"/>
    </row>
    <row r="35" ht="12.75" customHeight="1">
      <c r="A35" s="106">
        <v>41809</v>
      </c>
      <c r="B35" s="107"/>
      <c r="C35" t="s" s="115">
        <v>34</v>
      </c>
      <c r="D35" t="s" s="109">
        <v>64</v>
      </c>
      <c r="E35" s="110"/>
      <c r="F35" s="111"/>
      <c r="G35" s="112">
        <v>230.65</v>
      </c>
      <c r="H35" s="113" cm="1">
        <f t="array" ref="H35">G35/I35</f>
        <v>18.6008064516129</v>
      </c>
      <c r="I35" s="114">
        <v>12.4</v>
      </c>
      <c r="J35" s="105"/>
      <c r="K35" s="101"/>
      <c r="L35" s="96"/>
      <c r="M35" s="75"/>
      <c r="N35" s="75"/>
      <c r="O35" s="75"/>
      <c r="P35" s="75"/>
      <c r="Q35" s="75"/>
      <c r="R35" s="75"/>
      <c r="S35" s="75"/>
      <c r="T35" s="75"/>
      <c r="U35" s="75"/>
      <c r="V35" s="75"/>
      <c r="W35" s="75"/>
      <c r="X35" s="75"/>
      <c r="Y35" s="75"/>
      <c r="Z35" s="75"/>
      <c r="AA35" s="75"/>
      <c r="AB35" s="75"/>
    </row>
    <row r="36" ht="12.75" customHeight="1">
      <c r="A36" s="97">
        <v>41845</v>
      </c>
      <c r="B36" s="122"/>
      <c r="C36" t="s" s="123">
        <v>65</v>
      </c>
      <c r="D36" t="s" s="79">
        <v>61</v>
      </c>
      <c r="E36" s="100"/>
      <c r="F36" s="101"/>
      <c r="G36" s="102">
        <v>150000</v>
      </c>
      <c r="H36" s="103">
        <v>15000</v>
      </c>
      <c r="I36" s="104">
        <v>10</v>
      </c>
      <c r="J36" s="105"/>
      <c r="K36" s="101"/>
      <c r="L36" s="96"/>
      <c r="M36" s="75"/>
      <c r="N36" s="75"/>
      <c r="O36" s="75"/>
      <c r="P36" s="75"/>
      <c r="Q36" s="75"/>
      <c r="R36" s="75"/>
      <c r="S36" s="75"/>
      <c r="T36" s="75"/>
      <c r="U36" s="75"/>
      <c r="V36" s="75"/>
      <c r="W36" s="75"/>
      <c r="X36" s="75"/>
      <c r="Y36" s="75"/>
      <c r="Z36" s="75"/>
      <c r="AA36" s="75"/>
      <c r="AB36" s="75"/>
    </row>
    <row r="37" ht="12.75" customHeight="1">
      <c r="A37" s="106">
        <v>41872</v>
      </c>
      <c r="B37" s="107"/>
      <c r="C37" t="s" s="115">
        <v>34</v>
      </c>
      <c r="D37" t="s" s="109">
        <v>66</v>
      </c>
      <c r="E37" s="110"/>
      <c r="F37" s="111"/>
      <c r="G37" s="112">
        <v>230.65</v>
      </c>
      <c r="H37" s="113" cm="1">
        <f t="array" ref="H37">G37/I37</f>
        <v>16.475</v>
      </c>
      <c r="I37" s="114">
        <v>14</v>
      </c>
      <c r="J37" s="105"/>
      <c r="K37" s="101"/>
      <c r="L37" s="96"/>
      <c r="M37" s="75"/>
      <c r="N37" s="75"/>
      <c r="O37" s="75"/>
      <c r="P37" s="75"/>
      <c r="Q37" s="75"/>
      <c r="R37" s="75"/>
      <c r="S37" s="75"/>
      <c r="T37" s="75"/>
      <c r="U37" s="75"/>
      <c r="V37" s="75"/>
      <c r="W37" s="75"/>
      <c r="X37" s="75"/>
      <c r="Y37" s="75"/>
      <c r="Z37" s="75"/>
      <c r="AA37" s="75"/>
      <c r="AB37" s="75"/>
    </row>
    <row r="38" ht="12.75" customHeight="1">
      <c r="A38" s="97">
        <v>41914</v>
      </c>
      <c r="B38" s="121">
        <v>43425</v>
      </c>
      <c r="C38" t="s" s="116">
        <v>67</v>
      </c>
      <c r="D38" t="s" s="79">
        <v>68</v>
      </c>
      <c r="E38" s="100"/>
      <c r="F38" s="101"/>
      <c r="G38" s="102">
        <v>449467.2</v>
      </c>
      <c r="H38" s="103">
        <v>32600</v>
      </c>
      <c r="I38" s="104">
        <v>13.8</v>
      </c>
      <c r="J38" s="105"/>
      <c r="K38" s="101"/>
      <c r="L38" s="96"/>
      <c r="M38" s="75"/>
      <c r="N38" s="75"/>
      <c r="O38" s="75"/>
      <c r="P38" s="75"/>
      <c r="Q38" s="75"/>
      <c r="R38" s="75"/>
      <c r="S38" s="75"/>
      <c r="T38" s="75"/>
      <c r="U38" s="75"/>
      <c r="V38" s="75"/>
      <c r="W38" s="75"/>
      <c r="X38" s="75"/>
      <c r="Y38" s="75"/>
      <c r="Z38" s="75"/>
      <c r="AA38" s="75"/>
      <c r="AB38" s="75"/>
    </row>
    <row r="39" ht="12.75" customHeight="1">
      <c r="A39" s="106">
        <v>41947</v>
      </c>
      <c r="B39" s="124">
        <v>44179</v>
      </c>
      <c r="C39" t="s" s="115">
        <v>67</v>
      </c>
      <c r="D39" t="s" s="109">
        <v>69</v>
      </c>
      <c r="E39" s="110"/>
      <c r="F39" s="111"/>
      <c r="G39" s="112">
        <v>450040.5</v>
      </c>
      <c r="H39" s="113">
        <v>32600</v>
      </c>
      <c r="I39" s="114">
        <v>13.8</v>
      </c>
      <c r="J39" s="105"/>
      <c r="K39" s="101"/>
      <c r="L39" s="96"/>
      <c r="M39" s="75"/>
      <c r="N39" s="75"/>
      <c r="O39" s="75"/>
      <c r="P39" s="75"/>
      <c r="Q39" s="75"/>
      <c r="R39" s="75"/>
      <c r="S39" s="75"/>
      <c r="T39" s="75"/>
      <c r="U39" s="75"/>
      <c r="V39" s="75"/>
      <c r="W39" s="75"/>
      <c r="X39" s="75"/>
      <c r="Y39" s="75"/>
      <c r="Z39" s="75"/>
      <c r="AA39" s="75"/>
      <c r="AB39" s="75"/>
    </row>
    <row r="40" ht="12.75" customHeight="1">
      <c r="A40" s="97">
        <v>41950</v>
      </c>
      <c r="B40" s="98"/>
      <c r="C40" t="s" s="116">
        <v>34</v>
      </c>
      <c r="D40" t="s" s="79">
        <v>70</v>
      </c>
      <c r="E40" s="100"/>
      <c r="F40" s="101"/>
      <c r="G40" s="102">
        <v>232.88</v>
      </c>
      <c r="H40" s="103" cm="1">
        <f t="array" ref="H40">G40/I40</f>
        <v>17.9138461538462</v>
      </c>
      <c r="I40" s="104">
        <v>13</v>
      </c>
      <c r="J40" s="105"/>
      <c r="K40" s="101"/>
      <c r="L40" s="96"/>
      <c r="M40" s="75"/>
      <c r="N40" s="75"/>
      <c r="O40" s="75"/>
      <c r="P40" s="75"/>
      <c r="Q40" s="75"/>
      <c r="R40" s="75"/>
      <c r="S40" s="75"/>
      <c r="T40" s="75"/>
      <c r="U40" s="75"/>
      <c r="V40" s="75"/>
      <c r="W40" s="75"/>
      <c r="X40" s="75"/>
      <c r="Y40" s="75"/>
      <c r="Z40" s="75"/>
      <c r="AA40" s="75"/>
      <c r="AB40" s="75"/>
    </row>
    <row r="41" ht="12.75" customHeight="1">
      <c r="A41" s="106">
        <v>41954</v>
      </c>
      <c r="B41" s="107"/>
      <c r="C41" t="s" s="115">
        <v>34</v>
      </c>
      <c r="D41" t="s" s="109">
        <v>71</v>
      </c>
      <c r="E41" s="110"/>
      <c r="F41" s="111"/>
      <c r="G41" s="112">
        <v>243.34</v>
      </c>
      <c r="H41" s="113" cm="1">
        <f t="array" ref="H41">G41/I41</f>
        <v>18.7184615384615</v>
      </c>
      <c r="I41" s="114" cm="1">
        <f t="array" ref="I41">I40</f>
        <v>13</v>
      </c>
      <c r="J41" s="105"/>
      <c r="K41" s="101"/>
      <c r="L41" s="96"/>
      <c r="M41" s="75"/>
      <c r="N41" s="75"/>
      <c r="O41" s="75"/>
      <c r="P41" s="75"/>
      <c r="Q41" s="75"/>
      <c r="R41" s="75"/>
      <c r="S41" s="75"/>
      <c r="T41" s="75"/>
      <c r="U41" s="75"/>
      <c r="V41" s="75"/>
      <c r="W41" s="75"/>
      <c r="X41" s="75"/>
      <c r="Y41" s="75"/>
      <c r="Z41" s="75"/>
      <c r="AA41" s="75"/>
      <c r="AB41" s="75"/>
    </row>
    <row r="42" ht="12.75" customHeight="1">
      <c r="A42" s="97">
        <v>41957</v>
      </c>
      <c r="B42" s="98"/>
      <c r="C42" t="s" s="116">
        <v>34</v>
      </c>
      <c r="D42" t="s" s="79">
        <v>72</v>
      </c>
      <c r="E42" s="100"/>
      <c r="F42" s="101"/>
      <c r="G42" s="102">
        <v>260.79</v>
      </c>
      <c r="H42" s="103" cm="1">
        <f t="array" ref="H42">G42/I42</f>
        <v>19.4619402985075</v>
      </c>
      <c r="I42" s="104">
        <v>13.4</v>
      </c>
      <c r="J42" s="105"/>
      <c r="K42" s="101"/>
      <c r="L42" s="96"/>
      <c r="M42" s="75"/>
      <c r="N42" s="75"/>
      <c r="O42" s="75"/>
      <c r="P42" s="75"/>
      <c r="Q42" s="75"/>
      <c r="R42" s="75"/>
      <c r="S42" s="75"/>
      <c r="T42" s="75"/>
      <c r="U42" s="75"/>
      <c r="V42" s="75"/>
      <c r="W42" s="75"/>
      <c r="X42" s="75"/>
      <c r="Y42" s="75"/>
      <c r="Z42" s="75"/>
      <c r="AA42" s="75"/>
      <c r="AB42" s="75"/>
    </row>
    <row r="43" ht="12.75" customHeight="1">
      <c r="A43" s="106">
        <v>41993</v>
      </c>
      <c r="B43" s="107"/>
      <c r="C43" t="s" s="115">
        <v>34</v>
      </c>
      <c r="D43" t="s" s="109">
        <v>73</v>
      </c>
      <c r="E43" s="110"/>
      <c r="F43" s="111"/>
      <c r="G43" s="112">
        <v>230.65</v>
      </c>
      <c r="H43" s="113" cm="1">
        <f t="array" ref="H43">G43/I43</f>
        <v>17.7423076923077</v>
      </c>
      <c r="I43" s="114">
        <v>13</v>
      </c>
      <c r="J43" s="105"/>
      <c r="K43" s="101"/>
      <c r="L43" s="96"/>
      <c r="M43" s="75"/>
      <c r="N43" s="75"/>
      <c r="O43" s="75"/>
      <c r="P43" s="75"/>
      <c r="Q43" s="75"/>
      <c r="R43" s="75"/>
      <c r="S43" s="75"/>
      <c r="T43" s="75"/>
      <c r="U43" s="75"/>
      <c r="V43" s="75"/>
      <c r="W43" s="75"/>
      <c r="X43" s="75"/>
      <c r="Y43" s="75"/>
      <c r="Z43" s="75"/>
      <c r="AA43" s="75"/>
      <c r="AB43" s="75"/>
    </row>
    <row r="44" ht="12.75" customHeight="1">
      <c r="A44" s="97">
        <v>42018</v>
      </c>
      <c r="B44" s="98"/>
      <c r="C44" t="s" s="116">
        <v>41</v>
      </c>
      <c r="D44" t="s" s="79">
        <v>74</v>
      </c>
      <c r="E44" s="100"/>
      <c r="F44" s="101"/>
      <c r="G44" s="102">
        <v>31624.65</v>
      </c>
      <c r="H44" s="103" cm="1">
        <f t="array" ref="H44">G44/I44</f>
        <v>2325.341911764710</v>
      </c>
      <c r="I44" s="104">
        <v>13.6</v>
      </c>
      <c r="J44" s="105"/>
      <c r="K44" s="101"/>
      <c r="L44" s="96"/>
      <c r="M44" s="75"/>
      <c r="N44" s="75"/>
      <c r="O44" s="75"/>
      <c r="P44" s="75"/>
      <c r="Q44" s="75"/>
      <c r="R44" s="75"/>
      <c r="S44" s="75"/>
      <c r="T44" s="75"/>
      <c r="U44" s="75"/>
      <c r="V44" s="75"/>
      <c r="W44" s="75"/>
      <c r="X44" s="75"/>
      <c r="Y44" s="75"/>
      <c r="Z44" s="75"/>
      <c r="AA44" s="75"/>
      <c r="AB44" s="75"/>
    </row>
    <row r="45" ht="12.75" customHeight="1">
      <c r="A45" s="106">
        <v>42030</v>
      </c>
      <c r="B45" s="107"/>
      <c r="C45" t="s" s="115">
        <v>34</v>
      </c>
      <c r="D45" t="s" s="109">
        <v>75</v>
      </c>
      <c r="E45" s="110"/>
      <c r="F45" s="111"/>
      <c r="G45" s="112">
        <v>840.3099999999999</v>
      </c>
      <c r="H45" s="113" cm="1">
        <f t="array" ref="H45">G45/I45</f>
        <v>61.7875</v>
      </c>
      <c r="I45" s="114" cm="1">
        <f t="array" ref="I45">I44</f>
        <v>13.6</v>
      </c>
      <c r="J45" s="105"/>
      <c r="K45" s="101"/>
      <c r="L45" s="96"/>
      <c r="M45" s="75"/>
      <c r="N45" s="75"/>
      <c r="O45" s="75"/>
      <c r="P45" s="75"/>
      <c r="Q45" s="75"/>
      <c r="R45" s="75"/>
      <c r="S45" s="75"/>
      <c r="T45" s="75"/>
      <c r="U45" s="75"/>
      <c r="V45" s="75"/>
      <c r="W45" s="75"/>
      <c r="X45" s="75"/>
      <c r="Y45" s="75"/>
      <c r="Z45" s="75"/>
      <c r="AA45" s="75"/>
      <c r="AB45" s="75"/>
    </row>
    <row r="46" ht="12.75" customHeight="1">
      <c r="A46" s="97">
        <v>42053</v>
      </c>
      <c r="B46" s="98"/>
      <c r="C46" t="s" s="116">
        <v>32</v>
      </c>
      <c r="D46" t="s" s="119">
        <v>76</v>
      </c>
      <c r="E46" s="120"/>
      <c r="F46" s="101"/>
      <c r="G46" s="102">
        <v>26301.4</v>
      </c>
      <c r="H46" s="103" cm="1">
        <f t="array" ref="H46">G46/I46</f>
        <v>2023.184615384620</v>
      </c>
      <c r="I46" s="104">
        <v>13</v>
      </c>
      <c r="J46" s="105"/>
      <c r="K46" s="101"/>
      <c r="L46" s="96"/>
      <c r="M46" s="75"/>
      <c r="N46" s="75"/>
      <c r="O46" s="75"/>
      <c r="P46" s="75"/>
      <c r="Q46" s="75"/>
      <c r="R46" s="75"/>
      <c r="S46" s="75"/>
      <c r="T46" s="75"/>
      <c r="U46" s="75"/>
      <c r="V46" s="75"/>
      <c r="W46" s="75"/>
      <c r="X46" s="75"/>
      <c r="Y46" s="75"/>
      <c r="Z46" s="75"/>
      <c r="AA46" s="75"/>
      <c r="AB46" s="75"/>
    </row>
    <row r="47" ht="12.75" customHeight="1">
      <c r="A47" s="106">
        <v>42073</v>
      </c>
      <c r="B47" s="107"/>
      <c r="C47" t="s" s="115">
        <v>34</v>
      </c>
      <c r="D47" t="s" s="109">
        <v>77</v>
      </c>
      <c r="E47" s="110"/>
      <c r="F47" s="111"/>
      <c r="G47" s="112">
        <v>1983.16</v>
      </c>
      <c r="H47" s="113" cm="1">
        <f t="array" ref="H47">G47/I47</f>
        <v>154.934375</v>
      </c>
      <c r="I47" s="114">
        <v>12.8</v>
      </c>
      <c r="J47" s="105"/>
      <c r="K47" s="101"/>
      <c r="L47" s="96"/>
      <c r="M47" s="75"/>
      <c r="N47" s="75"/>
      <c r="O47" s="75"/>
      <c r="P47" s="75"/>
      <c r="Q47" s="75"/>
      <c r="R47" s="75"/>
      <c r="S47" s="75"/>
      <c r="T47" s="75"/>
      <c r="U47" s="75"/>
      <c r="V47" s="75"/>
      <c r="W47" s="75"/>
      <c r="X47" s="75"/>
      <c r="Y47" s="75"/>
      <c r="Z47" s="75"/>
      <c r="AA47" s="75"/>
      <c r="AB47" s="75"/>
    </row>
    <row r="48" ht="12.75" customHeight="1">
      <c r="A48" s="106">
        <v>42138</v>
      </c>
      <c r="B48" s="107"/>
      <c r="C48" t="s" s="115">
        <v>34</v>
      </c>
      <c r="D48" t="s" s="109">
        <v>78</v>
      </c>
      <c r="E48" s="110"/>
      <c r="F48" s="111"/>
      <c r="G48" s="112">
        <v>1472.48</v>
      </c>
      <c r="H48" s="113" cm="1">
        <f t="array" ref="H48">G48/I48</f>
        <v>115.943307086614</v>
      </c>
      <c r="I48" s="114">
        <v>12.7</v>
      </c>
      <c r="J48" s="105"/>
      <c r="K48" s="101"/>
      <c r="L48" s="96"/>
      <c r="M48" s="75"/>
      <c r="N48" s="75"/>
      <c r="O48" s="75"/>
      <c r="P48" s="75"/>
      <c r="Q48" s="75"/>
      <c r="R48" s="75"/>
      <c r="S48" s="75"/>
      <c r="T48" s="75"/>
      <c r="U48" s="75"/>
      <c r="V48" s="75"/>
      <c r="W48" s="75"/>
      <c r="X48" s="75"/>
      <c r="Y48" s="75"/>
      <c r="Z48" s="75"/>
      <c r="AA48" s="75"/>
      <c r="AB48" s="75"/>
    </row>
    <row r="49" ht="12.75" customHeight="1">
      <c r="A49" s="97">
        <v>42138</v>
      </c>
      <c r="B49" s="98"/>
      <c r="C49" t="s" s="116">
        <v>34</v>
      </c>
      <c r="D49" t="s" s="79">
        <v>79</v>
      </c>
      <c r="E49" s="100"/>
      <c r="F49" s="101"/>
      <c r="G49" s="102">
        <v>1975.12</v>
      </c>
      <c r="H49" s="103" cm="1">
        <f t="array" ref="H49">G49/I49</f>
        <v>155.521259842520</v>
      </c>
      <c r="I49" s="104" cm="1">
        <f t="array" ref="I49">I48</f>
        <v>12.7</v>
      </c>
      <c r="J49" s="105"/>
      <c r="K49" s="101"/>
      <c r="L49" s="96"/>
      <c r="M49" s="75"/>
      <c r="N49" s="75"/>
      <c r="O49" s="75"/>
      <c r="P49" s="75"/>
      <c r="Q49" s="75"/>
      <c r="R49" s="75"/>
      <c r="S49" s="75"/>
      <c r="T49" s="75"/>
      <c r="U49" s="75"/>
      <c r="V49" s="75"/>
      <c r="W49" s="75"/>
      <c r="X49" s="75"/>
      <c r="Y49" s="75"/>
      <c r="Z49" s="75"/>
      <c r="AA49" s="75"/>
      <c r="AB49" s="75"/>
    </row>
    <row r="50" ht="12.75" customHeight="1">
      <c r="A50" s="106">
        <v>42138</v>
      </c>
      <c r="B50" s="107"/>
      <c r="C50" t="s" s="115">
        <v>34</v>
      </c>
      <c r="D50" t="s" s="109">
        <v>80</v>
      </c>
      <c r="E50" s="110"/>
      <c r="F50" s="111"/>
      <c r="G50" s="112">
        <v>294.53</v>
      </c>
      <c r="H50" s="113" cm="1">
        <f t="array" ref="H50">G50/I50</f>
        <v>23.1913385826772</v>
      </c>
      <c r="I50" s="114" cm="1">
        <f t="array" ref="I50">I49</f>
        <v>12.7</v>
      </c>
      <c r="J50" s="105"/>
      <c r="K50" s="101"/>
      <c r="L50" s="96"/>
      <c r="M50" s="75"/>
      <c r="N50" s="75"/>
      <c r="O50" s="75"/>
      <c r="P50" s="75"/>
      <c r="Q50" s="75"/>
      <c r="R50" s="75"/>
      <c r="S50" s="75"/>
      <c r="T50" s="75"/>
      <c r="U50" s="75"/>
      <c r="V50" s="75"/>
      <c r="W50" s="75"/>
      <c r="X50" s="75"/>
      <c r="Y50" s="75"/>
      <c r="Z50" s="75"/>
      <c r="AA50" s="75"/>
      <c r="AB50" s="75"/>
    </row>
    <row r="51" ht="12.75" customHeight="1">
      <c r="A51" s="97">
        <v>42145</v>
      </c>
      <c r="B51" s="98"/>
      <c r="C51" t="s" s="116">
        <v>34</v>
      </c>
      <c r="D51" t="s" s="79">
        <v>81</v>
      </c>
      <c r="E51" s="100"/>
      <c r="F51" s="101"/>
      <c r="G51" s="102">
        <v>990.46</v>
      </c>
      <c r="H51" s="103" cm="1">
        <f t="array" ref="H51">G51/I51</f>
        <v>77.9889763779528</v>
      </c>
      <c r="I51" s="104" cm="1">
        <f t="array" ref="I51">I50</f>
        <v>12.7</v>
      </c>
      <c r="J51" s="105"/>
      <c r="K51" s="101"/>
      <c r="L51" s="96"/>
      <c r="M51" s="75"/>
      <c r="N51" s="75"/>
      <c r="O51" s="75"/>
      <c r="P51" s="75"/>
      <c r="Q51" s="75"/>
      <c r="R51" s="75"/>
      <c r="S51" s="75"/>
      <c r="T51" s="75"/>
      <c r="U51" s="75"/>
      <c r="V51" s="75"/>
      <c r="W51" s="75"/>
      <c r="X51" s="75"/>
      <c r="Y51" s="75"/>
      <c r="Z51" s="75"/>
      <c r="AA51" s="75"/>
      <c r="AB51" s="75"/>
    </row>
    <row r="52" ht="12.75" customHeight="1">
      <c r="A52" s="97">
        <v>42173</v>
      </c>
      <c r="B52" s="98"/>
      <c r="C52" t="s" s="116">
        <v>34</v>
      </c>
      <c r="D52" t="s" s="79">
        <v>82</v>
      </c>
      <c r="E52" s="100"/>
      <c r="F52" s="101"/>
      <c r="G52" s="102">
        <v>333.16</v>
      </c>
      <c r="H52" s="103" cm="1">
        <f t="array" ref="H52">G52/I52</f>
        <v>26.2330708661417</v>
      </c>
      <c r="I52" s="104">
        <v>12.7</v>
      </c>
      <c r="J52" s="105"/>
      <c r="K52" s="101"/>
      <c r="L52" s="96"/>
      <c r="M52" s="75"/>
      <c r="N52" s="75"/>
      <c r="O52" s="75"/>
      <c r="P52" s="75"/>
      <c r="Q52" s="75"/>
      <c r="R52" s="75"/>
      <c r="S52" s="75"/>
      <c r="T52" s="75"/>
      <c r="U52" s="75"/>
      <c r="V52" s="75"/>
      <c r="W52" s="75"/>
      <c r="X52" s="75"/>
      <c r="Y52" s="75"/>
      <c r="Z52" s="75"/>
      <c r="AA52" s="75"/>
      <c r="AB52" s="75"/>
    </row>
    <row r="53" ht="12.75" customHeight="1">
      <c r="A53" s="106">
        <v>42205</v>
      </c>
      <c r="B53" s="107"/>
      <c r="C53" t="s" s="115">
        <v>34</v>
      </c>
      <c r="D53" t="s" s="109">
        <v>83</v>
      </c>
      <c r="E53" s="110"/>
      <c r="F53" s="111"/>
      <c r="G53" s="112">
        <v>333.16</v>
      </c>
      <c r="H53" s="113" cm="1">
        <f t="array" ref="H53">G53/I53</f>
        <v>22.8191780821918</v>
      </c>
      <c r="I53" s="114">
        <v>14.6</v>
      </c>
      <c r="J53" s="105"/>
      <c r="K53" s="101"/>
      <c r="L53" s="96"/>
      <c r="M53" s="75"/>
      <c r="N53" s="75"/>
      <c r="O53" s="75"/>
      <c r="P53" s="75"/>
      <c r="Q53" s="75"/>
      <c r="R53" s="75"/>
      <c r="S53" s="75"/>
      <c r="T53" s="75"/>
      <c r="U53" s="75"/>
      <c r="V53" s="75"/>
      <c r="W53" s="75"/>
      <c r="X53" s="75"/>
      <c r="Y53" s="75"/>
      <c r="Z53" s="75"/>
      <c r="AA53" s="75"/>
      <c r="AB53" s="75"/>
    </row>
    <row r="54" ht="12.75" customHeight="1">
      <c r="A54" s="97">
        <v>42238</v>
      </c>
      <c r="B54" s="98"/>
      <c r="C54" t="s" s="116">
        <v>34</v>
      </c>
      <c r="D54" t="s" s="79">
        <v>84</v>
      </c>
      <c r="E54" s="100"/>
      <c r="F54" s="101"/>
      <c r="G54" s="102">
        <v>333.16</v>
      </c>
      <c r="H54" s="103" cm="1">
        <f t="array" ref="H54">G54/I54</f>
        <v>21.3564102564103</v>
      </c>
      <c r="I54" s="104">
        <v>15.6</v>
      </c>
      <c r="J54" s="105"/>
      <c r="K54" s="101"/>
      <c r="L54" s="96"/>
      <c r="M54" s="75"/>
      <c r="N54" s="75"/>
      <c r="O54" s="75"/>
      <c r="P54" s="75"/>
      <c r="Q54" s="75"/>
      <c r="R54" s="75"/>
      <c r="S54" s="75"/>
      <c r="T54" s="75"/>
      <c r="U54" s="75"/>
      <c r="V54" s="75"/>
      <c r="W54" s="75"/>
      <c r="X54" s="75"/>
      <c r="Y54" s="75"/>
      <c r="Z54" s="75"/>
      <c r="AA54" s="75"/>
      <c r="AB54" s="75"/>
    </row>
    <row r="55" ht="12.75" customHeight="1">
      <c r="A55" s="106">
        <v>42241</v>
      </c>
      <c r="B55" s="124">
        <v>49634</v>
      </c>
      <c r="C55" t="s" s="115">
        <v>67</v>
      </c>
      <c r="D55" t="s" s="109">
        <v>85</v>
      </c>
      <c r="E55" s="110"/>
      <c r="F55" s="111"/>
      <c r="G55" s="112">
        <v>599821.21</v>
      </c>
      <c r="H55" s="113">
        <v>37800</v>
      </c>
      <c r="I55" s="114">
        <v>15.87</v>
      </c>
      <c r="J55" s="105"/>
      <c r="K55" s="101"/>
      <c r="L55" s="96"/>
      <c r="M55" s="75"/>
      <c r="N55" s="75"/>
      <c r="O55" s="75"/>
      <c r="P55" s="75"/>
      <c r="Q55" s="75"/>
      <c r="R55" s="75"/>
      <c r="S55" s="75"/>
      <c r="T55" s="75"/>
      <c r="U55" s="75"/>
      <c r="V55" s="75"/>
      <c r="W55" s="75"/>
      <c r="X55" s="75"/>
      <c r="Y55" s="75"/>
      <c r="Z55" s="75"/>
      <c r="AA55" s="75"/>
      <c r="AB55" s="75"/>
    </row>
    <row r="56" ht="12.75" customHeight="1">
      <c r="A56" s="97">
        <v>42269</v>
      </c>
      <c r="B56" s="98"/>
      <c r="C56" t="s" s="116">
        <v>34</v>
      </c>
      <c r="D56" t="s" s="79">
        <v>86</v>
      </c>
      <c r="E56" s="100"/>
      <c r="F56" s="101"/>
      <c r="G56" s="102">
        <v>333.16</v>
      </c>
      <c r="H56" s="103" cm="1">
        <f t="array" ref="H56">G56/I56</f>
        <v>20.8225</v>
      </c>
      <c r="I56" s="104">
        <v>16</v>
      </c>
      <c r="J56" s="105"/>
      <c r="K56" s="101"/>
      <c r="L56" s="96"/>
      <c r="M56" s="75"/>
      <c r="N56" s="75"/>
      <c r="O56" s="75"/>
      <c r="P56" s="75"/>
      <c r="Q56" s="75"/>
      <c r="R56" s="75"/>
      <c r="S56" s="75"/>
      <c r="T56" s="75"/>
      <c r="U56" s="75"/>
      <c r="V56" s="75"/>
      <c r="W56" s="75"/>
      <c r="X56" s="75"/>
      <c r="Y56" s="75"/>
      <c r="Z56" s="75"/>
      <c r="AA56" s="75"/>
      <c r="AB56" s="75"/>
    </row>
    <row r="57" ht="12.75" customHeight="1">
      <c r="A57" s="106">
        <v>42279</v>
      </c>
      <c r="B57" s="107"/>
      <c r="C57" t="s" s="115">
        <v>67</v>
      </c>
      <c r="D57" t="s" s="109">
        <v>87</v>
      </c>
      <c r="E57" s="110"/>
      <c r="F57" s="111"/>
      <c r="G57" s="112">
        <v>1623051.8</v>
      </c>
      <c r="H57" s="113">
        <v>102078</v>
      </c>
      <c r="I57" s="114">
        <v>15.9</v>
      </c>
      <c r="J57" s="105"/>
      <c r="K57" s="101"/>
      <c r="L57" s="96"/>
      <c r="M57" s="75"/>
      <c r="N57" s="75"/>
      <c r="O57" s="75"/>
      <c r="P57" s="75"/>
      <c r="Q57" s="75"/>
      <c r="R57" s="75"/>
      <c r="S57" s="75"/>
      <c r="T57" s="75"/>
      <c r="U57" s="75"/>
      <c r="V57" s="75"/>
      <c r="W57" s="75"/>
      <c r="X57" s="75"/>
      <c r="Y57" s="75"/>
      <c r="Z57" s="75"/>
      <c r="AA57" s="75"/>
      <c r="AB57" s="75"/>
    </row>
    <row r="58" ht="12.75" customHeight="1">
      <c r="A58" s="97">
        <v>42298</v>
      </c>
      <c r="B58" s="98"/>
      <c r="C58" t="s" s="116">
        <v>34</v>
      </c>
      <c r="D58" t="s" s="79">
        <v>88</v>
      </c>
      <c r="E58" s="100"/>
      <c r="F58" s="101"/>
      <c r="G58" s="102">
        <v>333.16</v>
      </c>
      <c r="H58" s="103" cm="1">
        <f t="array" ref="H58">G58/I58</f>
        <v>20.8225</v>
      </c>
      <c r="I58" s="104" cm="1">
        <f t="array" ref="I58">I56</f>
        <v>16</v>
      </c>
      <c r="J58" s="105"/>
      <c r="K58" s="101"/>
      <c r="L58" s="96"/>
      <c r="M58" s="75"/>
      <c r="N58" s="75"/>
      <c r="O58" s="75"/>
      <c r="P58" s="75"/>
      <c r="Q58" s="75"/>
      <c r="R58" s="75"/>
      <c r="S58" s="75"/>
      <c r="T58" s="75"/>
      <c r="U58" s="75"/>
      <c r="V58" s="75"/>
      <c r="W58" s="75"/>
      <c r="X58" s="75"/>
      <c r="Y58" s="75"/>
      <c r="Z58" s="75"/>
      <c r="AA58" s="75"/>
      <c r="AB58" s="75"/>
    </row>
    <row r="59" ht="12.75" customHeight="1">
      <c r="A59" s="106">
        <v>42328</v>
      </c>
      <c r="B59" s="107"/>
      <c r="C59" t="s" s="115">
        <v>34</v>
      </c>
      <c r="D59" t="s" s="109">
        <v>89</v>
      </c>
      <c r="E59" s="110"/>
      <c r="F59" s="111"/>
      <c r="G59" s="112">
        <v>333.16</v>
      </c>
      <c r="H59" s="113" cm="1">
        <f t="array" ref="H59">G59/I59</f>
        <v>22.2106666666667</v>
      </c>
      <c r="I59" s="114">
        <v>15</v>
      </c>
      <c r="J59" s="105"/>
      <c r="K59" s="101"/>
      <c r="L59" s="96"/>
      <c r="M59" s="75"/>
      <c r="N59" s="75"/>
      <c r="O59" s="75"/>
      <c r="P59" s="75"/>
      <c r="Q59" s="75"/>
      <c r="R59" s="75"/>
      <c r="S59" s="75"/>
      <c r="T59" s="75"/>
      <c r="U59" s="75"/>
      <c r="V59" s="75"/>
      <c r="W59" s="75"/>
      <c r="X59" s="75"/>
      <c r="Y59" s="75"/>
      <c r="Z59" s="75"/>
      <c r="AA59" s="75"/>
      <c r="AB59" s="75"/>
    </row>
    <row r="60" ht="12.75" customHeight="1">
      <c r="A60" s="97">
        <v>42383</v>
      </c>
      <c r="B60" s="98"/>
      <c r="C60" t="s" s="116">
        <v>41</v>
      </c>
      <c r="D60" t="s" s="119">
        <v>90</v>
      </c>
      <c r="E60" s="120"/>
      <c r="F60" s="101"/>
      <c r="G60" s="102">
        <v>31658.95</v>
      </c>
      <c r="H60" s="103" cm="1">
        <f t="array" ref="H60">G60/I60</f>
        <v>2261.353571428570</v>
      </c>
      <c r="I60" s="104">
        <v>14</v>
      </c>
      <c r="J60" s="105"/>
      <c r="K60" s="101"/>
      <c r="L60" s="96"/>
      <c r="M60" s="75"/>
      <c r="N60" s="75"/>
      <c r="O60" s="75"/>
      <c r="P60" s="75"/>
      <c r="Q60" s="75"/>
      <c r="R60" s="75"/>
      <c r="S60" s="75"/>
      <c r="T60" s="75"/>
      <c r="U60" s="75"/>
      <c r="V60" s="75"/>
      <c r="W60" s="75"/>
      <c r="X60" s="75"/>
      <c r="Y60" s="75"/>
      <c r="Z60" s="75"/>
      <c r="AA60" s="75"/>
      <c r="AB60" s="75"/>
    </row>
    <row r="61" ht="12.75" customHeight="1">
      <c r="A61" s="106">
        <v>42390</v>
      </c>
      <c r="B61" s="107"/>
      <c r="C61" t="s" s="115">
        <v>34</v>
      </c>
      <c r="D61" t="s" s="109">
        <v>91</v>
      </c>
      <c r="E61" s="110"/>
      <c r="F61" s="111"/>
      <c r="G61" s="112">
        <v>1387.52</v>
      </c>
      <c r="H61" s="113" cm="1">
        <f t="array" ref="H61">G61/I61</f>
        <v>96.3555555555556</v>
      </c>
      <c r="I61" s="114">
        <v>14.4</v>
      </c>
      <c r="J61" s="105"/>
      <c r="K61" s="101"/>
      <c r="L61" s="96"/>
      <c r="M61" s="75"/>
      <c r="N61" s="75"/>
      <c r="O61" s="75"/>
      <c r="P61" s="75"/>
      <c r="Q61" s="75"/>
      <c r="R61" s="75"/>
      <c r="S61" s="75"/>
      <c r="T61" s="75"/>
      <c r="U61" s="75"/>
      <c r="V61" s="75"/>
      <c r="W61" s="75"/>
      <c r="X61" s="75"/>
      <c r="Y61" s="75"/>
      <c r="Z61" s="75"/>
      <c r="AA61" s="75"/>
      <c r="AB61" s="75"/>
    </row>
    <row r="62" ht="12.75" customHeight="1">
      <c r="A62" s="97">
        <v>42416</v>
      </c>
      <c r="B62" s="98"/>
      <c r="C62" t="s" s="116">
        <v>32</v>
      </c>
      <c r="D62" t="s" s="119">
        <v>92</v>
      </c>
      <c r="E62" s="120"/>
      <c r="F62" s="101"/>
      <c r="G62" s="102">
        <v>32462</v>
      </c>
      <c r="H62" s="103" cm="1">
        <f t="array" ref="H62">G62/I62</f>
        <v>2164.133333333330</v>
      </c>
      <c r="I62" s="104">
        <v>15</v>
      </c>
      <c r="J62" s="105"/>
      <c r="K62" s="101"/>
      <c r="L62" s="96"/>
      <c r="M62" s="75"/>
      <c r="N62" s="75"/>
      <c r="O62" s="75"/>
      <c r="P62" s="75"/>
      <c r="Q62" s="75"/>
      <c r="R62" s="75"/>
      <c r="S62" s="75"/>
      <c r="T62" s="75"/>
      <c r="U62" s="75"/>
      <c r="V62" s="75"/>
      <c r="W62" s="75"/>
      <c r="X62" s="75"/>
      <c r="Y62" s="75"/>
      <c r="Z62" s="75"/>
      <c r="AA62" s="75"/>
      <c r="AB62" s="75"/>
    </row>
    <row r="63" ht="12.75" customHeight="1">
      <c r="A63" s="106">
        <v>42417</v>
      </c>
      <c r="B63" s="107"/>
      <c r="C63" t="s" s="115">
        <v>93</v>
      </c>
      <c r="D63" t="s" s="109">
        <v>94</v>
      </c>
      <c r="E63" s="110"/>
      <c r="F63" s="111"/>
      <c r="G63" s="112">
        <v>5220</v>
      </c>
      <c r="H63" s="113" cm="1">
        <f t="array" ref="H63">G63/I63</f>
        <v>341.176470588235</v>
      </c>
      <c r="I63" s="114">
        <v>15.3</v>
      </c>
      <c r="J63" s="105"/>
      <c r="K63" s="101"/>
      <c r="L63" s="96"/>
      <c r="M63" s="75"/>
      <c r="N63" s="75"/>
      <c r="O63" s="75"/>
      <c r="P63" s="75"/>
      <c r="Q63" s="75"/>
      <c r="R63" s="75"/>
      <c r="S63" s="75"/>
      <c r="T63" s="75"/>
      <c r="U63" s="75"/>
      <c r="V63" s="75"/>
      <c r="W63" s="75"/>
      <c r="X63" s="75"/>
      <c r="Y63" s="75"/>
      <c r="Z63" s="75"/>
      <c r="AA63" s="75"/>
      <c r="AB63" s="75"/>
    </row>
    <row r="64" ht="12.75" customHeight="1">
      <c r="A64" s="97">
        <v>42418</v>
      </c>
      <c r="B64" s="98"/>
      <c r="C64" t="s" s="116">
        <v>34</v>
      </c>
      <c r="D64" t="s" s="79">
        <v>95</v>
      </c>
      <c r="E64" s="100"/>
      <c r="F64" s="101"/>
      <c r="G64" s="102">
        <v>392.46</v>
      </c>
      <c r="H64" s="103" cm="1">
        <f t="array" ref="H64">G64/I64</f>
        <v>25.5674267100977</v>
      </c>
      <c r="I64" s="104">
        <v>15.35</v>
      </c>
      <c r="J64" s="105"/>
      <c r="K64" s="101"/>
      <c r="L64" s="96"/>
      <c r="M64" s="75"/>
      <c r="N64" s="75"/>
      <c r="O64" s="75"/>
      <c r="P64" s="75"/>
      <c r="Q64" s="75"/>
      <c r="R64" s="75"/>
      <c r="S64" s="75"/>
      <c r="T64" s="75"/>
      <c r="U64" s="75"/>
      <c r="V64" s="75"/>
      <c r="W64" s="75"/>
      <c r="X64" s="75"/>
      <c r="Y64" s="75"/>
      <c r="Z64" s="75"/>
      <c r="AA64" s="75"/>
      <c r="AB64" s="75"/>
    </row>
    <row r="65" ht="12.75" customHeight="1">
      <c r="A65" s="106">
        <v>42422</v>
      </c>
      <c r="B65" s="107"/>
      <c r="C65" t="s" s="115">
        <v>34</v>
      </c>
      <c r="D65" t="s" s="109">
        <v>96</v>
      </c>
      <c r="E65" s="110"/>
      <c r="F65" s="111"/>
      <c r="G65" s="112">
        <v>1875.8</v>
      </c>
      <c r="H65" s="113" cm="1">
        <f t="array" ref="H65">G65/I65</f>
        <v>121.805194805195</v>
      </c>
      <c r="I65" s="114">
        <v>15.4</v>
      </c>
      <c r="J65" s="105"/>
      <c r="K65" s="101"/>
      <c r="L65" s="96"/>
      <c r="M65" s="75"/>
      <c r="N65" s="75"/>
      <c r="O65" s="75"/>
      <c r="P65" s="75"/>
      <c r="Q65" s="75"/>
      <c r="R65" s="75"/>
      <c r="S65" s="75"/>
      <c r="T65" s="75"/>
      <c r="U65" s="75"/>
      <c r="V65" s="75"/>
      <c r="W65" s="75"/>
      <c r="X65" s="75"/>
      <c r="Y65" s="75"/>
      <c r="Z65" s="75"/>
      <c r="AA65" s="75"/>
      <c r="AB65" s="75"/>
    </row>
    <row r="66" ht="12.75" customHeight="1">
      <c r="A66" s="97">
        <v>42441</v>
      </c>
      <c r="B66" s="98"/>
      <c r="C66" t="s" s="116">
        <v>34</v>
      </c>
      <c r="D66" t="s" s="79">
        <v>97</v>
      </c>
      <c r="E66" s="100"/>
      <c r="F66" s="101"/>
      <c r="G66" s="102">
        <v>516810</v>
      </c>
      <c r="H66" s="103">
        <v>35700</v>
      </c>
      <c r="I66" s="104">
        <v>14.5</v>
      </c>
      <c r="J66" s="105"/>
      <c r="K66" s="101"/>
      <c r="L66" s="96"/>
      <c r="M66" s="75"/>
      <c r="N66" s="75"/>
      <c r="O66" s="75"/>
      <c r="P66" s="75"/>
      <c r="Q66" s="75"/>
      <c r="R66" s="75"/>
      <c r="S66" s="75"/>
      <c r="T66" s="75"/>
      <c r="U66" s="75"/>
      <c r="V66" s="75"/>
      <c r="W66" s="75"/>
      <c r="X66" s="75"/>
      <c r="Y66" s="75"/>
      <c r="Z66" s="75"/>
      <c r="AA66" s="75"/>
      <c r="AB66" s="75"/>
    </row>
    <row r="67" ht="12.75" customHeight="1">
      <c r="A67" s="106">
        <v>42450</v>
      </c>
      <c r="B67" s="107"/>
      <c r="C67" t="s" s="115">
        <v>34</v>
      </c>
      <c r="D67" t="s" s="109">
        <v>98</v>
      </c>
      <c r="E67" s="110"/>
      <c r="F67" s="111"/>
      <c r="G67" s="112">
        <v>2119.94</v>
      </c>
      <c r="H67" s="113" cm="1">
        <f t="array" ref="H67">G67/I67</f>
        <v>137.658441558442</v>
      </c>
      <c r="I67" s="114">
        <v>15.4</v>
      </c>
      <c r="J67" s="105"/>
      <c r="K67" s="101"/>
      <c r="L67" s="96"/>
      <c r="M67" s="75"/>
      <c r="N67" s="75"/>
      <c r="O67" s="75"/>
      <c r="P67" s="75"/>
      <c r="Q67" s="75"/>
      <c r="R67" s="75"/>
      <c r="S67" s="75"/>
      <c r="T67" s="75"/>
      <c r="U67" s="75"/>
      <c r="V67" s="75"/>
      <c r="W67" s="75"/>
      <c r="X67" s="75"/>
      <c r="Y67" s="75"/>
      <c r="Z67" s="75"/>
      <c r="AA67" s="75"/>
      <c r="AB67" s="75"/>
    </row>
    <row r="68" ht="12.75" customHeight="1">
      <c r="A68" s="97">
        <v>42485</v>
      </c>
      <c r="B68" s="98"/>
      <c r="C68" t="s" s="116">
        <v>99</v>
      </c>
      <c r="D68" t="s" s="79">
        <v>96</v>
      </c>
      <c r="E68" s="100"/>
      <c r="F68" s="101"/>
      <c r="G68" s="102">
        <v>923.02</v>
      </c>
      <c r="H68" s="103" cm="1">
        <f t="array" ref="H68">G68/I68</f>
        <v>62.156228956229</v>
      </c>
      <c r="I68" s="104">
        <v>14.85</v>
      </c>
      <c r="J68" s="105"/>
      <c r="K68" s="101"/>
      <c r="L68" s="96"/>
      <c r="M68" s="75"/>
      <c r="N68" s="75"/>
      <c r="O68" s="75"/>
      <c r="P68" s="75"/>
      <c r="Q68" s="75"/>
      <c r="R68" s="75"/>
      <c r="S68" s="75"/>
      <c r="T68" s="75"/>
      <c r="U68" s="75"/>
      <c r="V68" s="75"/>
      <c r="W68" s="75"/>
      <c r="X68" s="75"/>
      <c r="Y68" s="75"/>
      <c r="Z68" s="75"/>
      <c r="AA68" s="75"/>
      <c r="AB68" s="75"/>
    </row>
    <row r="69" ht="12.75" customHeight="1">
      <c r="A69" s="106">
        <v>42539</v>
      </c>
      <c r="B69" s="107"/>
      <c r="C69" t="s" s="115">
        <v>34</v>
      </c>
      <c r="D69" t="s" s="109">
        <v>100</v>
      </c>
      <c r="E69" s="110"/>
      <c r="F69" s="111"/>
      <c r="G69" s="112">
        <v>850.4299999999999</v>
      </c>
      <c r="H69" s="113" cm="1">
        <f t="array" ref="H69">G69/I69</f>
        <v>59.0576388888889</v>
      </c>
      <c r="I69" s="114">
        <v>14.4</v>
      </c>
      <c r="J69" s="105"/>
      <c r="K69" s="101"/>
      <c r="L69" s="96"/>
      <c r="M69" s="75"/>
      <c r="N69" s="75"/>
      <c r="O69" s="75"/>
      <c r="P69" s="75"/>
      <c r="Q69" s="75"/>
      <c r="R69" s="75"/>
      <c r="S69" s="75"/>
      <c r="T69" s="75"/>
      <c r="U69" s="75"/>
      <c r="V69" s="75"/>
      <c r="W69" s="75"/>
      <c r="X69" s="75"/>
      <c r="Y69" s="75"/>
      <c r="Z69" s="75"/>
      <c r="AA69" s="75"/>
      <c r="AB69" s="75"/>
    </row>
    <row r="70" ht="12.75" customHeight="1">
      <c r="A70" s="97">
        <v>42550</v>
      </c>
      <c r="B70" s="121">
        <v>298</v>
      </c>
      <c r="C70" t="s" s="116">
        <v>101</v>
      </c>
      <c r="D70" t="s" s="79">
        <v>102</v>
      </c>
      <c r="E70" s="100"/>
      <c r="F70" s="101"/>
      <c r="G70" s="102">
        <v>484600</v>
      </c>
      <c r="H70" s="103">
        <v>33145</v>
      </c>
      <c r="I70" s="104" cm="1">
        <f t="array" ref="I70">G70/H70</f>
        <v>14.6206064263086</v>
      </c>
      <c r="J70" s="105"/>
      <c r="K70" s="101"/>
      <c r="L70" s="96"/>
      <c r="M70" s="75"/>
      <c r="N70" s="75"/>
      <c r="O70" s="75"/>
      <c r="P70" s="75"/>
      <c r="Q70" s="75"/>
      <c r="R70" s="75"/>
      <c r="S70" s="75"/>
      <c r="T70" s="75"/>
      <c r="U70" s="75"/>
      <c r="V70" s="75"/>
      <c r="W70" s="75"/>
      <c r="X70" s="75"/>
      <c r="Y70" s="75"/>
      <c r="Z70" s="75"/>
      <c r="AA70" s="75"/>
      <c r="AB70" s="75"/>
    </row>
    <row r="71" ht="12.75" customHeight="1">
      <c r="A71" s="106">
        <v>42562</v>
      </c>
      <c r="B71" s="107"/>
      <c r="C71" t="s" s="115">
        <v>99</v>
      </c>
      <c r="D71" t="s" s="109">
        <v>103</v>
      </c>
      <c r="E71" s="110"/>
      <c r="F71" s="111"/>
      <c r="G71" s="112">
        <v>179.29</v>
      </c>
      <c r="H71" s="113" cm="1">
        <f t="array" ref="H71">G71/I71</f>
        <v>11.9526666666667</v>
      </c>
      <c r="I71" s="114">
        <v>15</v>
      </c>
      <c r="J71" s="105"/>
      <c r="K71" s="101"/>
      <c r="L71" s="96"/>
      <c r="M71" s="75"/>
      <c r="N71" s="75"/>
      <c r="O71" s="75"/>
      <c r="P71" s="75"/>
      <c r="Q71" s="75"/>
      <c r="R71" s="75"/>
      <c r="S71" s="75"/>
      <c r="T71" s="75"/>
      <c r="U71" s="75"/>
      <c r="V71" s="75"/>
      <c r="W71" s="75"/>
      <c r="X71" s="75"/>
      <c r="Y71" s="75"/>
      <c r="Z71" s="75"/>
      <c r="AA71" s="75"/>
      <c r="AB71" s="75"/>
    </row>
    <row r="72" ht="12.75" customHeight="1">
      <c r="A72" s="97">
        <v>42573</v>
      </c>
      <c r="B72" s="98"/>
      <c r="C72" t="s" s="116">
        <v>34</v>
      </c>
      <c r="D72" t="s" s="79">
        <v>104</v>
      </c>
      <c r="E72" s="100"/>
      <c r="F72" s="101"/>
      <c r="G72" s="102">
        <v>2892.48</v>
      </c>
      <c r="H72" s="103" cm="1">
        <f t="array" ref="H72">G72/I72</f>
        <v>187.215533980583</v>
      </c>
      <c r="I72" s="104">
        <v>15.45</v>
      </c>
      <c r="J72" s="105"/>
      <c r="K72" s="101"/>
      <c r="L72" s="96"/>
      <c r="M72" s="75"/>
      <c r="N72" s="75"/>
      <c r="O72" s="75"/>
      <c r="P72" s="75"/>
      <c r="Q72" s="75"/>
      <c r="R72" s="75"/>
      <c r="S72" s="75"/>
      <c r="T72" s="75"/>
      <c r="U72" s="75"/>
      <c r="V72" s="75"/>
      <c r="W72" s="75"/>
      <c r="X72" s="75"/>
      <c r="Y72" s="75"/>
      <c r="Z72" s="75"/>
      <c r="AA72" s="75"/>
      <c r="AB72" s="75"/>
    </row>
    <row r="73" ht="12.75" customHeight="1">
      <c r="A73" s="106">
        <v>42584</v>
      </c>
      <c r="B73" s="124">
        <v>308</v>
      </c>
      <c r="C73" t="s" s="115">
        <v>101</v>
      </c>
      <c r="D73" t="s" s="109">
        <v>105</v>
      </c>
      <c r="E73" s="110"/>
      <c r="F73" s="111"/>
      <c r="G73" s="112">
        <v>352950</v>
      </c>
      <c r="H73" s="113">
        <v>23220</v>
      </c>
      <c r="I73" s="114" cm="1">
        <f t="array" ref="I73">G73/H73</f>
        <v>15.2002583979328</v>
      </c>
      <c r="J73" s="105"/>
      <c r="K73" s="101"/>
      <c r="L73" s="96"/>
      <c r="M73" s="75"/>
      <c r="N73" s="75"/>
      <c r="O73" s="75"/>
      <c r="P73" s="75"/>
      <c r="Q73" s="75"/>
      <c r="R73" s="75"/>
      <c r="S73" s="75"/>
      <c r="T73" s="75"/>
      <c r="U73" s="75"/>
      <c r="V73" s="75"/>
      <c r="W73" s="75"/>
      <c r="X73" s="75"/>
      <c r="Y73" s="75"/>
      <c r="Z73" s="75"/>
      <c r="AA73" s="75"/>
      <c r="AB73" s="75"/>
    </row>
    <row r="74" ht="12.75" customHeight="1">
      <c r="A74" s="97">
        <v>42590</v>
      </c>
      <c r="B74" s="98"/>
      <c r="C74" t="s" s="116">
        <v>99</v>
      </c>
      <c r="D74" t="s" s="79">
        <v>106</v>
      </c>
      <c r="E74" s="100"/>
      <c r="F74" s="101"/>
      <c r="G74" s="102">
        <v>184.28</v>
      </c>
      <c r="H74" s="103" cm="1">
        <f t="array" ref="H74">G74/I74</f>
        <v>12.0052117263844</v>
      </c>
      <c r="I74" s="104">
        <v>15.35</v>
      </c>
      <c r="J74" s="105"/>
      <c r="K74" s="101"/>
      <c r="L74" s="96"/>
      <c r="M74" s="75"/>
      <c r="N74" s="75"/>
      <c r="O74" s="75"/>
      <c r="P74" s="75"/>
      <c r="Q74" s="75"/>
      <c r="R74" s="75"/>
      <c r="S74" s="75"/>
      <c r="T74" s="75"/>
      <c r="U74" s="75"/>
      <c r="V74" s="75"/>
      <c r="W74" s="75"/>
      <c r="X74" s="75"/>
      <c r="Y74" s="75"/>
      <c r="Z74" s="75"/>
      <c r="AA74" s="75"/>
      <c r="AB74" s="75"/>
    </row>
    <row r="75" ht="12.75" customHeight="1">
      <c r="A75" s="106">
        <v>42604</v>
      </c>
      <c r="B75" s="107"/>
      <c r="C75" t="s" s="115">
        <v>34</v>
      </c>
      <c r="D75" t="s" s="109">
        <v>107</v>
      </c>
      <c r="E75" s="110"/>
      <c r="F75" s="111"/>
      <c r="G75" s="112">
        <v>440.96</v>
      </c>
      <c r="H75" s="113" cm="1">
        <f t="array" ref="H75">G75/I75</f>
        <v>28.5411003236246</v>
      </c>
      <c r="I75" s="114">
        <v>15.45</v>
      </c>
      <c r="J75" s="105"/>
      <c r="K75" s="101"/>
      <c r="L75" s="96"/>
      <c r="M75" s="75"/>
      <c r="N75" s="75"/>
      <c r="O75" s="75"/>
      <c r="P75" s="75"/>
      <c r="Q75" s="75"/>
      <c r="R75" s="75"/>
      <c r="S75" s="75"/>
      <c r="T75" s="75"/>
      <c r="U75" s="75"/>
      <c r="V75" s="75"/>
      <c r="W75" s="75"/>
      <c r="X75" s="75"/>
      <c r="Y75" s="75"/>
      <c r="Z75" s="75"/>
      <c r="AA75" s="75"/>
      <c r="AB75" s="75"/>
    </row>
    <row r="76" ht="12.75" customHeight="1">
      <c r="A76" s="97">
        <v>42608</v>
      </c>
      <c r="B76" s="122"/>
      <c r="C76" t="s" s="125">
        <v>108</v>
      </c>
      <c r="D76" t="s" s="79">
        <v>109</v>
      </c>
      <c r="E76" s="100"/>
      <c r="F76" s="101"/>
      <c r="G76" s="102">
        <v>29820.98</v>
      </c>
      <c r="H76" s="103">
        <v>2000</v>
      </c>
      <c r="I76" s="104" cm="1">
        <f t="array" ref="I76">G76/H76</f>
        <v>14.91049</v>
      </c>
      <c r="J76" s="105"/>
      <c r="K76" s="101"/>
      <c r="L76" s="96"/>
      <c r="M76" s="75"/>
      <c r="N76" s="75"/>
      <c r="O76" s="75"/>
      <c r="P76" s="75"/>
      <c r="Q76" s="75"/>
      <c r="R76" s="75"/>
      <c r="S76" s="75"/>
      <c r="T76" s="75"/>
      <c r="U76" s="75"/>
      <c r="V76" s="75"/>
      <c r="W76" s="75"/>
      <c r="X76" s="75"/>
      <c r="Y76" s="75"/>
      <c r="Z76" s="75"/>
      <c r="AA76" s="75"/>
      <c r="AB76" s="75"/>
    </row>
    <row r="77" ht="12.75" customHeight="1">
      <c r="A77" s="106">
        <v>42611</v>
      </c>
      <c r="B77" s="107"/>
      <c r="C77" t="s" s="115">
        <v>110</v>
      </c>
      <c r="D77" t="s" s="109">
        <v>111</v>
      </c>
      <c r="E77" s="110"/>
      <c r="F77" s="111"/>
      <c r="G77" s="112">
        <v>26676.29</v>
      </c>
      <c r="H77" s="113">
        <v>1780</v>
      </c>
      <c r="I77" s="114">
        <v>15</v>
      </c>
      <c r="J77" s="105"/>
      <c r="K77" s="101"/>
      <c r="L77" s="96"/>
      <c r="M77" s="75"/>
      <c r="N77" s="75"/>
      <c r="O77" s="75"/>
      <c r="P77" s="75"/>
      <c r="Q77" s="75"/>
      <c r="R77" s="75"/>
      <c r="S77" s="75"/>
      <c r="T77" s="75"/>
      <c r="U77" s="75"/>
      <c r="V77" s="75"/>
      <c r="W77" s="75"/>
      <c r="X77" s="75"/>
      <c r="Y77" s="75"/>
      <c r="Z77" s="75"/>
      <c r="AA77" s="75"/>
      <c r="AB77" s="75"/>
    </row>
    <row r="78" ht="12.75" customHeight="1">
      <c r="A78" s="97">
        <v>42615</v>
      </c>
      <c r="B78" s="98"/>
      <c r="C78" t="s" s="116">
        <v>41</v>
      </c>
      <c r="D78" t="s" s="79">
        <v>112</v>
      </c>
      <c r="E78" s="100"/>
      <c r="F78" s="101"/>
      <c r="G78" s="102">
        <v>18000</v>
      </c>
      <c r="H78" s="103" cm="1">
        <f t="array" ref="H78">G78/I78</f>
        <v>1168.831168831170</v>
      </c>
      <c r="I78" s="104">
        <v>15.4</v>
      </c>
      <c r="J78" s="105"/>
      <c r="K78" s="101"/>
      <c r="L78" s="96"/>
      <c r="M78" s="75"/>
      <c r="N78" s="75"/>
      <c r="O78" s="75"/>
      <c r="P78" s="75"/>
      <c r="Q78" s="75"/>
      <c r="R78" s="75"/>
      <c r="S78" s="75"/>
      <c r="T78" s="75"/>
      <c r="U78" s="75"/>
      <c r="V78" s="75"/>
      <c r="W78" s="75"/>
      <c r="X78" s="75"/>
      <c r="Y78" s="75"/>
      <c r="Z78" s="75"/>
      <c r="AA78" s="75"/>
      <c r="AB78" s="75"/>
    </row>
    <row r="79" ht="12.75" customHeight="1">
      <c r="A79" s="106">
        <v>42615</v>
      </c>
      <c r="B79" s="124">
        <v>321</v>
      </c>
      <c r="C79" t="s" s="115">
        <v>101</v>
      </c>
      <c r="D79" t="s" s="109">
        <v>113</v>
      </c>
      <c r="E79" s="110"/>
      <c r="F79" s="111"/>
      <c r="G79" s="112">
        <v>418775.17</v>
      </c>
      <c r="H79" s="113">
        <v>27550</v>
      </c>
      <c r="I79" s="114" cm="1">
        <f t="array" ref="I79">G79/H79</f>
        <v>15.2005506352087</v>
      </c>
      <c r="J79" s="105"/>
      <c r="K79" s="101"/>
      <c r="L79" s="96"/>
      <c r="M79" s="75"/>
      <c r="N79" s="75"/>
      <c r="O79" s="75"/>
      <c r="P79" s="75"/>
      <c r="Q79" s="75"/>
      <c r="R79" s="75"/>
      <c r="S79" s="75"/>
      <c r="T79" s="75"/>
      <c r="U79" s="75"/>
      <c r="V79" s="75"/>
      <c r="W79" s="75"/>
      <c r="X79" s="75"/>
      <c r="Y79" s="75"/>
      <c r="Z79" s="75"/>
      <c r="AA79" s="75"/>
      <c r="AB79" s="75"/>
    </row>
    <row r="80" ht="12.75" customHeight="1">
      <c r="A80" s="97">
        <v>42618</v>
      </c>
      <c r="B80" s="121">
        <v>322</v>
      </c>
      <c r="C80" t="s" s="116">
        <v>101</v>
      </c>
      <c r="D80" t="s" s="79">
        <v>114</v>
      </c>
      <c r="E80" s="100"/>
      <c r="F80" s="101"/>
      <c r="G80" s="102">
        <v>418775.17</v>
      </c>
      <c r="H80" s="103">
        <v>27550</v>
      </c>
      <c r="I80" s="104" cm="1">
        <f t="array" ref="I80">G80/H80</f>
        <v>15.2005506352087</v>
      </c>
      <c r="J80" s="105"/>
      <c r="K80" s="101"/>
      <c r="L80" s="96"/>
      <c r="M80" s="75"/>
      <c r="N80" s="75"/>
      <c r="O80" s="75"/>
      <c r="P80" s="75"/>
      <c r="Q80" s="75"/>
      <c r="R80" s="75"/>
      <c r="S80" s="75"/>
      <c r="T80" s="75"/>
      <c r="U80" s="75"/>
      <c r="V80" s="75"/>
      <c r="W80" s="75"/>
      <c r="X80" s="75"/>
      <c r="Y80" s="75"/>
      <c r="Z80" s="75"/>
      <c r="AA80" s="75"/>
      <c r="AB80" s="75"/>
    </row>
    <row r="81" ht="12.75" customHeight="1">
      <c r="A81" s="106">
        <v>42633</v>
      </c>
      <c r="B81" s="107"/>
      <c r="C81" t="s" s="115">
        <v>99</v>
      </c>
      <c r="D81" t="s" s="109">
        <v>115</v>
      </c>
      <c r="E81" s="110"/>
      <c r="F81" s="111"/>
      <c r="G81" s="112">
        <v>274.25</v>
      </c>
      <c r="H81" s="113" cm="1">
        <f t="array" ref="H81">G81/I81</f>
        <v>17.4126984126984</v>
      </c>
      <c r="I81" s="114">
        <v>15.75</v>
      </c>
      <c r="J81" s="105"/>
      <c r="K81" s="101"/>
      <c r="L81" s="96"/>
      <c r="M81" s="75"/>
      <c r="N81" s="75"/>
      <c r="O81" s="75"/>
      <c r="P81" s="75"/>
      <c r="Q81" s="75"/>
      <c r="R81" s="75"/>
      <c r="S81" s="75"/>
      <c r="T81" s="75"/>
      <c r="U81" s="75"/>
      <c r="V81" s="75"/>
      <c r="W81" s="75"/>
      <c r="X81" s="75"/>
      <c r="Y81" s="75"/>
      <c r="Z81" s="75"/>
      <c r="AA81" s="75"/>
      <c r="AB81" s="75"/>
    </row>
    <row r="82" ht="12.75" customHeight="1">
      <c r="A82" s="97">
        <v>42634</v>
      </c>
      <c r="B82" s="98"/>
      <c r="C82" t="s" s="116">
        <v>34</v>
      </c>
      <c r="D82" t="s" s="79">
        <v>116</v>
      </c>
      <c r="E82" s="100"/>
      <c r="F82" s="101"/>
      <c r="G82" s="102">
        <v>448.48</v>
      </c>
      <c r="H82" s="103" cm="1">
        <f t="array" ref="H82">G82/I82</f>
        <v>28.5656050955414</v>
      </c>
      <c r="I82" s="104">
        <v>15.7</v>
      </c>
      <c r="J82" s="105"/>
      <c r="K82" s="101"/>
      <c r="L82" s="96"/>
      <c r="M82" s="75"/>
      <c r="N82" s="75"/>
      <c r="O82" s="75"/>
      <c r="P82" s="75"/>
      <c r="Q82" s="75"/>
      <c r="R82" s="75"/>
      <c r="S82" s="75"/>
      <c r="T82" s="75"/>
      <c r="U82" s="75"/>
      <c r="V82" s="75"/>
      <c r="W82" s="75"/>
      <c r="X82" s="75"/>
      <c r="Y82" s="75"/>
      <c r="Z82" s="75"/>
      <c r="AA82" s="75"/>
      <c r="AB82" s="75"/>
    </row>
    <row r="83" ht="12.75" customHeight="1">
      <c r="A83" s="106">
        <v>42649</v>
      </c>
      <c r="B83" s="107"/>
      <c r="C83" t="s" s="115">
        <v>99</v>
      </c>
      <c r="D83" t="s" s="109">
        <v>117</v>
      </c>
      <c r="E83" s="110"/>
      <c r="F83" s="111"/>
      <c r="G83" s="112">
        <v>285.04</v>
      </c>
      <c r="H83" s="113" cm="1">
        <f t="array" ref="H83">G83/I83</f>
        <v>18.2717948717949</v>
      </c>
      <c r="I83" s="114">
        <v>15.6</v>
      </c>
      <c r="J83" s="105"/>
      <c r="K83" s="101"/>
      <c r="L83" s="96"/>
      <c r="M83" s="75"/>
      <c r="N83" s="75"/>
      <c r="O83" s="75"/>
      <c r="P83" s="75"/>
      <c r="Q83" s="75"/>
      <c r="R83" s="75"/>
      <c r="S83" s="75"/>
      <c r="T83" s="75"/>
      <c r="U83" s="75"/>
      <c r="V83" s="75"/>
      <c r="W83" s="75"/>
      <c r="X83" s="75"/>
      <c r="Y83" s="75"/>
      <c r="Z83" s="75"/>
      <c r="AA83" s="75"/>
      <c r="AB83" s="75"/>
    </row>
    <row r="84" ht="12.75" customHeight="1">
      <c r="A84" s="97">
        <v>42662</v>
      </c>
      <c r="B84" s="98"/>
      <c r="C84" t="s" s="116">
        <v>34</v>
      </c>
      <c r="D84" t="s" s="79">
        <v>118</v>
      </c>
      <c r="E84" s="100"/>
      <c r="F84" s="101"/>
      <c r="G84" s="102">
        <v>487.19</v>
      </c>
      <c r="H84" s="103" cm="1">
        <f t="array" ref="H84">G84/I84</f>
        <v>31.1303514376997</v>
      </c>
      <c r="I84" s="104">
        <v>15.65</v>
      </c>
      <c r="J84" s="105"/>
      <c r="K84" s="101"/>
      <c r="L84" s="96"/>
      <c r="M84" s="75"/>
      <c r="N84" s="75"/>
      <c r="O84" s="75"/>
      <c r="P84" s="75"/>
      <c r="Q84" s="75"/>
      <c r="R84" s="75"/>
      <c r="S84" s="75"/>
      <c r="T84" s="75"/>
      <c r="U84" s="75"/>
      <c r="V84" s="75"/>
      <c r="W84" s="75"/>
      <c r="X84" s="75"/>
      <c r="Y84" s="75"/>
      <c r="Z84" s="75"/>
      <c r="AA84" s="75"/>
      <c r="AB84" s="75"/>
    </row>
    <row r="85" ht="12.75" customHeight="1">
      <c r="A85" s="106">
        <v>42681</v>
      </c>
      <c r="B85" s="107"/>
      <c r="C85" t="s" s="115">
        <v>99</v>
      </c>
      <c r="D85" t="s" s="109">
        <v>119</v>
      </c>
      <c r="E85" s="110"/>
      <c r="F85" s="111"/>
      <c r="G85" s="112">
        <v>287.16</v>
      </c>
      <c r="H85" s="113" cm="1">
        <f t="array" ref="H85">G85/I85</f>
        <v>18.5264516129032</v>
      </c>
      <c r="I85" s="114">
        <v>15.5</v>
      </c>
      <c r="J85" s="105"/>
      <c r="K85" s="101"/>
      <c r="L85" s="96"/>
      <c r="M85" s="75"/>
      <c r="N85" s="75"/>
      <c r="O85" s="75"/>
      <c r="P85" s="75"/>
      <c r="Q85" s="75"/>
      <c r="R85" s="75"/>
      <c r="S85" s="75"/>
      <c r="T85" s="75"/>
      <c r="U85" s="75"/>
      <c r="V85" s="75"/>
      <c r="W85" s="75"/>
      <c r="X85" s="75"/>
      <c r="Y85" s="75"/>
      <c r="Z85" s="75"/>
      <c r="AA85" s="75"/>
      <c r="AB85" s="75"/>
    </row>
    <row r="86" ht="12.75" customHeight="1">
      <c r="A86" s="97">
        <v>42681</v>
      </c>
      <c r="B86" s="121">
        <v>348</v>
      </c>
      <c r="C86" t="s" s="116">
        <v>101</v>
      </c>
      <c r="D86" t="s" s="79">
        <v>120</v>
      </c>
      <c r="E86" s="100"/>
      <c r="F86" s="101"/>
      <c r="G86" s="102">
        <v>459940.77</v>
      </c>
      <c r="H86" s="103">
        <v>30660</v>
      </c>
      <c r="I86" s="104" cm="1">
        <f t="array" ref="I86">G86/H86</f>
        <v>15.0013297455969</v>
      </c>
      <c r="J86" s="105"/>
      <c r="K86" s="101"/>
      <c r="L86" s="96"/>
      <c r="M86" s="75"/>
      <c r="N86" s="75"/>
      <c r="O86" s="75"/>
      <c r="P86" s="75"/>
      <c r="Q86" s="75"/>
      <c r="R86" s="75"/>
      <c r="S86" s="75"/>
      <c r="T86" s="75"/>
      <c r="U86" s="75"/>
      <c r="V86" s="75"/>
      <c r="W86" s="75"/>
      <c r="X86" s="75"/>
      <c r="Y86" s="75"/>
      <c r="Z86" s="75"/>
      <c r="AA86" s="75"/>
      <c r="AB86" s="75"/>
    </row>
    <row r="87" ht="12.75" customHeight="1">
      <c r="A87" s="106">
        <v>42681</v>
      </c>
      <c r="B87" s="124">
        <v>349</v>
      </c>
      <c r="C87" t="s" s="115">
        <v>101</v>
      </c>
      <c r="D87" t="s" s="109">
        <v>121</v>
      </c>
      <c r="E87" s="110"/>
      <c r="F87" s="111"/>
      <c r="G87" s="112">
        <v>459940.77</v>
      </c>
      <c r="H87" s="113">
        <v>30660</v>
      </c>
      <c r="I87" s="114" cm="1">
        <f t="array" ref="I87">G87/H87</f>
        <v>15.0013297455969</v>
      </c>
      <c r="J87" s="105"/>
      <c r="K87" s="101"/>
      <c r="L87" s="96"/>
      <c r="M87" s="75"/>
      <c r="N87" s="75"/>
      <c r="O87" s="75"/>
      <c r="P87" s="75"/>
      <c r="Q87" s="75"/>
      <c r="R87" s="75"/>
      <c r="S87" s="75"/>
      <c r="T87" s="75"/>
      <c r="U87" s="75"/>
      <c r="V87" s="75"/>
      <c r="W87" s="75"/>
      <c r="X87" s="75"/>
      <c r="Y87" s="75"/>
      <c r="Z87" s="75"/>
      <c r="AA87" s="75"/>
      <c r="AB87" s="75"/>
    </row>
    <row r="88" ht="12.75" customHeight="1">
      <c r="A88" s="97">
        <v>42688</v>
      </c>
      <c r="B88" s="121">
        <v>691</v>
      </c>
      <c r="C88" t="s" s="116">
        <v>122</v>
      </c>
      <c r="D88" t="s" s="79">
        <v>123</v>
      </c>
      <c r="E88" s="100"/>
      <c r="F88" s="101"/>
      <c r="G88" s="102">
        <v>285875</v>
      </c>
      <c r="H88" s="103">
        <v>19058</v>
      </c>
      <c r="I88" s="104" cm="1">
        <f t="array" ref="I88">G88/H88</f>
        <v>15.0002623570154</v>
      </c>
      <c r="J88" s="105"/>
      <c r="K88" s="101"/>
      <c r="L88" s="96"/>
      <c r="M88" s="75"/>
      <c r="N88" s="75"/>
      <c r="O88" s="75"/>
      <c r="P88" s="75"/>
      <c r="Q88" s="75"/>
      <c r="R88" s="75"/>
      <c r="S88" s="75"/>
      <c r="T88" s="75"/>
      <c r="U88" s="75"/>
      <c r="V88" s="75"/>
      <c r="W88" s="75"/>
      <c r="X88" s="75"/>
      <c r="Y88" s="75"/>
      <c r="Z88" s="75"/>
      <c r="AA88" s="75"/>
      <c r="AB88" s="75"/>
    </row>
    <row r="89" ht="12.75" customHeight="1">
      <c r="A89" s="106">
        <v>42695</v>
      </c>
      <c r="B89" s="107"/>
      <c r="C89" t="s" s="115">
        <v>34</v>
      </c>
      <c r="D89" t="s" s="109">
        <v>124</v>
      </c>
      <c r="E89" s="110"/>
      <c r="F89" s="111"/>
      <c r="G89" s="112">
        <v>494.71</v>
      </c>
      <c r="H89" s="113" cm="1">
        <f t="array" ref="H89">G89/I89</f>
        <v>31.3107594936709</v>
      </c>
      <c r="I89" s="114">
        <v>15.8</v>
      </c>
      <c r="J89" s="105"/>
      <c r="K89" s="101"/>
      <c r="L89" s="96"/>
      <c r="M89" s="75"/>
      <c r="N89" s="75"/>
      <c r="O89" s="75"/>
      <c r="P89" s="75"/>
      <c r="Q89" s="75"/>
      <c r="R89" s="75"/>
      <c r="S89" s="75"/>
      <c r="T89" s="75"/>
      <c r="U89" s="75"/>
      <c r="V89" s="75"/>
      <c r="W89" s="75"/>
      <c r="X89" s="75"/>
      <c r="Y89" s="75"/>
      <c r="Z89" s="75"/>
      <c r="AA89" s="75"/>
      <c r="AB89" s="75"/>
    </row>
    <row r="90" ht="12.75" customHeight="1">
      <c r="A90" s="97">
        <v>42717</v>
      </c>
      <c r="B90" s="98"/>
      <c r="C90" t="s" s="116">
        <v>99</v>
      </c>
      <c r="D90" t="s" s="79">
        <v>125</v>
      </c>
      <c r="E90" s="100"/>
      <c r="F90" s="101"/>
      <c r="G90" s="102">
        <v>607.36</v>
      </c>
      <c r="H90" s="103" cm="1">
        <f t="array" ref="H90">G90/I90</f>
        <v>37.0341463414634</v>
      </c>
      <c r="I90" s="104">
        <v>16.4</v>
      </c>
      <c r="J90" s="105"/>
      <c r="K90" s="101"/>
      <c r="L90" s="96"/>
      <c r="M90" s="75"/>
      <c r="N90" s="75"/>
      <c r="O90" s="75"/>
      <c r="P90" s="75"/>
      <c r="Q90" s="75"/>
      <c r="R90" s="75"/>
      <c r="S90" s="75"/>
      <c r="T90" s="75"/>
      <c r="U90" s="75"/>
      <c r="V90" s="75"/>
      <c r="W90" s="75"/>
      <c r="X90" s="75"/>
      <c r="Y90" s="75"/>
      <c r="Z90" s="75"/>
      <c r="AA90" s="75"/>
      <c r="AB90" s="75"/>
    </row>
    <row r="91" ht="12.75" customHeight="1">
      <c r="A91" s="106">
        <v>42725</v>
      </c>
      <c r="B91" s="107"/>
      <c r="C91" t="s" s="115">
        <v>34</v>
      </c>
      <c r="D91" t="s" s="109">
        <v>126</v>
      </c>
      <c r="E91" s="110"/>
      <c r="F91" s="111"/>
      <c r="G91" s="112">
        <v>517.27</v>
      </c>
      <c r="H91" s="113" cm="1">
        <f t="array" ref="H91">G91/I91</f>
        <v>31.160843373494</v>
      </c>
      <c r="I91" s="114">
        <v>16.6</v>
      </c>
      <c r="J91" s="105"/>
      <c r="K91" s="101"/>
      <c r="L91" s="96"/>
      <c r="M91" s="75"/>
      <c r="N91" s="75"/>
      <c r="O91" s="75"/>
      <c r="P91" s="75"/>
      <c r="Q91" s="75"/>
      <c r="R91" s="75"/>
      <c r="S91" s="75"/>
      <c r="T91" s="75"/>
      <c r="U91" s="75"/>
      <c r="V91" s="75"/>
      <c r="W91" s="75"/>
      <c r="X91" s="75"/>
      <c r="Y91" s="75"/>
      <c r="Z91" s="75"/>
      <c r="AA91" s="75"/>
      <c r="AB91" s="75"/>
    </row>
    <row r="92" ht="12.75" customHeight="1">
      <c r="A92" s="97">
        <v>42739</v>
      </c>
      <c r="B92" s="121">
        <v>366</v>
      </c>
      <c r="C92" t="s" s="116">
        <v>101</v>
      </c>
      <c r="D92" t="s" s="79">
        <v>127</v>
      </c>
      <c r="E92" s="100"/>
      <c r="F92" s="101"/>
      <c r="G92" s="102">
        <v>459940.77</v>
      </c>
      <c r="H92" s="103">
        <v>28750</v>
      </c>
      <c r="I92" s="104" cm="1">
        <f t="array" ref="I92">G92/H92</f>
        <v>15.997939826087</v>
      </c>
      <c r="J92" s="105"/>
      <c r="K92" s="101"/>
      <c r="L92" s="96"/>
      <c r="M92" s="75"/>
      <c r="N92" s="75"/>
      <c r="O92" s="75"/>
      <c r="P92" s="75"/>
      <c r="Q92" s="75"/>
      <c r="R92" s="75"/>
      <c r="S92" s="75"/>
      <c r="T92" s="75"/>
      <c r="U92" s="75"/>
      <c r="V92" s="75"/>
      <c r="W92" s="75"/>
      <c r="X92" s="75"/>
      <c r="Y92" s="75"/>
      <c r="Z92" s="75"/>
      <c r="AA92" s="75"/>
      <c r="AB92" s="75"/>
    </row>
    <row r="93" ht="12.75" customHeight="1">
      <c r="A93" s="106">
        <v>42747</v>
      </c>
      <c r="B93" s="107"/>
      <c r="C93" t="s" s="115">
        <v>99</v>
      </c>
      <c r="D93" t="s" s="109">
        <v>128</v>
      </c>
      <c r="E93" s="110"/>
      <c r="F93" s="111"/>
      <c r="G93" s="112">
        <v>609.76</v>
      </c>
      <c r="H93" s="113" cm="1">
        <f t="array" ref="H93">G93/I93</f>
        <v>36.2952380952381</v>
      </c>
      <c r="I93" s="114">
        <v>16.8</v>
      </c>
      <c r="J93" s="105"/>
      <c r="K93" s="101"/>
      <c r="L93" s="96"/>
      <c r="M93" s="75"/>
      <c r="N93" s="75"/>
      <c r="O93" s="75"/>
      <c r="P93" s="75"/>
      <c r="Q93" s="75"/>
      <c r="R93" s="75"/>
      <c r="S93" s="75"/>
      <c r="T93" s="75"/>
      <c r="U93" s="75"/>
      <c r="V93" s="75"/>
      <c r="W93" s="75"/>
      <c r="X93" s="75"/>
      <c r="Y93" s="75"/>
      <c r="Z93" s="75"/>
      <c r="AA93" s="75"/>
      <c r="AB93" s="75"/>
    </row>
    <row r="94" ht="12.75" customHeight="1">
      <c r="A94" s="97">
        <v>42754</v>
      </c>
      <c r="B94" s="98"/>
      <c r="C94" t="s" s="116">
        <v>41</v>
      </c>
      <c r="D94" t="s" s="119">
        <v>129</v>
      </c>
      <c r="E94" s="120"/>
      <c r="F94" s="101"/>
      <c r="G94" s="102">
        <v>35432.81</v>
      </c>
      <c r="H94" s="103" cm="1">
        <f t="array" ref="H94">G94/I94</f>
        <v>2096.615976331360</v>
      </c>
      <c r="I94" s="104">
        <v>16.9</v>
      </c>
      <c r="J94" s="105"/>
      <c r="K94" s="101"/>
      <c r="L94" s="96"/>
      <c r="M94" s="75"/>
      <c r="N94" s="75"/>
      <c r="O94" s="75"/>
      <c r="P94" s="75"/>
      <c r="Q94" s="75"/>
      <c r="R94" s="75"/>
      <c r="S94" s="75"/>
      <c r="T94" s="75"/>
      <c r="U94" s="75"/>
      <c r="V94" s="75"/>
      <c r="W94" s="75"/>
      <c r="X94" s="75"/>
      <c r="Y94" s="75"/>
      <c r="Z94" s="75"/>
      <c r="AA94" s="75"/>
      <c r="AB94" s="75"/>
    </row>
    <row r="95" ht="12.75" customHeight="1">
      <c r="A95" s="106">
        <v>42758</v>
      </c>
      <c r="B95" s="107"/>
      <c r="C95" t="s" s="115">
        <v>34</v>
      </c>
      <c r="D95" t="s" s="109">
        <v>130</v>
      </c>
      <c r="E95" s="110"/>
      <c r="F95" s="111"/>
      <c r="G95" s="112">
        <v>482.79</v>
      </c>
      <c r="H95" s="113" cm="1">
        <f t="array" ref="H95">G95/I95</f>
        <v>28.5674556213018</v>
      </c>
      <c r="I95" s="114" cm="1">
        <f t="array" ref="I95">I94</f>
        <v>16.9</v>
      </c>
      <c r="J95" s="105"/>
      <c r="K95" s="101"/>
      <c r="L95" s="96"/>
      <c r="M95" s="75"/>
      <c r="N95" s="75"/>
      <c r="O95" s="75"/>
      <c r="P95" s="75"/>
      <c r="Q95" s="75"/>
      <c r="R95" s="75"/>
      <c r="S95" s="75"/>
      <c r="T95" s="75"/>
      <c r="U95" s="75"/>
      <c r="V95" s="75"/>
      <c r="W95" s="75"/>
      <c r="X95" s="75"/>
      <c r="Y95" s="75"/>
      <c r="Z95" s="75"/>
      <c r="AA95" s="75"/>
      <c r="AB95" s="75"/>
    </row>
    <row r="96" ht="12.75" customHeight="1">
      <c r="A96" s="97">
        <v>42772</v>
      </c>
      <c r="B96" s="98"/>
      <c r="C96" t="s" s="116">
        <v>99</v>
      </c>
      <c r="D96" t="s" s="79">
        <v>131</v>
      </c>
      <c r="E96" s="100"/>
      <c r="F96" s="101"/>
      <c r="G96" s="102">
        <v>415.65</v>
      </c>
      <c r="H96" s="103" cm="1">
        <f t="array" ref="H96">G96/I96</f>
        <v>25.1909090909091</v>
      </c>
      <c r="I96" s="104">
        <v>16.5</v>
      </c>
      <c r="J96" s="105"/>
      <c r="K96" s="101"/>
      <c r="L96" s="96"/>
      <c r="M96" s="75"/>
      <c r="N96" s="75"/>
      <c r="O96" s="75"/>
      <c r="P96" s="75"/>
      <c r="Q96" s="75"/>
      <c r="R96" s="75"/>
      <c r="S96" s="75"/>
      <c r="T96" s="75"/>
      <c r="U96" s="75"/>
      <c r="V96" s="75"/>
      <c r="W96" s="75"/>
      <c r="X96" s="75"/>
      <c r="Y96" s="75"/>
      <c r="Z96" s="75"/>
      <c r="AA96" s="75"/>
      <c r="AB96" s="75"/>
    </row>
    <row r="97" ht="12.75" customHeight="1">
      <c r="A97" s="106">
        <v>42773</v>
      </c>
      <c r="B97" s="124">
        <v>373</v>
      </c>
      <c r="C97" t="s" s="115">
        <v>101</v>
      </c>
      <c r="D97" t="s" s="109">
        <v>132</v>
      </c>
      <c r="E97" s="110"/>
      <c r="F97" s="111"/>
      <c r="G97" s="112">
        <v>477142.54</v>
      </c>
      <c r="H97" s="113">
        <v>29800</v>
      </c>
      <c r="I97" s="114" cm="1">
        <f t="array" ref="I97">G97/H97</f>
        <v>16.0114946308725</v>
      </c>
      <c r="J97" s="105"/>
      <c r="K97" s="101"/>
      <c r="L97" s="96"/>
      <c r="M97" s="75"/>
      <c r="N97" s="75"/>
      <c r="O97" s="75"/>
      <c r="P97" s="75"/>
      <c r="Q97" s="75"/>
      <c r="R97" s="75"/>
      <c r="S97" s="75"/>
      <c r="T97" s="75"/>
      <c r="U97" s="75"/>
      <c r="V97" s="75"/>
      <c r="W97" s="75"/>
      <c r="X97" s="75"/>
      <c r="Y97" s="75"/>
      <c r="Z97" s="75"/>
      <c r="AA97" s="75"/>
      <c r="AB97" s="75"/>
    </row>
    <row r="98" ht="12.75" customHeight="1">
      <c r="A98" s="97">
        <v>42782</v>
      </c>
      <c r="B98" s="98"/>
      <c r="C98" t="s" s="116">
        <v>32</v>
      </c>
      <c r="D98" t="s" s="119">
        <v>133</v>
      </c>
      <c r="E98" s="120"/>
      <c r="F98" s="101"/>
      <c r="G98" s="102">
        <v>44799.2</v>
      </c>
      <c r="H98" s="103" cm="1">
        <f t="array" ref="H98">G98/I98</f>
        <v>2748.417177914110</v>
      </c>
      <c r="I98" s="104">
        <v>16.3</v>
      </c>
      <c r="J98" s="105"/>
      <c r="K98" s="101"/>
      <c r="L98" s="96"/>
      <c r="M98" s="75"/>
      <c r="N98" s="75"/>
      <c r="O98" s="75"/>
      <c r="P98" s="75"/>
      <c r="Q98" s="75"/>
      <c r="R98" s="75"/>
      <c r="S98" s="75"/>
      <c r="T98" s="75"/>
      <c r="U98" s="75"/>
      <c r="V98" s="75"/>
      <c r="W98" s="75"/>
      <c r="X98" s="75"/>
      <c r="Y98" s="75"/>
      <c r="Z98" s="75"/>
      <c r="AA98" s="75"/>
      <c r="AB98" s="75"/>
    </row>
    <row r="99" ht="12.75" customHeight="1">
      <c r="A99" s="106">
        <v>42788</v>
      </c>
      <c r="B99" s="107"/>
      <c r="C99" t="s" s="115">
        <v>34</v>
      </c>
      <c r="D99" t="s" s="109">
        <v>134</v>
      </c>
      <c r="E99" s="110"/>
      <c r="F99" s="111"/>
      <c r="G99" s="112">
        <v>517.27</v>
      </c>
      <c r="H99" s="113" cm="1">
        <f t="array" ref="H99">G99/I99</f>
        <v>31.5408536585366</v>
      </c>
      <c r="I99" s="114">
        <v>16.4</v>
      </c>
      <c r="J99" s="105"/>
      <c r="K99" s="101"/>
      <c r="L99" s="96"/>
      <c r="M99" s="75"/>
      <c r="N99" s="75"/>
      <c r="O99" s="75"/>
      <c r="P99" s="75"/>
      <c r="Q99" s="75"/>
      <c r="R99" s="75"/>
      <c r="S99" s="75"/>
      <c r="T99" s="75"/>
      <c r="U99" s="75"/>
      <c r="V99" s="75"/>
      <c r="W99" s="75"/>
      <c r="X99" s="75"/>
      <c r="Y99" s="75"/>
      <c r="Z99" s="75"/>
      <c r="AA99" s="75"/>
      <c r="AB99" s="75"/>
    </row>
    <row r="100" ht="12.75" customHeight="1">
      <c r="A100" s="97">
        <v>42796</v>
      </c>
      <c r="B100" s="121">
        <v>379</v>
      </c>
      <c r="C100" t="s" s="116">
        <v>101</v>
      </c>
      <c r="D100" t="s" s="79">
        <v>135</v>
      </c>
      <c r="E100" s="100"/>
      <c r="F100" s="101"/>
      <c r="G100" s="102">
        <v>477142.54</v>
      </c>
      <c r="H100" s="103">
        <v>30200</v>
      </c>
      <c r="I100" s="104" cm="1">
        <f t="array" ref="I100">G100/H100</f>
        <v>15.7994218543046</v>
      </c>
      <c r="J100" s="105"/>
      <c r="K100" s="101"/>
      <c r="L100" s="96"/>
      <c r="M100" s="75"/>
      <c r="N100" s="75"/>
      <c r="O100" s="75"/>
      <c r="P100" s="75"/>
      <c r="Q100" s="75"/>
      <c r="R100" s="75"/>
      <c r="S100" s="75"/>
      <c r="T100" s="75"/>
      <c r="U100" s="75"/>
      <c r="V100" s="75"/>
      <c r="W100" s="75"/>
      <c r="X100" s="75"/>
      <c r="Y100" s="75"/>
      <c r="Z100" s="75"/>
      <c r="AA100" s="75"/>
      <c r="AB100" s="75"/>
    </row>
    <row r="101" ht="12.75" customHeight="1">
      <c r="A101" s="106">
        <v>42803</v>
      </c>
      <c r="B101" s="107"/>
      <c r="C101" t="s" s="115">
        <v>99</v>
      </c>
      <c r="D101" t="s" s="109">
        <v>136</v>
      </c>
      <c r="E101" s="110"/>
      <c r="F101" s="111"/>
      <c r="G101" s="112">
        <v>416.1</v>
      </c>
      <c r="H101" s="113" cm="1">
        <f t="array" ref="H101">G101/I101</f>
        <v>26.00625</v>
      </c>
      <c r="I101" s="114">
        <v>16</v>
      </c>
      <c r="J101" s="105"/>
      <c r="K101" s="101"/>
      <c r="L101" s="96"/>
      <c r="M101" s="75"/>
      <c r="N101" s="75"/>
      <c r="O101" s="75"/>
      <c r="P101" s="75"/>
      <c r="Q101" s="75"/>
      <c r="R101" s="75"/>
      <c r="S101" s="75"/>
      <c r="T101" s="75"/>
      <c r="U101" s="75"/>
      <c r="V101" s="75"/>
      <c r="W101" s="75"/>
      <c r="X101" s="75"/>
      <c r="Y101" s="75"/>
      <c r="Z101" s="75"/>
      <c r="AA101" s="75"/>
      <c r="AB101" s="75"/>
    </row>
    <row r="102" ht="12.75" customHeight="1">
      <c r="A102" s="97">
        <v>42817</v>
      </c>
      <c r="B102" s="98"/>
      <c r="C102" t="s" s="116">
        <v>34</v>
      </c>
      <c r="D102" t="s" s="79">
        <v>137</v>
      </c>
      <c r="E102" s="100"/>
      <c r="F102" s="101"/>
      <c r="G102" s="102">
        <v>717.58</v>
      </c>
      <c r="H102" s="103" cm="1">
        <f t="array" ref="H102">G102/I102</f>
        <v>44.84875</v>
      </c>
      <c r="I102" s="104" cm="1">
        <f t="array" ref="I102">I101</f>
        <v>16</v>
      </c>
      <c r="J102" s="105"/>
      <c r="K102" s="101"/>
      <c r="L102" s="96"/>
      <c r="M102" s="75"/>
      <c r="N102" s="75"/>
      <c r="O102" s="75"/>
      <c r="P102" s="75"/>
      <c r="Q102" s="75"/>
      <c r="R102" s="75"/>
      <c r="S102" s="75"/>
      <c r="T102" s="75"/>
      <c r="U102" s="75"/>
      <c r="V102" s="75"/>
      <c r="W102" s="75"/>
      <c r="X102" s="75"/>
      <c r="Y102" s="75"/>
      <c r="Z102" s="75"/>
      <c r="AA102" s="75"/>
      <c r="AB102" s="75"/>
    </row>
    <row r="103" ht="12.75" customHeight="1">
      <c r="A103" s="106">
        <v>42837</v>
      </c>
      <c r="B103" s="107"/>
      <c r="C103" t="s" s="115">
        <v>99</v>
      </c>
      <c r="D103" t="s" s="109">
        <v>138</v>
      </c>
      <c r="E103" s="110"/>
      <c r="F103" s="111"/>
      <c r="G103" s="112">
        <v>410.47</v>
      </c>
      <c r="H103" s="113" cm="1">
        <f t="array" ref="H103">G103/I103</f>
        <v>26.1445859872611</v>
      </c>
      <c r="I103" s="114">
        <v>15.7</v>
      </c>
      <c r="J103" s="105"/>
      <c r="K103" s="101"/>
      <c r="L103" s="96"/>
      <c r="M103" s="75"/>
      <c r="N103" s="75"/>
      <c r="O103" s="75"/>
      <c r="P103" s="75"/>
      <c r="Q103" s="75"/>
      <c r="R103" s="75"/>
      <c r="S103" s="75"/>
      <c r="T103" s="75"/>
      <c r="U103" s="75"/>
      <c r="V103" s="75"/>
      <c r="W103" s="75"/>
      <c r="X103" s="75"/>
      <c r="Y103" s="75"/>
      <c r="Z103" s="75"/>
      <c r="AA103" s="75"/>
      <c r="AB103" s="75"/>
    </row>
    <row r="104" ht="12.75" customHeight="1">
      <c r="A104" s="97">
        <v>42842</v>
      </c>
      <c r="B104" s="121">
        <v>390</v>
      </c>
      <c r="C104" t="s" s="116">
        <v>101</v>
      </c>
      <c r="D104" t="s" s="79">
        <v>139</v>
      </c>
      <c r="E104" s="100"/>
      <c r="F104" s="101"/>
      <c r="G104" s="102">
        <v>477142.54</v>
      </c>
      <c r="H104" s="103">
        <v>29272</v>
      </c>
      <c r="I104" s="104" cm="1">
        <f t="array" ref="I104">G104/H104</f>
        <v>16.3003054113146</v>
      </c>
      <c r="J104" s="105"/>
      <c r="K104" s="101"/>
      <c r="L104" s="96"/>
      <c r="M104" s="75"/>
      <c r="N104" s="75"/>
      <c r="O104" s="75"/>
      <c r="P104" s="75"/>
      <c r="Q104" s="75"/>
      <c r="R104" s="75"/>
      <c r="S104" s="75"/>
      <c r="T104" s="75"/>
      <c r="U104" s="75"/>
      <c r="V104" s="75"/>
      <c r="W104" s="75"/>
      <c r="X104" s="75"/>
      <c r="Y104" s="75"/>
      <c r="Z104" s="75"/>
      <c r="AA104" s="75"/>
      <c r="AB104" s="75"/>
    </row>
    <row r="105" ht="12.75" customHeight="1">
      <c r="A105" s="106">
        <v>42937</v>
      </c>
      <c r="B105" s="107"/>
      <c r="C105" t="s" s="115">
        <v>34</v>
      </c>
      <c r="D105" t="s" s="109">
        <v>140</v>
      </c>
      <c r="E105" s="110"/>
      <c r="F105" s="111"/>
      <c r="G105" s="112">
        <v>894.62</v>
      </c>
      <c r="H105" s="113" cm="1">
        <f t="array" ref="H105">G105/I105</f>
        <v>55.91375</v>
      </c>
      <c r="I105" s="114">
        <v>16</v>
      </c>
      <c r="J105" s="105"/>
      <c r="K105" s="101"/>
      <c r="L105" s="96"/>
      <c r="M105" s="75"/>
      <c r="N105" s="75"/>
      <c r="O105" s="75"/>
      <c r="P105" s="75"/>
      <c r="Q105" s="75"/>
      <c r="R105" s="75"/>
      <c r="S105" s="75"/>
      <c r="T105" s="75"/>
      <c r="U105" s="75"/>
      <c r="V105" s="75"/>
      <c r="W105" s="75"/>
      <c r="X105" s="75"/>
      <c r="Y105" s="75"/>
      <c r="Z105" s="75"/>
      <c r="AA105" s="75"/>
      <c r="AB105" s="75"/>
    </row>
    <row r="106" ht="12.75" customHeight="1">
      <c r="A106" s="97">
        <v>42864</v>
      </c>
      <c r="B106" s="121">
        <v>395</v>
      </c>
      <c r="C106" t="s" s="116">
        <v>101</v>
      </c>
      <c r="D106" t="s" s="79">
        <v>141</v>
      </c>
      <c r="E106" s="100"/>
      <c r="F106" s="101"/>
      <c r="G106" s="102">
        <v>190857.05</v>
      </c>
      <c r="H106" s="103">
        <v>11227</v>
      </c>
      <c r="I106" s="104" cm="1">
        <f t="array" ref="I106">G106/H106</f>
        <v>16.9998263115703</v>
      </c>
      <c r="J106" s="105"/>
      <c r="K106" s="101"/>
      <c r="L106" s="96"/>
      <c r="M106" s="75"/>
      <c r="N106" s="75"/>
      <c r="O106" s="75"/>
      <c r="P106" s="75"/>
      <c r="Q106" s="75"/>
      <c r="R106" s="75"/>
      <c r="S106" s="75"/>
      <c r="T106" s="75"/>
      <c r="U106" s="75"/>
      <c r="V106" s="75"/>
      <c r="W106" s="75"/>
      <c r="X106" s="75"/>
      <c r="Y106" s="75"/>
      <c r="Z106" s="75"/>
      <c r="AA106" s="75"/>
      <c r="AB106" s="75"/>
    </row>
    <row r="107" ht="12.75" customHeight="1">
      <c r="A107" s="106">
        <v>42867</v>
      </c>
      <c r="B107" s="107"/>
      <c r="C107" t="s" s="115">
        <v>99</v>
      </c>
      <c r="D107" t="s" s="109">
        <v>142</v>
      </c>
      <c r="E107" s="110"/>
      <c r="F107" s="111"/>
      <c r="G107" s="112">
        <v>410.61</v>
      </c>
      <c r="H107" s="113" cm="1">
        <f t="array" ref="H107">G107/I107</f>
        <v>25.663125</v>
      </c>
      <c r="I107" s="114">
        <v>16</v>
      </c>
      <c r="J107" s="105"/>
      <c r="K107" s="101"/>
      <c r="L107" s="96"/>
      <c r="M107" s="75"/>
      <c r="N107" s="75"/>
      <c r="O107" s="75"/>
      <c r="P107" s="75"/>
      <c r="Q107" s="75"/>
      <c r="R107" s="75"/>
      <c r="S107" s="75"/>
      <c r="T107" s="75"/>
      <c r="U107" s="75"/>
      <c r="V107" s="75"/>
      <c r="W107" s="75"/>
      <c r="X107" s="75"/>
      <c r="Y107" s="75"/>
      <c r="Z107" s="75"/>
      <c r="AA107" s="75"/>
      <c r="AB107" s="75"/>
    </row>
    <row r="108" ht="12.75" customHeight="1">
      <c r="A108" s="97">
        <v>42877</v>
      </c>
      <c r="B108" s="98"/>
      <c r="C108" t="s" s="116">
        <v>34</v>
      </c>
      <c r="D108" t="s" s="79">
        <v>143</v>
      </c>
      <c r="E108" s="100"/>
      <c r="F108" s="101"/>
      <c r="G108" s="102">
        <v>880.7</v>
      </c>
      <c r="H108" s="103" cm="1">
        <f t="array" ref="H108">G108/I108</f>
        <v>54.3641975308642</v>
      </c>
      <c r="I108" s="104">
        <v>16.2</v>
      </c>
      <c r="J108" s="105"/>
      <c r="K108" s="101"/>
      <c r="L108" s="96"/>
      <c r="M108" s="75"/>
      <c r="N108" s="75"/>
      <c r="O108" s="75"/>
      <c r="P108" s="75"/>
      <c r="Q108" s="75"/>
      <c r="R108" s="75"/>
      <c r="S108" s="75"/>
      <c r="T108" s="75"/>
      <c r="U108" s="75"/>
      <c r="V108" s="75"/>
      <c r="W108" s="75"/>
      <c r="X108" s="75"/>
      <c r="Y108" s="75"/>
      <c r="Z108" s="75"/>
      <c r="AA108" s="75"/>
      <c r="AB108" s="75"/>
    </row>
    <row r="109" ht="12.75" customHeight="1">
      <c r="A109" s="106">
        <v>42891</v>
      </c>
      <c r="B109" s="124">
        <v>406</v>
      </c>
      <c r="C109" t="s" s="115">
        <v>101</v>
      </c>
      <c r="D109" t="s" s="109">
        <v>144</v>
      </c>
      <c r="E109" s="110"/>
      <c r="F109" s="111"/>
      <c r="G109" s="112">
        <v>211851.32</v>
      </c>
      <c r="H109" s="113">
        <v>13000</v>
      </c>
      <c r="I109" s="114" cm="1">
        <f t="array" ref="I109">G109/H109</f>
        <v>16.2962553846154</v>
      </c>
      <c r="J109" s="105"/>
      <c r="K109" s="101"/>
      <c r="L109" s="96"/>
      <c r="M109" s="75"/>
      <c r="N109" s="75"/>
      <c r="O109" s="75"/>
      <c r="P109" s="75"/>
      <c r="Q109" s="75"/>
      <c r="R109" s="75"/>
      <c r="S109" s="75"/>
      <c r="T109" s="75"/>
      <c r="U109" s="75"/>
      <c r="V109" s="75"/>
      <c r="W109" s="75"/>
      <c r="X109" s="75"/>
      <c r="Y109" s="75"/>
      <c r="Z109" s="75"/>
      <c r="AA109" s="75"/>
      <c r="AB109" s="75"/>
    </row>
    <row r="110" ht="12.75" customHeight="1">
      <c r="A110" s="97">
        <v>42898</v>
      </c>
      <c r="B110" s="98"/>
      <c r="C110" t="s" s="116">
        <v>99</v>
      </c>
      <c r="D110" t="s" s="79">
        <v>145</v>
      </c>
      <c r="E110" s="100"/>
      <c r="F110" s="101"/>
      <c r="G110" s="102">
        <v>487.71</v>
      </c>
      <c r="H110" s="103" cm="1">
        <f t="array" ref="H110">G110/I110</f>
        <v>29.7384146341463</v>
      </c>
      <c r="I110" s="104">
        <v>16.4</v>
      </c>
      <c r="J110" s="105"/>
      <c r="K110" s="101"/>
      <c r="L110" s="96"/>
      <c r="M110" s="75"/>
      <c r="N110" s="75"/>
      <c r="O110" s="75"/>
      <c r="P110" s="75"/>
      <c r="Q110" s="75"/>
      <c r="R110" s="75"/>
      <c r="S110" s="75"/>
      <c r="T110" s="75"/>
      <c r="U110" s="75"/>
      <c r="V110" s="75"/>
      <c r="W110" s="75"/>
      <c r="X110" s="75"/>
      <c r="Y110" s="75"/>
      <c r="Z110" s="75"/>
      <c r="AA110" s="75"/>
      <c r="AB110" s="75"/>
    </row>
    <row r="111" ht="12.75" customHeight="1">
      <c r="A111" s="106">
        <v>42898</v>
      </c>
      <c r="B111" s="124">
        <v>411</v>
      </c>
      <c r="C111" t="s" s="115">
        <v>101</v>
      </c>
      <c r="D111" t="s" s="109">
        <v>146</v>
      </c>
      <c r="E111" s="110"/>
      <c r="F111" s="111"/>
      <c r="G111" s="112">
        <v>605750</v>
      </c>
      <c r="H111" s="113">
        <v>37000</v>
      </c>
      <c r="I111" s="114" cm="1">
        <f t="array" ref="I111">G111/H111</f>
        <v>16.3716216216216</v>
      </c>
      <c r="J111" s="105"/>
      <c r="K111" s="101"/>
      <c r="L111" s="96"/>
      <c r="M111" s="75"/>
      <c r="N111" s="75"/>
      <c r="O111" s="75"/>
      <c r="P111" s="75"/>
      <c r="Q111" s="75"/>
      <c r="R111" s="75"/>
      <c r="S111" s="75"/>
      <c r="T111" s="75"/>
      <c r="U111" s="75"/>
      <c r="V111" s="75"/>
      <c r="W111" s="75"/>
      <c r="X111" s="75"/>
      <c r="Y111" s="75"/>
      <c r="Z111" s="75"/>
      <c r="AA111" s="75"/>
      <c r="AB111" s="75"/>
    </row>
    <row r="112" ht="12.75" customHeight="1">
      <c r="A112" s="97">
        <v>42902</v>
      </c>
      <c r="B112" s="98"/>
      <c r="C112" t="s" s="116">
        <v>41</v>
      </c>
      <c r="D112" t="s" s="79">
        <v>147</v>
      </c>
      <c r="E112" s="100"/>
      <c r="F112" s="101"/>
      <c r="G112" s="102">
        <v>29964.05</v>
      </c>
      <c r="H112" s="103" cm="1">
        <f t="array" ref="H112">G112/I112</f>
        <v>1810.5166163142</v>
      </c>
      <c r="I112" s="104">
        <v>16.55</v>
      </c>
      <c r="J112" s="105"/>
      <c r="K112" s="101"/>
      <c r="L112" s="96"/>
      <c r="M112" s="75"/>
      <c r="N112" s="75"/>
      <c r="O112" s="75"/>
      <c r="P112" s="75"/>
      <c r="Q112" s="75"/>
      <c r="R112" s="75"/>
      <c r="S112" s="75"/>
      <c r="T112" s="75"/>
      <c r="U112" s="75"/>
      <c r="V112" s="75"/>
      <c r="W112" s="75"/>
      <c r="X112" s="75"/>
      <c r="Y112" s="75"/>
      <c r="Z112" s="75"/>
      <c r="AA112" s="75"/>
      <c r="AB112" s="75"/>
    </row>
    <row r="113" ht="12.75" customHeight="1">
      <c r="A113" s="106">
        <v>42908</v>
      </c>
      <c r="B113" s="107"/>
      <c r="C113" t="s" s="115">
        <v>34</v>
      </c>
      <c r="D113" t="s" s="109">
        <v>148</v>
      </c>
      <c r="E113" s="110"/>
      <c r="F113" s="111"/>
      <c r="G113" s="112">
        <v>685.4299999999999</v>
      </c>
      <c r="H113" s="113" cm="1">
        <f t="array" ref="H113">G113/I113</f>
        <v>41.4157099697885</v>
      </c>
      <c r="I113" s="114" cm="1">
        <f t="array" ref="I113">I112</f>
        <v>16.55</v>
      </c>
      <c r="J113" s="105"/>
      <c r="K113" s="101"/>
      <c r="L113" s="96"/>
      <c r="M113" s="75"/>
      <c r="N113" s="75"/>
      <c r="O113" s="75"/>
      <c r="P113" s="75"/>
      <c r="Q113" s="75"/>
      <c r="R113" s="75"/>
      <c r="S113" s="75"/>
      <c r="T113" s="75"/>
      <c r="U113" s="75"/>
      <c r="V113" s="75"/>
      <c r="W113" s="75"/>
      <c r="X113" s="75"/>
      <c r="Y113" s="75"/>
      <c r="Z113" s="75"/>
      <c r="AA113" s="75"/>
      <c r="AB113" s="75"/>
    </row>
    <row r="114" ht="12.75" customHeight="1">
      <c r="A114" s="97">
        <v>42913</v>
      </c>
      <c r="B114" s="121">
        <v>1426</v>
      </c>
      <c r="C114" t="s" s="116">
        <v>149</v>
      </c>
      <c r="D114" t="s" s="79">
        <v>150</v>
      </c>
      <c r="E114" s="100"/>
      <c r="F114" s="101"/>
      <c r="G114" s="102">
        <v>552500</v>
      </c>
      <c r="H114" s="103">
        <v>33500</v>
      </c>
      <c r="I114" s="104">
        <v>16.49</v>
      </c>
      <c r="J114" s="105"/>
      <c r="K114" s="101"/>
      <c r="L114" s="96"/>
      <c r="M114" s="75"/>
      <c r="N114" s="75"/>
      <c r="O114" s="75"/>
      <c r="P114" s="75"/>
      <c r="Q114" s="75"/>
      <c r="R114" s="75"/>
      <c r="S114" s="75"/>
      <c r="T114" s="75"/>
      <c r="U114" s="75"/>
      <c r="V114" s="75"/>
      <c r="W114" s="75"/>
      <c r="X114" s="75"/>
      <c r="Y114" s="75"/>
      <c r="Z114" s="75"/>
      <c r="AA114" s="75"/>
      <c r="AB114" s="75"/>
    </row>
    <row r="115" ht="12.75" customHeight="1">
      <c r="A115" s="106">
        <v>42919</v>
      </c>
      <c r="B115" s="124">
        <v>419</v>
      </c>
      <c r="C115" t="s" s="115">
        <v>101</v>
      </c>
      <c r="D115" t="s" s="109">
        <v>151</v>
      </c>
      <c r="E115" s="110"/>
      <c r="F115" s="111"/>
      <c r="G115" s="112">
        <v>211851.32</v>
      </c>
      <c r="H115" s="113">
        <v>12210</v>
      </c>
      <c r="I115" s="114" cm="1">
        <f t="array" ref="I115">G115/H115</f>
        <v>17.3506404586405</v>
      </c>
      <c r="J115" s="105"/>
      <c r="K115" s="101"/>
      <c r="L115" s="96"/>
      <c r="M115" s="75"/>
      <c r="N115" s="75"/>
      <c r="O115" s="75"/>
      <c r="P115" s="75"/>
      <c r="Q115" s="75"/>
      <c r="R115" s="75"/>
      <c r="S115" s="75"/>
      <c r="T115" s="75"/>
      <c r="U115" s="75"/>
      <c r="V115" s="75"/>
      <c r="W115" s="75"/>
      <c r="X115" s="75"/>
      <c r="Y115" s="75"/>
      <c r="Z115" s="75"/>
      <c r="AA115" s="75"/>
      <c r="AB115" s="75"/>
    </row>
    <row r="116" ht="12.75" customHeight="1">
      <c r="A116" s="97">
        <v>42928</v>
      </c>
      <c r="B116" s="98"/>
      <c r="C116" t="s" s="116">
        <v>99</v>
      </c>
      <c r="D116" t="s" s="79">
        <v>152</v>
      </c>
      <c r="E116" s="100"/>
      <c r="F116" s="101"/>
      <c r="G116" s="102">
        <v>489.07</v>
      </c>
      <c r="H116" s="103" cm="1">
        <f t="array" ref="H116">G116/I116</f>
        <v>27.9468571428571</v>
      </c>
      <c r="I116" s="104">
        <v>17.5</v>
      </c>
      <c r="J116" s="105"/>
      <c r="K116" s="101"/>
      <c r="L116" s="96"/>
      <c r="M116" s="75"/>
      <c r="N116" s="75"/>
      <c r="O116" s="75"/>
      <c r="P116" s="75"/>
      <c r="Q116" s="75"/>
      <c r="R116" s="75"/>
      <c r="S116" s="75"/>
      <c r="T116" s="75"/>
      <c r="U116" s="75"/>
      <c r="V116" s="75"/>
      <c r="W116" s="75"/>
      <c r="X116" s="75"/>
      <c r="Y116" s="75"/>
      <c r="Z116" s="75"/>
      <c r="AA116" s="75"/>
      <c r="AB116" s="75"/>
    </row>
    <row r="117" ht="12.75" customHeight="1">
      <c r="A117" s="106">
        <v>42936</v>
      </c>
      <c r="B117" s="124">
        <v>55656</v>
      </c>
      <c r="C117" t="s" s="115">
        <v>153</v>
      </c>
      <c r="D117" t="s" s="109">
        <v>154</v>
      </c>
      <c r="E117" s="110"/>
      <c r="F117" s="111"/>
      <c r="G117" s="112">
        <v>1889.4</v>
      </c>
      <c r="H117" s="113">
        <v>111</v>
      </c>
      <c r="I117" s="114" cm="1">
        <f t="array" ref="I117">G117/H117</f>
        <v>17.0216216216216</v>
      </c>
      <c r="J117" s="105"/>
      <c r="K117" s="101"/>
      <c r="L117" s="96"/>
      <c r="M117" s="75"/>
      <c r="N117" s="75"/>
      <c r="O117" s="75"/>
      <c r="P117" s="75"/>
      <c r="Q117" s="75"/>
      <c r="R117" s="75"/>
      <c r="S117" s="75"/>
      <c r="T117" s="75"/>
      <c r="U117" s="75"/>
      <c r="V117" s="75"/>
      <c r="W117" s="75"/>
      <c r="X117" s="75"/>
      <c r="Y117" s="75"/>
      <c r="Z117" s="75"/>
      <c r="AA117" s="75"/>
      <c r="AB117" s="75"/>
    </row>
    <row r="118" ht="12.75" customHeight="1">
      <c r="A118" s="97">
        <v>42937</v>
      </c>
      <c r="B118" s="98"/>
      <c r="C118" t="s" s="116">
        <v>34</v>
      </c>
      <c r="D118" t="s" s="79">
        <v>155</v>
      </c>
      <c r="E118" s="100"/>
      <c r="F118" s="101"/>
      <c r="G118" s="102">
        <v>685.4299999999999</v>
      </c>
      <c r="H118" s="103" cm="1">
        <f t="array" ref="H118">G118/I118</f>
        <v>38.0794444444444</v>
      </c>
      <c r="I118" s="104">
        <v>18</v>
      </c>
      <c r="J118" s="105"/>
      <c r="K118" s="101"/>
      <c r="L118" s="96"/>
      <c r="M118" s="75"/>
      <c r="N118" s="75"/>
      <c r="O118" s="75"/>
      <c r="P118" s="75"/>
      <c r="Q118" s="75"/>
      <c r="R118" s="75"/>
      <c r="S118" s="75"/>
      <c r="T118" s="75"/>
      <c r="U118" s="75"/>
      <c r="V118" s="75"/>
      <c r="W118" s="75"/>
      <c r="X118" s="75"/>
      <c r="Y118" s="75"/>
      <c r="Z118" s="75"/>
      <c r="AA118" s="75"/>
      <c r="AB118" s="75"/>
    </row>
    <row r="119" ht="12.75" customHeight="1">
      <c r="A119" s="106">
        <v>42950</v>
      </c>
      <c r="B119" s="124">
        <v>432</v>
      </c>
      <c r="C119" t="s" s="115">
        <v>101</v>
      </c>
      <c r="D119" t="s" s="109">
        <v>156</v>
      </c>
      <c r="E119" s="110"/>
      <c r="F119" s="111"/>
      <c r="G119" s="112">
        <v>233036.46</v>
      </c>
      <c r="H119" s="113">
        <v>12600</v>
      </c>
      <c r="I119" s="114" cm="1">
        <f t="array" ref="I119">G119/H119</f>
        <v>18.4949571428571</v>
      </c>
      <c r="J119" s="105"/>
      <c r="K119" s="101"/>
      <c r="L119" s="96"/>
      <c r="M119" s="75"/>
      <c r="N119" s="75"/>
      <c r="O119" s="75"/>
      <c r="P119" s="75"/>
      <c r="Q119" s="75"/>
      <c r="R119" s="75"/>
      <c r="S119" s="75"/>
      <c r="T119" s="75"/>
      <c r="U119" s="75"/>
      <c r="V119" s="75"/>
      <c r="W119" s="75"/>
      <c r="X119" s="75"/>
      <c r="Y119" s="75"/>
      <c r="Z119" s="75"/>
      <c r="AA119" s="75"/>
      <c r="AB119" s="75"/>
    </row>
    <row r="120" ht="12.75" customHeight="1">
      <c r="A120" s="97">
        <v>42955</v>
      </c>
      <c r="B120" s="98"/>
      <c r="C120" t="s" s="116">
        <v>99</v>
      </c>
      <c r="D120" t="s" s="79">
        <v>157</v>
      </c>
      <c r="E120" s="100"/>
      <c r="F120" s="101"/>
      <c r="G120" s="102">
        <v>584.65</v>
      </c>
      <c r="H120" s="103" cm="1">
        <f t="array" ref="H120">G120/I120</f>
        <v>31.7744565217391</v>
      </c>
      <c r="I120" s="104">
        <v>18.4</v>
      </c>
      <c r="J120" s="105"/>
      <c r="K120" s="101"/>
      <c r="L120" s="96"/>
      <c r="M120" s="75"/>
      <c r="N120" s="75"/>
      <c r="O120" s="75"/>
      <c r="P120" s="75"/>
      <c r="Q120" s="75"/>
      <c r="R120" s="75"/>
      <c r="S120" s="75"/>
      <c r="T120" s="75"/>
      <c r="U120" s="75"/>
      <c r="V120" s="75"/>
      <c r="W120" s="75"/>
      <c r="X120" s="75"/>
      <c r="Y120" s="75"/>
      <c r="Z120" s="75"/>
      <c r="AA120" s="75"/>
      <c r="AB120" s="75"/>
    </row>
    <row r="121" ht="12.75" customHeight="1">
      <c r="A121" s="106">
        <v>42969</v>
      </c>
      <c r="B121" s="107"/>
      <c r="C121" t="s" s="115">
        <v>34</v>
      </c>
      <c r="D121" t="s" s="109">
        <v>158</v>
      </c>
      <c r="E121" s="110"/>
      <c r="F121" s="111"/>
      <c r="G121" s="112">
        <v>685.4299999999999</v>
      </c>
      <c r="H121" s="113" cm="1">
        <f t="array" ref="H121">G121/I121</f>
        <v>37.2516304347826</v>
      </c>
      <c r="I121" s="114">
        <v>18.4</v>
      </c>
      <c r="J121" s="105"/>
      <c r="K121" s="101"/>
      <c r="L121" s="96"/>
      <c r="M121" s="75"/>
      <c r="N121" s="75"/>
      <c r="O121" s="75"/>
      <c r="P121" s="75"/>
      <c r="Q121" s="75"/>
      <c r="R121" s="75"/>
      <c r="S121" s="75"/>
      <c r="T121" s="75"/>
      <c r="U121" s="75"/>
      <c r="V121" s="75"/>
      <c r="W121" s="75"/>
      <c r="X121" s="75"/>
      <c r="Y121" s="75"/>
      <c r="Z121" s="75"/>
      <c r="AA121" s="75"/>
      <c r="AB121" s="75"/>
    </row>
    <row r="122" ht="12.75" customHeight="1">
      <c r="A122" s="97">
        <v>42977</v>
      </c>
      <c r="B122" s="122"/>
      <c r="C122" t="s" s="125">
        <v>108</v>
      </c>
      <c r="D122" t="s" s="79">
        <v>159</v>
      </c>
      <c r="E122" s="100"/>
      <c r="F122" s="101"/>
      <c r="G122" s="102">
        <v>33336.84</v>
      </c>
      <c r="H122" s="103">
        <v>1840</v>
      </c>
      <c r="I122" s="104" cm="1">
        <f t="array" ref="I122">G122/H122</f>
        <v>18.117847826087</v>
      </c>
      <c r="J122" s="105"/>
      <c r="K122" s="101"/>
      <c r="L122" s="96"/>
      <c r="M122" s="75"/>
      <c r="N122" s="75"/>
      <c r="O122" s="75"/>
      <c r="P122" s="75"/>
      <c r="Q122" s="75"/>
      <c r="R122" s="75"/>
      <c r="S122" s="75"/>
      <c r="T122" s="75"/>
      <c r="U122" s="75"/>
      <c r="V122" s="75"/>
      <c r="W122" s="75"/>
      <c r="X122" s="75"/>
      <c r="Y122" s="75"/>
      <c r="Z122" s="75"/>
      <c r="AA122" s="75"/>
      <c r="AB122" s="75"/>
    </row>
    <row r="123" ht="12.75" customHeight="1">
      <c r="A123" s="106">
        <v>42985</v>
      </c>
      <c r="B123" s="107"/>
      <c r="C123" t="s" s="115">
        <v>153</v>
      </c>
      <c r="D123" t="s" s="109">
        <v>160</v>
      </c>
      <c r="E123" s="110"/>
      <c r="F123" s="111"/>
      <c r="G123" s="112">
        <v>13276.96</v>
      </c>
      <c r="H123" s="113">
        <v>920</v>
      </c>
      <c r="I123" s="114">
        <v>14.43</v>
      </c>
      <c r="J123" s="105"/>
      <c r="K123" s="101"/>
      <c r="L123" s="96"/>
      <c r="M123" s="75"/>
      <c r="N123" s="75"/>
      <c r="O123" s="75"/>
      <c r="P123" s="75"/>
      <c r="Q123" s="75"/>
      <c r="R123" s="75"/>
      <c r="S123" s="75"/>
      <c r="T123" s="75"/>
      <c r="U123" s="75"/>
      <c r="V123" s="75"/>
      <c r="W123" s="75"/>
      <c r="X123" s="75"/>
      <c r="Y123" s="75"/>
      <c r="Z123" s="75"/>
      <c r="AA123" s="75"/>
      <c r="AB123" s="75"/>
    </row>
    <row r="124" ht="12.75" customHeight="1">
      <c r="A124" s="97">
        <v>42986</v>
      </c>
      <c r="B124" s="98"/>
      <c r="C124" t="s" s="116">
        <v>99</v>
      </c>
      <c r="D124" t="s" s="79">
        <v>161</v>
      </c>
      <c r="E124" s="100"/>
      <c r="F124" s="101"/>
      <c r="G124" s="102">
        <v>584.65</v>
      </c>
      <c r="H124" s="103" cm="1">
        <f t="array" ref="H124">G124/I124</f>
        <v>32.6620111731844</v>
      </c>
      <c r="I124" s="104">
        <v>17.9</v>
      </c>
      <c r="J124" s="105"/>
      <c r="K124" s="101"/>
      <c r="L124" s="96"/>
      <c r="M124" s="75"/>
      <c r="N124" s="75"/>
      <c r="O124" s="75"/>
      <c r="P124" s="75"/>
      <c r="Q124" s="75"/>
      <c r="R124" s="75"/>
      <c r="S124" s="75"/>
      <c r="T124" s="75"/>
      <c r="U124" s="75"/>
      <c r="V124" s="75"/>
      <c r="W124" s="75"/>
      <c r="X124" s="75"/>
      <c r="Y124" s="75"/>
      <c r="Z124" s="75"/>
      <c r="AA124" s="75"/>
      <c r="AB124" s="75"/>
    </row>
    <row r="125" ht="12.75" customHeight="1">
      <c r="A125" s="106">
        <v>42990</v>
      </c>
      <c r="B125" s="124">
        <v>438</v>
      </c>
      <c r="C125" t="s" s="115">
        <v>101</v>
      </c>
      <c r="D125" t="s" s="109">
        <v>162</v>
      </c>
      <c r="E125" s="110"/>
      <c r="F125" s="111"/>
      <c r="G125" s="112">
        <v>233036.46</v>
      </c>
      <c r="H125" s="113">
        <v>12900</v>
      </c>
      <c r="I125" s="114" cm="1">
        <f t="array" ref="I125">G125/H125</f>
        <v>18.0648418604651</v>
      </c>
      <c r="J125" s="105"/>
      <c r="K125" s="101"/>
      <c r="L125" s="96"/>
      <c r="M125" s="75"/>
      <c r="N125" s="75"/>
      <c r="O125" s="75"/>
      <c r="P125" s="75"/>
      <c r="Q125" s="75"/>
      <c r="R125" s="75"/>
      <c r="S125" s="75"/>
      <c r="T125" s="75"/>
      <c r="U125" s="75"/>
      <c r="V125" s="75"/>
      <c r="W125" s="75"/>
      <c r="X125" s="75"/>
      <c r="Y125" s="75"/>
      <c r="Z125" s="75"/>
      <c r="AA125" s="75"/>
      <c r="AB125" s="75"/>
    </row>
    <row r="126" ht="12.75" customHeight="1">
      <c r="A126" s="97">
        <v>43000</v>
      </c>
      <c r="B126" s="98"/>
      <c r="C126" t="s" s="116">
        <v>34</v>
      </c>
      <c r="D126" t="s" s="79">
        <v>163</v>
      </c>
      <c r="E126" s="100"/>
      <c r="F126" s="101"/>
      <c r="G126" s="102">
        <v>686.36</v>
      </c>
      <c r="H126" s="103" cm="1">
        <f t="array" ref="H126">G126/I126</f>
        <v>38.1311111111111</v>
      </c>
      <c r="I126" s="104">
        <v>18</v>
      </c>
      <c r="J126" s="105"/>
      <c r="K126" s="101"/>
      <c r="L126" s="96"/>
      <c r="M126" s="75"/>
      <c r="N126" s="75"/>
      <c r="O126" s="75"/>
      <c r="P126" s="75"/>
      <c r="Q126" s="75"/>
      <c r="R126" s="75"/>
      <c r="S126" s="75"/>
      <c r="T126" s="75"/>
      <c r="U126" s="75"/>
      <c r="V126" s="75"/>
      <c r="W126" s="75"/>
      <c r="X126" s="75"/>
      <c r="Y126" s="75"/>
      <c r="Z126" s="75"/>
      <c r="AA126" s="75"/>
      <c r="AB126" s="75"/>
    </row>
    <row r="127" ht="12.75" customHeight="1">
      <c r="A127" s="106">
        <v>43017</v>
      </c>
      <c r="B127" s="124">
        <v>3268</v>
      </c>
      <c r="C127" t="s" s="115">
        <v>122</v>
      </c>
      <c r="D127" t="s" s="109">
        <v>164</v>
      </c>
      <c r="E127" s="110"/>
      <c r="F127" s="111"/>
      <c r="G127" s="112">
        <v>18230.65</v>
      </c>
      <c r="H127" s="113">
        <v>1000</v>
      </c>
      <c r="I127" s="114" cm="1">
        <f t="array" ref="I127">G127/H127</f>
        <v>18.23065</v>
      </c>
      <c r="J127" s="105"/>
      <c r="K127" s="101"/>
      <c r="L127" s="96"/>
      <c r="M127" s="75"/>
      <c r="N127" s="75"/>
      <c r="O127" s="75"/>
      <c r="P127" s="75"/>
      <c r="Q127" s="75"/>
      <c r="R127" s="75"/>
      <c r="S127" s="75"/>
      <c r="T127" s="75"/>
      <c r="U127" s="75"/>
      <c r="V127" s="75"/>
      <c r="W127" s="75"/>
      <c r="X127" s="75"/>
      <c r="Y127" s="75"/>
      <c r="Z127" s="75"/>
      <c r="AA127" s="75"/>
      <c r="AB127" s="75"/>
    </row>
    <row r="128" ht="12.75" customHeight="1">
      <c r="A128" s="97">
        <v>43018</v>
      </c>
      <c r="B128" s="98"/>
      <c r="C128" t="s" s="116">
        <v>99</v>
      </c>
      <c r="D128" t="s" s="79">
        <v>165</v>
      </c>
      <c r="E128" s="100"/>
      <c r="F128" s="101"/>
      <c r="G128" s="102">
        <v>779.5700000000001</v>
      </c>
      <c r="H128" s="103" cm="1">
        <f t="array" ref="H128">G128/I128</f>
        <v>43.5513966480447</v>
      </c>
      <c r="I128" s="104">
        <v>17.9</v>
      </c>
      <c r="J128" s="105"/>
      <c r="K128" s="101"/>
      <c r="L128" s="96"/>
      <c r="M128" s="75"/>
      <c r="N128" s="75"/>
      <c r="O128" s="75"/>
      <c r="P128" s="75"/>
      <c r="Q128" s="75"/>
      <c r="R128" s="75"/>
      <c r="S128" s="75"/>
      <c r="T128" s="75"/>
      <c r="U128" s="75"/>
      <c r="V128" s="75"/>
      <c r="W128" s="75"/>
      <c r="X128" s="75"/>
      <c r="Y128" s="75"/>
      <c r="Z128" s="75"/>
      <c r="AA128" s="75"/>
      <c r="AB128" s="75"/>
    </row>
    <row r="129" ht="12.75" customHeight="1">
      <c r="A129" s="106">
        <v>43028</v>
      </c>
      <c r="B129" s="107"/>
      <c r="C129" t="s" s="115">
        <v>153</v>
      </c>
      <c r="D129" t="s" s="109">
        <v>160</v>
      </c>
      <c r="E129" s="110"/>
      <c r="F129" s="111"/>
      <c r="G129" s="112">
        <v>9158.43</v>
      </c>
      <c r="H129" s="113">
        <v>602</v>
      </c>
      <c r="I129" s="114" cm="1">
        <f t="array" ref="I129">G129/H129</f>
        <v>15.2133388704319</v>
      </c>
      <c r="J129" s="105"/>
      <c r="K129" s="101"/>
      <c r="L129" s="96"/>
      <c r="M129" s="75"/>
      <c r="N129" s="75"/>
      <c r="O129" s="75"/>
      <c r="P129" s="75"/>
      <c r="Q129" s="75"/>
      <c r="R129" s="75"/>
      <c r="S129" s="75"/>
      <c r="T129" s="75"/>
      <c r="U129" s="75"/>
      <c r="V129" s="75"/>
      <c r="W129" s="75"/>
      <c r="X129" s="75"/>
      <c r="Y129" s="75"/>
      <c r="Z129" s="75"/>
      <c r="AA129" s="75"/>
      <c r="AB129" s="75"/>
    </row>
    <row r="130" ht="12.75" customHeight="1">
      <c r="A130" s="97">
        <v>43037</v>
      </c>
      <c r="B130" s="98"/>
      <c r="C130" t="s" s="116">
        <v>153</v>
      </c>
      <c r="D130" t="s" s="79">
        <v>160</v>
      </c>
      <c r="E130" s="100"/>
      <c r="F130" s="101"/>
      <c r="G130" s="102">
        <v>13130</v>
      </c>
      <c r="H130" s="103">
        <v>744</v>
      </c>
      <c r="I130" s="104">
        <v>17.65</v>
      </c>
      <c r="J130" s="105"/>
      <c r="K130" s="101"/>
      <c r="L130" s="96"/>
      <c r="M130" s="75"/>
      <c r="N130" s="75"/>
      <c r="O130" s="75"/>
      <c r="P130" s="75"/>
      <c r="Q130" s="75"/>
      <c r="R130" s="75"/>
      <c r="S130" s="75"/>
      <c r="T130" s="75"/>
      <c r="U130" s="75"/>
      <c r="V130" s="75"/>
      <c r="W130" s="75"/>
      <c r="X130" s="75"/>
      <c r="Y130" s="75"/>
      <c r="Z130" s="75"/>
      <c r="AA130" s="75"/>
      <c r="AB130" s="75"/>
    </row>
    <row r="131" ht="12.75" customHeight="1">
      <c r="A131" s="106">
        <v>43031</v>
      </c>
      <c r="B131" s="107"/>
      <c r="C131" t="s" s="115">
        <v>34</v>
      </c>
      <c r="D131" t="s" s="109">
        <v>166</v>
      </c>
      <c r="E131" s="110"/>
      <c r="F131" s="111"/>
      <c r="G131" s="112">
        <v>686.36</v>
      </c>
      <c r="H131" s="113" cm="1">
        <f t="array" ref="H131">G131/I131</f>
        <v>38.1311111111111</v>
      </c>
      <c r="I131" s="114">
        <v>18</v>
      </c>
      <c r="J131" s="105"/>
      <c r="K131" s="101"/>
      <c r="L131" s="96"/>
      <c r="M131" s="75"/>
      <c r="N131" s="75"/>
      <c r="O131" s="75"/>
      <c r="P131" s="75"/>
      <c r="Q131" s="75"/>
      <c r="R131" s="75"/>
      <c r="S131" s="75"/>
      <c r="T131" s="75"/>
      <c r="U131" s="75"/>
      <c r="V131" s="75"/>
      <c r="W131" s="75"/>
      <c r="X131" s="75"/>
      <c r="Y131" s="75"/>
      <c r="Z131" s="75"/>
      <c r="AA131" s="75"/>
      <c r="AB131" s="75"/>
    </row>
    <row r="132" ht="12.75" customHeight="1">
      <c r="A132" s="97">
        <v>43049</v>
      </c>
      <c r="B132" s="98"/>
      <c r="C132" t="s" s="116">
        <v>99</v>
      </c>
      <c r="D132" t="s" s="79">
        <v>160</v>
      </c>
      <c r="E132" s="100"/>
      <c r="F132" s="101"/>
      <c r="G132" s="102">
        <v>787.14</v>
      </c>
      <c r="H132" s="103" cm="1">
        <f t="array" ref="H132">G132/I132</f>
        <v>43.73</v>
      </c>
      <c r="I132" s="104">
        <v>18</v>
      </c>
      <c r="J132" s="105"/>
      <c r="K132" s="101"/>
      <c r="L132" s="96"/>
      <c r="M132" s="75"/>
      <c r="N132" s="75"/>
      <c r="O132" s="75"/>
      <c r="P132" s="75"/>
      <c r="Q132" s="75"/>
      <c r="R132" s="75"/>
      <c r="S132" s="75"/>
      <c r="T132" s="75"/>
      <c r="U132" s="75"/>
      <c r="V132" s="75"/>
      <c r="W132" s="75"/>
      <c r="X132" s="75"/>
      <c r="Y132" s="75"/>
      <c r="Z132" s="75"/>
      <c r="AA132" s="75"/>
      <c r="AB132" s="75"/>
    </row>
    <row r="133" ht="12.75" customHeight="1">
      <c r="A133" s="106">
        <v>43055</v>
      </c>
      <c r="B133" s="107"/>
      <c r="C133" t="s" s="115">
        <v>153</v>
      </c>
      <c r="D133" t="s" s="109">
        <v>160</v>
      </c>
      <c r="E133" s="110"/>
      <c r="F133" s="111"/>
      <c r="G133" s="112">
        <v>11724.33</v>
      </c>
      <c r="H133" s="113">
        <v>660</v>
      </c>
      <c r="I133" s="114">
        <v>17.76</v>
      </c>
      <c r="J133" s="105"/>
      <c r="K133" s="101"/>
      <c r="L133" s="96"/>
      <c r="M133" s="75"/>
      <c r="N133" s="75"/>
      <c r="O133" s="75"/>
      <c r="P133" s="75"/>
      <c r="Q133" s="75"/>
      <c r="R133" s="75"/>
      <c r="S133" s="75"/>
      <c r="T133" s="75"/>
      <c r="U133" s="75"/>
      <c r="V133" s="75"/>
      <c r="W133" s="75"/>
      <c r="X133" s="75"/>
      <c r="Y133" s="75"/>
      <c r="Z133" s="75"/>
      <c r="AA133" s="75"/>
      <c r="AB133" s="75"/>
    </row>
    <row r="134" ht="12.75" customHeight="1">
      <c r="A134" s="97">
        <v>43060</v>
      </c>
      <c r="B134" s="98"/>
      <c r="C134" t="s" s="116">
        <v>34</v>
      </c>
      <c r="D134" t="s" s="79">
        <v>167</v>
      </c>
      <c r="E134" s="100"/>
      <c r="F134" s="101"/>
      <c r="G134" s="102">
        <v>686.36</v>
      </c>
      <c r="H134" s="103" cm="1">
        <f t="array" ref="H134">G134/I134</f>
        <v>37.9204419889503</v>
      </c>
      <c r="I134" s="104">
        <v>18.1</v>
      </c>
      <c r="J134" s="105"/>
      <c r="K134" s="101"/>
      <c r="L134" s="96"/>
      <c r="M134" s="75"/>
      <c r="N134" s="75"/>
      <c r="O134" s="75"/>
      <c r="P134" s="75"/>
      <c r="Q134" s="75"/>
      <c r="R134" s="75"/>
      <c r="S134" s="75"/>
      <c r="T134" s="75"/>
      <c r="U134" s="75"/>
      <c r="V134" s="75"/>
      <c r="W134" s="75"/>
      <c r="X134" s="75"/>
      <c r="Y134" s="75"/>
      <c r="Z134" s="75"/>
      <c r="AA134" s="75"/>
      <c r="AB134" s="75"/>
    </row>
    <row r="135" ht="12.75" customHeight="1">
      <c r="A135" s="106">
        <v>43060</v>
      </c>
      <c r="B135" s="124">
        <v>3625</v>
      </c>
      <c r="C135" t="s" s="115">
        <v>122</v>
      </c>
      <c r="D135" t="s" s="109">
        <v>160</v>
      </c>
      <c r="E135" s="110"/>
      <c r="F135" s="111"/>
      <c r="G135" s="112">
        <v>11103.4</v>
      </c>
      <c r="H135" s="113">
        <v>625</v>
      </c>
      <c r="I135" s="114" cm="1">
        <f t="array" ref="I135">G135/H135</f>
        <v>17.76544</v>
      </c>
      <c r="J135" s="105"/>
      <c r="K135" s="101"/>
      <c r="L135" s="96"/>
      <c r="M135" s="75"/>
      <c r="N135" s="75"/>
      <c r="O135" s="75"/>
      <c r="P135" s="75"/>
      <c r="Q135" s="75"/>
      <c r="R135" s="75"/>
      <c r="S135" s="75"/>
      <c r="T135" s="75"/>
      <c r="U135" s="75"/>
      <c r="V135" s="75"/>
      <c r="W135" s="75"/>
      <c r="X135" s="75"/>
      <c r="Y135" s="75"/>
      <c r="Z135" s="75"/>
      <c r="AA135" s="75"/>
      <c r="AB135" s="75"/>
    </row>
    <row r="136" ht="12.75" customHeight="1">
      <c r="A136" s="97">
        <v>43060</v>
      </c>
      <c r="B136" s="121">
        <v>458</v>
      </c>
      <c r="C136" t="s" s="116">
        <v>101</v>
      </c>
      <c r="D136" t="s" s="79">
        <v>168</v>
      </c>
      <c r="E136" s="100"/>
      <c r="F136" s="101"/>
      <c r="G136" s="102">
        <v>363450</v>
      </c>
      <c r="H136" s="103">
        <v>20600</v>
      </c>
      <c r="I136" s="104" cm="1">
        <f t="array" ref="I136">G136/H136</f>
        <v>17.6432038834951</v>
      </c>
      <c r="J136" s="105"/>
      <c r="K136" s="101"/>
      <c r="L136" s="96"/>
      <c r="M136" s="75"/>
      <c r="N136" s="75"/>
      <c r="O136" s="75"/>
      <c r="P136" s="75"/>
      <c r="Q136" s="75"/>
      <c r="R136" s="75"/>
      <c r="S136" s="75"/>
      <c r="T136" s="75"/>
      <c r="U136" s="75"/>
      <c r="V136" s="75"/>
      <c r="W136" s="75"/>
      <c r="X136" s="75"/>
      <c r="Y136" s="75"/>
      <c r="Z136" s="75"/>
      <c r="AA136" s="75"/>
      <c r="AB136" s="75"/>
    </row>
    <row r="137" ht="12.75" customHeight="1">
      <c r="A137" s="106">
        <v>43062</v>
      </c>
      <c r="B137" s="107"/>
      <c r="C137" t="s" s="115">
        <v>169</v>
      </c>
      <c r="D137" t="s" s="109">
        <v>170</v>
      </c>
      <c r="E137" s="110"/>
      <c r="F137" s="111"/>
      <c r="G137" s="112">
        <v>3756.76</v>
      </c>
      <c r="H137" s="113">
        <v>211.41</v>
      </c>
      <c r="I137" s="114">
        <v>17.77</v>
      </c>
      <c r="J137" s="105"/>
      <c r="K137" s="101"/>
      <c r="L137" s="96"/>
      <c r="M137" s="75"/>
      <c r="N137" s="75"/>
      <c r="O137" s="75"/>
      <c r="P137" s="75"/>
      <c r="Q137" s="75"/>
      <c r="R137" s="75"/>
      <c r="S137" s="75"/>
      <c r="T137" s="75"/>
      <c r="U137" s="75"/>
      <c r="V137" s="75"/>
      <c r="W137" s="75"/>
      <c r="X137" s="75"/>
      <c r="Y137" s="75"/>
      <c r="Z137" s="75"/>
      <c r="AA137" s="75"/>
      <c r="AB137" s="75"/>
    </row>
    <row r="138" ht="12.75" customHeight="1">
      <c r="A138" s="97">
        <v>43070</v>
      </c>
      <c r="B138" s="121">
        <v>55485</v>
      </c>
      <c r="C138" t="s" s="116">
        <v>153</v>
      </c>
      <c r="D138" t="s" s="79">
        <v>160</v>
      </c>
      <c r="E138" s="100"/>
      <c r="F138" s="101"/>
      <c r="G138" s="102">
        <v>22078</v>
      </c>
      <c r="H138" s="103">
        <v>1300</v>
      </c>
      <c r="I138" s="104" cm="1">
        <f t="array" ref="I138">G138/H138</f>
        <v>16.9830769230769</v>
      </c>
      <c r="J138" s="105"/>
      <c r="K138" s="101"/>
      <c r="L138" s="96"/>
      <c r="M138" s="75"/>
      <c r="N138" s="75"/>
      <c r="O138" s="75"/>
      <c r="P138" s="75"/>
      <c r="Q138" s="75"/>
      <c r="R138" s="75"/>
      <c r="S138" s="75"/>
      <c r="T138" s="75"/>
      <c r="U138" s="75"/>
      <c r="V138" s="75"/>
      <c r="W138" s="75"/>
      <c r="X138" s="75"/>
      <c r="Y138" s="75"/>
      <c r="Z138" s="75"/>
      <c r="AA138" s="75"/>
      <c r="AB138" s="75"/>
    </row>
    <row r="139" ht="12.75" customHeight="1">
      <c r="A139" s="106">
        <v>43075</v>
      </c>
      <c r="B139" s="124">
        <v>465</v>
      </c>
      <c r="C139" t="s" s="115">
        <v>101</v>
      </c>
      <c r="D139" t="s" s="109">
        <v>171</v>
      </c>
      <c r="E139" s="110"/>
      <c r="F139" s="111"/>
      <c r="G139" s="112">
        <v>605750</v>
      </c>
      <c r="H139" s="113">
        <v>34126</v>
      </c>
      <c r="I139" s="114" cm="1">
        <f t="array" ref="I139">G139/H139</f>
        <v>17.7503955928031</v>
      </c>
      <c r="J139" s="105"/>
      <c r="K139" s="101"/>
      <c r="L139" s="96"/>
      <c r="M139" s="75"/>
      <c r="N139" s="75"/>
      <c r="O139" s="75"/>
      <c r="P139" s="75"/>
      <c r="Q139" s="75"/>
      <c r="R139" s="75"/>
      <c r="S139" s="75"/>
      <c r="T139" s="75"/>
      <c r="U139" s="75"/>
      <c r="V139" s="75"/>
      <c r="W139" s="75"/>
      <c r="X139" s="75"/>
      <c r="Y139" s="75"/>
      <c r="Z139" s="75"/>
      <c r="AA139" s="75"/>
      <c r="AB139" s="75"/>
    </row>
    <row r="140" ht="12.75" customHeight="1">
      <c r="A140" s="126">
        <v>43075</v>
      </c>
      <c r="B140" s="127">
        <v>688</v>
      </c>
      <c r="C140" t="s" s="128">
        <v>172</v>
      </c>
      <c r="D140" t="s" s="129">
        <v>173</v>
      </c>
      <c r="E140" s="130"/>
      <c r="F140" s="131"/>
      <c r="G140" s="132">
        <v>24200</v>
      </c>
      <c r="H140" s="133">
        <v>1335</v>
      </c>
      <c r="I140" s="134">
        <v>18.74</v>
      </c>
      <c r="J140" t="s" s="135">
        <v>174</v>
      </c>
      <c r="K140" s="136"/>
      <c r="L140" s="137"/>
      <c r="M140" s="75"/>
      <c r="N140" s="75"/>
      <c r="O140" s="75"/>
      <c r="P140" s="75"/>
      <c r="Q140" s="75"/>
      <c r="R140" s="75"/>
      <c r="S140" s="75"/>
      <c r="T140" s="75"/>
      <c r="U140" s="75"/>
      <c r="V140" s="75"/>
      <c r="W140" s="75"/>
      <c r="X140" s="75"/>
      <c r="Y140" s="75"/>
      <c r="Z140" s="75"/>
      <c r="AA140" s="75"/>
      <c r="AB140" s="75"/>
    </row>
    <row r="141" ht="12.75" customHeight="1">
      <c r="A141" s="97">
        <v>43082</v>
      </c>
      <c r="B141" s="98"/>
      <c r="C141" t="s" s="116">
        <v>153</v>
      </c>
      <c r="D141" t="s" s="79">
        <v>160</v>
      </c>
      <c r="E141" s="100"/>
      <c r="F141" s="101"/>
      <c r="G141" s="102">
        <v>8680</v>
      </c>
      <c r="H141" s="103">
        <v>500</v>
      </c>
      <c r="I141" s="104">
        <v>17.36</v>
      </c>
      <c r="J141" s="105"/>
      <c r="K141" s="101"/>
      <c r="L141" s="96"/>
      <c r="M141" s="75"/>
      <c r="N141" s="75"/>
      <c r="O141" s="75"/>
      <c r="P141" s="75"/>
      <c r="Q141" s="75"/>
      <c r="R141" s="75"/>
      <c r="S141" s="75"/>
      <c r="T141" s="75"/>
      <c r="U141" s="75"/>
      <c r="V141" s="75"/>
      <c r="W141" s="75"/>
      <c r="X141" s="75"/>
      <c r="Y141" s="75"/>
      <c r="Z141" s="75"/>
      <c r="AA141" s="75"/>
      <c r="AB141" s="75"/>
    </row>
    <row r="142" ht="12.75" customHeight="1">
      <c r="A142" s="106">
        <v>43082</v>
      </c>
      <c r="B142" s="107"/>
      <c r="C142" t="s" s="115">
        <v>153</v>
      </c>
      <c r="D142" t="s" s="109">
        <v>160</v>
      </c>
      <c r="E142" s="110"/>
      <c r="F142" s="111"/>
      <c r="G142" s="112">
        <v>1224</v>
      </c>
      <c r="H142" s="113">
        <v>90</v>
      </c>
      <c r="I142" s="114" cm="1">
        <f t="array" ref="I142">I141</f>
        <v>17.36</v>
      </c>
      <c r="J142" s="105"/>
      <c r="K142" s="101"/>
      <c r="L142" s="96"/>
      <c r="M142" s="75"/>
      <c r="N142" s="75"/>
      <c r="O142" s="75"/>
      <c r="P142" s="75"/>
      <c r="Q142" s="75"/>
      <c r="R142" s="75"/>
      <c r="S142" s="75"/>
      <c r="T142" s="75"/>
      <c r="U142" s="75"/>
      <c r="V142" s="75"/>
      <c r="W142" s="75"/>
      <c r="X142" s="75"/>
      <c r="Y142" s="75"/>
      <c r="Z142" s="75"/>
      <c r="AA142" s="75"/>
      <c r="AB142" s="75"/>
    </row>
    <row r="143" ht="12.75" customHeight="1">
      <c r="A143" s="97">
        <v>43082</v>
      </c>
      <c r="B143" s="98"/>
      <c r="C143" t="s" s="116">
        <v>99</v>
      </c>
      <c r="D143" t="s" s="79">
        <v>175</v>
      </c>
      <c r="E143" s="100"/>
      <c r="F143" s="101"/>
      <c r="G143" s="102">
        <v>906.89</v>
      </c>
      <c r="H143" s="103" cm="1">
        <f t="array" ref="H143">G143/I143</f>
        <v>50.3827777777778</v>
      </c>
      <c r="I143" s="104">
        <v>18</v>
      </c>
      <c r="J143" s="105"/>
      <c r="K143" s="101"/>
      <c r="L143" s="96"/>
      <c r="M143" s="75"/>
      <c r="N143" s="75"/>
      <c r="O143" s="75"/>
      <c r="P143" s="75"/>
      <c r="Q143" s="75"/>
      <c r="R143" s="75"/>
      <c r="S143" s="75"/>
      <c r="T143" s="75"/>
      <c r="U143" s="75"/>
      <c r="V143" s="75"/>
      <c r="W143" s="75"/>
      <c r="X143" s="75"/>
      <c r="Y143" s="75"/>
      <c r="Z143" s="75"/>
      <c r="AA143" s="75"/>
      <c r="AB143" s="75"/>
    </row>
    <row r="144" ht="12.75" customHeight="1">
      <c r="A144" s="126">
        <v>43088</v>
      </c>
      <c r="B144" s="138">
        <v>157</v>
      </c>
      <c r="C144" t="s" s="139">
        <v>65</v>
      </c>
      <c r="D144" t="s" s="129">
        <v>176</v>
      </c>
      <c r="E144" s="130"/>
      <c r="F144" s="131"/>
      <c r="G144" s="132">
        <v>100000</v>
      </c>
      <c r="H144" s="133">
        <v>5000</v>
      </c>
      <c r="I144" s="134">
        <v>20</v>
      </c>
      <c r="J144" t="s" s="135">
        <v>177</v>
      </c>
      <c r="K144" s="136"/>
      <c r="L144" s="137"/>
      <c r="M144" s="75"/>
      <c r="N144" s="75"/>
      <c r="O144" s="75"/>
      <c r="P144" s="75"/>
      <c r="Q144" s="75"/>
      <c r="R144" s="75"/>
      <c r="S144" s="75"/>
      <c r="T144" s="75"/>
      <c r="U144" s="75"/>
      <c r="V144" s="75"/>
      <c r="W144" s="75"/>
      <c r="X144" s="75"/>
      <c r="Y144" s="75"/>
      <c r="Z144" s="75"/>
      <c r="AA144" s="75"/>
      <c r="AB144" s="75"/>
    </row>
    <row r="145" ht="12.75" customHeight="1">
      <c r="A145" s="106">
        <v>43089</v>
      </c>
      <c r="B145" s="107"/>
      <c r="C145" s="108"/>
      <c r="D145" t="s" s="109">
        <v>178</v>
      </c>
      <c r="E145" s="110"/>
      <c r="F145" s="111"/>
      <c r="G145" s="112">
        <v>52.01</v>
      </c>
      <c r="H145" s="113" cm="1">
        <f t="array" ref="H145">G145/I145</f>
        <v>2.88944444444444</v>
      </c>
      <c r="I145" s="114">
        <v>18</v>
      </c>
      <c r="J145" s="105"/>
      <c r="K145" s="101"/>
      <c r="L145" s="96"/>
      <c r="M145" s="75"/>
      <c r="N145" s="75"/>
      <c r="O145" s="75"/>
      <c r="P145" s="75"/>
      <c r="Q145" s="75"/>
      <c r="R145" s="75"/>
      <c r="S145" s="75"/>
      <c r="T145" s="75"/>
      <c r="U145" s="75"/>
      <c r="V145" s="75"/>
      <c r="W145" s="75"/>
      <c r="X145" s="75"/>
      <c r="Y145" s="75"/>
      <c r="Z145" s="75"/>
      <c r="AA145" s="75"/>
      <c r="AB145" s="75"/>
    </row>
    <row r="146" ht="12.75" customHeight="1">
      <c r="A146" s="97">
        <v>43089</v>
      </c>
      <c r="B146" s="121">
        <v>3948</v>
      </c>
      <c r="C146" t="s" s="116">
        <v>122</v>
      </c>
      <c r="D146" t="s" s="79">
        <v>123</v>
      </c>
      <c r="E146" s="100"/>
      <c r="F146" s="101"/>
      <c r="G146" s="102">
        <v>21007.41</v>
      </c>
      <c r="H146" s="103">
        <v>1105</v>
      </c>
      <c r="I146" s="104" cm="1">
        <f t="array" ref="I146">G146/H146</f>
        <v>19.0112307692308</v>
      </c>
      <c r="J146" s="105"/>
      <c r="K146" s="101"/>
      <c r="L146" s="96"/>
      <c r="M146" s="75"/>
      <c r="N146" s="75"/>
      <c r="O146" s="75"/>
      <c r="P146" s="75"/>
      <c r="Q146" s="75"/>
      <c r="R146" s="75"/>
      <c r="S146" s="75"/>
      <c r="T146" s="75"/>
      <c r="U146" s="75"/>
      <c r="V146" s="75"/>
      <c r="W146" s="75"/>
      <c r="X146" s="75"/>
      <c r="Y146" s="75"/>
      <c r="Z146" s="75"/>
      <c r="AA146" s="75"/>
      <c r="AB146" s="75"/>
    </row>
    <row r="147" ht="12.75" customHeight="1">
      <c r="A147" s="106">
        <v>43090</v>
      </c>
      <c r="B147" s="107"/>
      <c r="C147" t="s" s="115">
        <v>34</v>
      </c>
      <c r="D147" t="s" s="109">
        <v>179</v>
      </c>
      <c r="E147" s="110"/>
      <c r="F147" s="111"/>
      <c r="G147" s="112">
        <v>686.36</v>
      </c>
      <c r="H147" s="113" cm="1">
        <f t="array" ref="H147">G147/I147</f>
        <v>38.1311111111111</v>
      </c>
      <c r="I147" s="114" cm="1">
        <f t="array" ref="I147">I145</f>
        <v>18</v>
      </c>
      <c r="J147" s="105"/>
      <c r="K147" s="101"/>
      <c r="L147" s="96"/>
      <c r="M147" s="75"/>
      <c r="N147" s="75"/>
      <c r="O147" s="75"/>
      <c r="P147" s="75"/>
      <c r="Q147" s="75"/>
      <c r="R147" s="75"/>
      <c r="S147" s="75"/>
      <c r="T147" s="75"/>
      <c r="U147" s="75"/>
      <c r="V147" s="75"/>
      <c r="W147" s="75"/>
      <c r="X147" s="75"/>
      <c r="Y147" s="75"/>
      <c r="Z147" s="75"/>
      <c r="AA147" s="75"/>
      <c r="AB147" s="75"/>
    </row>
    <row r="148" ht="12.75" customHeight="1">
      <c r="A148" s="97">
        <v>43092</v>
      </c>
      <c r="B148" s="98"/>
      <c r="C148" t="s" s="116">
        <v>153</v>
      </c>
      <c r="D148" t="s" s="79">
        <v>160</v>
      </c>
      <c r="E148" s="100"/>
      <c r="F148" s="101"/>
      <c r="G148" s="102">
        <v>3243.05</v>
      </c>
      <c r="H148" s="103">
        <v>175.3</v>
      </c>
      <c r="I148" s="104">
        <v>18.5</v>
      </c>
      <c r="J148" s="105"/>
      <c r="K148" s="101"/>
      <c r="L148" s="96"/>
      <c r="M148" s="75"/>
      <c r="N148" s="75"/>
      <c r="O148" s="75"/>
      <c r="P148" s="75"/>
      <c r="Q148" s="75"/>
      <c r="R148" s="75"/>
      <c r="S148" s="75"/>
      <c r="T148" s="75"/>
      <c r="U148" s="75"/>
      <c r="V148" s="75"/>
      <c r="W148" s="75"/>
      <c r="X148" s="75"/>
      <c r="Y148" s="75"/>
      <c r="Z148" s="75"/>
      <c r="AA148" s="75"/>
      <c r="AB148" s="75"/>
    </row>
    <row r="149" ht="12.75" customHeight="1">
      <c r="A149" s="106">
        <v>43096</v>
      </c>
      <c r="B149" s="107"/>
      <c r="C149" t="s" s="115">
        <v>153</v>
      </c>
      <c r="D149" t="s" s="109">
        <v>180</v>
      </c>
      <c r="E149" s="110"/>
      <c r="F149" s="111"/>
      <c r="G149" s="112">
        <v>1880.83</v>
      </c>
      <c r="H149" s="113">
        <v>98.98999999999999</v>
      </c>
      <c r="I149" s="114">
        <v>19</v>
      </c>
      <c r="J149" s="105"/>
      <c r="K149" s="101"/>
      <c r="L149" s="96"/>
      <c r="M149" s="75"/>
      <c r="N149" s="75"/>
      <c r="O149" s="75"/>
      <c r="P149" s="75"/>
      <c r="Q149" s="75"/>
      <c r="R149" s="75"/>
      <c r="S149" s="75"/>
      <c r="T149" s="75"/>
      <c r="U149" s="75"/>
      <c r="V149" s="75"/>
      <c r="W149" s="75"/>
      <c r="X149" s="75"/>
      <c r="Y149" s="75"/>
      <c r="Z149" s="75"/>
      <c r="AA149" s="75"/>
      <c r="AB149" s="75"/>
    </row>
    <row r="150" ht="12.75" customHeight="1">
      <c r="A150" s="97">
        <v>43112</v>
      </c>
      <c r="B150" s="98"/>
      <c r="C150" t="s" s="116">
        <v>99</v>
      </c>
      <c r="D150" t="s" s="79">
        <v>181</v>
      </c>
      <c r="E150" s="100"/>
      <c r="F150" s="101"/>
      <c r="G150" s="102">
        <v>795.09</v>
      </c>
      <c r="H150" s="103" cm="1">
        <f t="array" ref="H150">G150/I150</f>
        <v>40.5658163265306</v>
      </c>
      <c r="I150" s="104">
        <v>19.6</v>
      </c>
      <c r="J150" s="105"/>
      <c r="K150" s="101"/>
      <c r="L150" s="96"/>
      <c r="M150" s="75"/>
      <c r="N150" s="75"/>
      <c r="O150" s="75"/>
      <c r="P150" s="75"/>
      <c r="Q150" s="75"/>
      <c r="R150" s="75"/>
      <c r="S150" s="75"/>
      <c r="T150" s="75"/>
      <c r="U150" s="75"/>
      <c r="V150" s="75"/>
      <c r="W150" s="75"/>
      <c r="X150" s="75"/>
      <c r="Y150" s="75"/>
      <c r="Z150" s="75"/>
      <c r="AA150" s="75"/>
      <c r="AB150" s="75"/>
    </row>
    <row r="151" ht="12.75" customHeight="1">
      <c r="A151" s="106">
        <v>43113</v>
      </c>
      <c r="B151" s="124">
        <v>610</v>
      </c>
      <c r="C151" t="s" s="115">
        <v>182</v>
      </c>
      <c r="D151" t="s" s="109">
        <v>160</v>
      </c>
      <c r="E151" s="110"/>
      <c r="F151" s="111"/>
      <c r="G151" s="112">
        <v>11322.01</v>
      </c>
      <c r="H151" s="113" cm="1">
        <f t="array" ref="H151">G151/I151</f>
        <v>571.818686868687</v>
      </c>
      <c r="I151" s="114">
        <v>19.8</v>
      </c>
      <c r="J151" s="105"/>
      <c r="K151" s="101"/>
      <c r="L151" s="96"/>
      <c r="M151" s="75"/>
      <c r="N151" s="75"/>
      <c r="O151" s="75"/>
      <c r="P151" s="75"/>
      <c r="Q151" s="75"/>
      <c r="R151" s="75"/>
      <c r="S151" s="75"/>
      <c r="T151" s="75"/>
      <c r="U151" s="75"/>
      <c r="V151" s="75"/>
      <c r="W151" s="75"/>
      <c r="X151" s="75"/>
      <c r="Y151" s="75"/>
      <c r="Z151" s="75"/>
      <c r="AA151" s="75"/>
      <c r="AB151" s="75"/>
    </row>
    <row r="152" ht="12.75" customHeight="1">
      <c r="A152" s="97">
        <v>43119</v>
      </c>
      <c r="B152" s="121">
        <v>7765</v>
      </c>
      <c r="C152" t="s" s="116">
        <v>169</v>
      </c>
      <c r="D152" t="s" s="79">
        <v>183</v>
      </c>
      <c r="E152" s="100"/>
      <c r="F152" s="101"/>
      <c r="G152" s="102">
        <v>20397.96</v>
      </c>
      <c r="H152" s="103">
        <v>1046</v>
      </c>
      <c r="I152" s="104" cm="1">
        <f t="array" ref="I152">G152/H152</f>
        <v>19.5009177820268</v>
      </c>
      <c r="J152" s="105"/>
      <c r="K152" s="101"/>
      <c r="L152" s="96"/>
      <c r="M152" s="75"/>
      <c r="N152" s="75"/>
      <c r="O152" s="75"/>
      <c r="P152" s="75"/>
      <c r="Q152" s="75"/>
      <c r="R152" s="75"/>
      <c r="S152" s="75"/>
      <c r="T152" s="75"/>
      <c r="U152" s="75"/>
      <c r="V152" s="75"/>
      <c r="W152" s="75"/>
      <c r="X152" s="75"/>
      <c r="Y152" s="75"/>
      <c r="Z152" s="75"/>
      <c r="AA152" s="75"/>
      <c r="AB152" s="75"/>
    </row>
    <row r="153" ht="12.75" customHeight="1">
      <c r="A153" s="106">
        <v>43120</v>
      </c>
      <c r="B153" s="124">
        <v>471</v>
      </c>
      <c r="C153" t="s" s="115">
        <v>101</v>
      </c>
      <c r="D153" t="s" s="109">
        <v>168</v>
      </c>
      <c r="E153" s="110"/>
      <c r="F153" s="111"/>
      <c r="G153" s="112">
        <v>848050</v>
      </c>
      <c r="H153" s="113">
        <v>43700</v>
      </c>
      <c r="I153" s="114" cm="1">
        <f t="array" ref="I153">G153/H153</f>
        <v>19.4061784897025</v>
      </c>
      <c r="J153" s="105"/>
      <c r="K153" s="101"/>
      <c r="L153" s="96"/>
      <c r="M153" s="75"/>
      <c r="N153" s="75"/>
      <c r="O153" s="75"/>
      <c r="P153" s="75"/>
      <c r="Q153" s="75"/>
      <c r="R153" s="75"/>
      <c r="S153" s="75"/>
      <c r="T153" s="75"/>
      <c r="U153" s="75"/>
      <c r="V153" s="75"/>
      <c r="W153" s="75"/>
      <c r="X153" s="75"/>
      <c r="Y153" s="75"/>
      <c r="Z153" s="75"/>
      <c r="AA153" s="75"/>
      <c r="AB153" s="75"/>
    </row>
    <row r="154" ht="12.75" customHeight="1">
      <c r="A154" s="97">
        <v>43123</v>
      </c>
      <c r="B154" s="98"/>
      <c r="C154" t="s" s="116">
        <v>34</v>
      </c>
      <c r="D154" t="s" s="79">
        <v>184</v>
      </c>
      <c r="E154" s="100"/>
      <c r="F154" s="101"/>
      <c r="G154" s="102">
        <v>686.36</v>
      </c>
      <c r="H154" s="103" cm="1">
        <f t="array" ref="H154">G154/I154</f>
        <v>34.4904522613065</v>
      </c>
      <c r="I154" s="104">
        <v>19.9</v>
      </c>
      <c r="J154" s="105"/>
      <c r="K154" s="101"/>
      <c r="L154" s="96"/>
      <c r="M154" s="75"/>
      <c r="N154" s="75"/>
      <c r="O154" s="75"/>
      <c r="P154" s="75"/>
      <c r="Q154" s="75"/>
      <c r="R154" s="75"/>
      <c r="S154" s="75"/>
      <c r="T154" s="75"/>
      <c r="U154" s="75"/>
      <c r="V154" s="75"/>
      <c r="W154" s="75"/>
      <c r="X154" s="75"/>
      <c r="Y154" s="75"/>
      <c r="Z154" s="75"/>
      <c r="AA154" s="75"/>
      <c r="AB154" s="75"/>
    </row>
    <row r="155" ht="12.75" customHeight="1">
      <c r="A155" s="106">
        <v>43123</v>
      </c>
      <c r="B155" s="124">
        <v>5785</v>
      </c>
      <c r="C155" t="s" s="115">
        <v>185</v>
      </c>
      <c r="D155" t="s" s="109">
        <v>186</v>
      </c>
      <c r="E155" s="110"/>
      <c r="F155" s="111"/>
      <c r="G155" s="112">
        <v>21450</v>
      </c>
      <c r="H155" s="113">
        <v>1100</v>
      </c>
      <c r="I155" s="114" cm="1">
        <f t="array" ref="I155">G155/H155</f>
        <v>19.5</v>
      </c>
      <c r="J155" s="105"/>
      <c r="K155" s="101"/>
      <c r="L155" s="96"/>
      <c r="M155" s="75"/>
      <c r="N155" s="75"/>
      <c r="O155" s="75"/>
      <c r="P155" s="75"/>
      <c r="Q155" s="75"/>
      <c r="R155" s="75"/>
      <c r="S155" s="75"/>
      <c r="T155" s="75"/>
      <c r="U155" s="75"/>
      <c r="V155" s="75"/>
      <c r="W155" s="75"/>
      <c r="X155" s="75"/>
      <c r="Y155" s="75"/>
      <c r="Z155" s="75"/>
      <c r="AA155" s="75"/>
      <c r="AB155" s="75"/>
    </row>
    <row r="156" ht="12.75" customHeight="1">
      <c r="A156" s="97">
        <v>43125</v>
      </c>
      <c r="B156" t="s" s="78">
        <v>187</v>
      </c>
      <c r="C156" t="s" s="116">
        <v>153</v>
      </c>
      <c r="D156" t="s" s="79">
        <v>160</v>
      </c>
      <c r="E156" s="100"/>
      <c r="F156" s="101"/>
      <c r="G156" s="102">
        <v>5545.08</v>
      </c>
      <c r="H156" s="103" cm="1">
        <f t="array" ref="H156">G156/I156</f>
        <v>277.254</v>
      </c>
      <c r="I156" s="104">
        <v>20</v>
      </c>
      <c r="J156" s="105"/>
      <c r="K156" s="101"/>
      <c r="L156" s="96"/>
      <c r="M156" s="75"/>
      <c r="N156" s="75"/>
      <c r="O156" s="75"/>
      <c r="P156" s="75"/>
      <c r="Q156" s="75"/>
      <c r="R156" s="75"/>
      <c r="S156" s="75"/>
      <c r="T156" s="75"/>
      <c r="U156" s="75"/>
      <c r="V156" s="75"/>
      <c r="W156" s="75"/>
      <c r="X156" s="75"/>
      <c r="Y156" s="75"/>
      <c r="Z156" s="75"/>
      <c r="AA156" s="75"/>
      <c r="AB156" s="75"/>
    </row>
    <row r="157" ht="12.75" customHeight="1">
      <c r="A157" s="106">
        <v>43130</v>
      </c>
      <c r="B157" s="124">
        <v>68855</v>
      </c>
      <c r="C157" t="s" s="116">
        <v>188</v>
      </c>
      <c r="D157" t="s" s="109">
        <v>189</v>
      </c>
      <c r="E157" s="110"/>
      <c r="F157" s="111"/>
      <c r="G157" s="112">
        <v>1160</v>
      </c>
      <c r="H157" s="113" cm="1">
        <f t="array" ref="H157">G157/I157</f>
        <v>58</v>
      </c>
      <c r="I157" s="114" cm="1">
        <f t="array" ref="I157">I156</f>
        <v>20</v>
      </c>
      <c r="J157" s="105"/>
      <c r="K157" s="101"/>
      <c r="L157" s="96"/>
      <c r="M157" s="75"/>
      <c r="N157" s="75"/>
      <c r="O157" s="75"/>
      <c r="P157" s="75"/>
      <c r="Q157" s="75"/>
      <c r="R157" s="75"/>
      <c r="S157" s="75"/>
      <c r="T157" s="75"/>
      <c r="U157" s="75"/>
      <c r="V157" s="75"/>
      <c r="W157" s="75"/>
      <c r="X157" s="75"/>
      <c r="Y157" s="75"/>
      <c r="Z157" s="75"/>
      <c r="AA157" s="75"/>
      <c r="AB157" s="75"/>
    </row>
    <row r="158" ht="12.75" customHeight="1">
      <c r="A158" s="97">
        <v>43138</v>
      </c>
      <c r="B158" s="98"/>
      <c r="C158" t="s" s="116">
        <v>32</v>
      </c>
      <c r="D158" t="s" s="119">
        <v>190</v>
      </c>
      <c r="E158" s="120"/>
      <c r="F158" s="101"/>
      <c r="G158" s="102">
        <v>89597.7</v>
      </c>
      <c r="H158" s="103" cm="1">
        <f t="array" ref="H158">G158/I158</f>
        <v>4502.396984924620</v>
      </c>
      <c r="I158" s="104">
        <v>19.9</v>
      </c>
      <c r="J158" s="105"/>
      <c r="K158" s="101"/>
      <c r="L158" s="96"/>
      <c r="M158" s="75"/>
      <c r="N158" s="75"/>
      <c r="O158" s="75"/>
      <c r="P158" s="75"/>
      <c r="Q158" s="75"/>
      <c r="R158" s="75"/>
      <c r="S158" s="75"/>
      <c r="T158" s="75"/>
      <c r="U158" s="75"/>
      <c r="V158" s="75"/>
      <c r="W158" s="75"/>
      <c r="X158" s="75"/>
      <c r="Y158" s="75"/>
      <c r="Z158" s="75"/>
      <c r="AA158" s="75"/>
      <c r="AB158" s="75"/>
    </row>
    <row r="159" ht="12.75" customHeight="1">
      <c r="A159" s="106">
        <v>43138</v>
      </c>
      <c r="B159" s="107"/>
      <c r="C159" t="s" s="115">
        <v>99</v>
      </c>
      <c r="D159" t="s" s="109">
        <v>191</v>
      </c>
      <c r="E159" s="110"/>
      <c r="F159" s="111"/>
      <c r="G159" s="112">
        <v>1031.36</v>
      </c>
      <c r="H159" s="113" cm="1">
        <f t="array" ref="H159">G159/I159</f>
        <v>51.827135678392</v>
      </c>
      <c r="I159" s="114">
        <v>19.9</v>
      </c>
      <c r="J159" s="105"/>
      <c r="K159" s="101"/>
      <c r="L159" s="96"/>
      <c r="M159" s="75"/>
      <c r="N159" s="75"/>
      <c r="O159" s="75"/>
      <c r="P159" s="75"/>
      <c r="Q159" s="75"/>
      <c r="R159" s="75"/>
      <c r="S159" s="75"/>
      <c r="T159" s="75"/>
      <c r="U159" s="75"/>
      <c r="V159" s="75"/>
      <c r="W159" s="75"/>
      <c r="X159" s="75"/>
      <c r="Y159" s="75"/>
      <c r="Z159" s="75"/>
      <c r="AA159" s="75"/>
      <c r="AB159" s="75"/>
    </row>
    <row r="160" ht="12.75" customHeight="1">
      <c r="A160" s="97">
        <v>43149</v>
      </c>
      <c r="B160" s="121">
        <v>105</v>
      </c>
      <c r="C160" t="s" s="116">
        <v>185</v>
      </c>
      <c r="D160" t="s" s="79">
        <v>192</v>
      </c>
      <c r="E160" s="100"/>
      <c r="F160" s="101"/>
      <c r="G160" s="102">
        <v>38000</v>
      </c>
      <c r="H160" s="103">
        <v>1800</v>
      </c>
      <c r="I160" s="104" cm="1">
        <f t="array" ref="I160">G160/H160</f>
        <v>21.1111111111111</v>
      </c>
      <c r="J160" s="105"/>
      <c r="K160" s="101"/>
      <c r="L160" s="96"/>
      <c r="M160" s="75"/>
      <c r="N160" s="75"/>
      <c r="O160" s="75"/>
      <c r="P160" s="75"/>
      <c r="Q160" s="75"/>
      <c r="R160" s="75"/>
      <c r="S160" s="75"/>
      <c r="T160" s="75"/>
      <c r="U160" s="75"/>
      <c r="V160" s="75"/>
      <c r="W160" s="75"/>
      <c r="X160" s="75"/>
      <c r="Y160" s="75"/>
      <c r="Z160" s="75"/>
      <c r="AA160" s="75"/>
      <c r="AB160" s="75"/>
    </row>
    <row r="161" ht="12.75" customHeight="1">
      <c r="A161" s="106">
        <v>43150</v>
      </c>
      <c r="B161" s="124">
        <v>478</v>
      </c>
      <c r="C161" t="s" s="115">
        <v>101</v>
      </c>
      <c r="D161" t="s" s="109">
        <v>168</v>
      </c>
      <c r="E161" s="110"/>
      <c r="F161" s="111"/>
      <c r="G161" s="112">
        <v>605750</v>
      </c>
      <c r="H161" s="113">
        <v>29850</v>
      </c>
      <c r="I161" s="114" cm="1">
        <f t="array" ref="I161">G161/H161</f>
        <v>20.2931323283082</v>
      </c>
      <c r="J161" s="105"/>
      <c r="K161" s="101"/>
      <c r="L161" s="96"/>
      <c r="M161" s="75"/>
      <c r="N161" s="75"/>
      <c r="O161" s="75"/>
      <c r="P161" s="75"/>
      <c r="Q161" s="75"/>
      <c r="R161" s="75"/>
      <c r="S161" s="75"/>
      <c r="T161" s="75"/>
      <c r="U161" s="75"/>
      <c r="V161" s="75"/>
      <c r="W161" s="75"/>
      <c r="X161" s="75"/>
      <c r="Y161" s="75"/>
      <c r="Z161" s="75"/>
      <c r="AA161" s="75"/>
      <c r="AB161" s="75"/>
    </row>
    <row r="162" ht="12.75" customHeight="1">
      <c r="A162" s="97">
        <v>43167</v>
      </c>
      <c r="B162" s="98"/>
      <c r="C162" t="s" s="116">
        <v>99</v>
      </c>
      <c r="D162" t="s" s="79">
        <v>193</v>
      </c>
      <c r="E162" s="100"/>
      <c r="F162" s="101"/>
      <c r="G162" s="102">
        <v>1034.95</v>
      </c>
      <c r="H162" s="103" cm="1">
        <f t="array" ref="H162">G162/I162</f>
        <v>49.9975845410628</v>
      </c>
      <c r="I162" s="104">
        <v>20.7</v>
      </c>
      <c r="J162" s="105"/>
      <c r="K162" s="101"/>
      <c r="L162" s="96"/>
      <c r="M162" s="75"/>
      <c r="N162" s="75"/>
      <c r="O162" s="75"/>
      <c r="P162" s="75"/>
      <c r="Q162" s="75"/>
      <c r="R162" s="75"/>
      <c r="S162" s="75"/>
      <c r="T162" s="75"/>
      <c r="U162" s="75"/>
      <c r="V162" s="75"/>
      <c r="W162" s="75"/>
      <c r="X162" s="75"/>
      <c r="Y162" s="75"/>
      <c r="Z162" s="75"/>
      <c r="AA162" s="75"/>
      <c r="AB162" s="75"/>
    </row>
    <row r="163" ht="12.75" customHeight="1">
      <c r="A163" s="106">
        <v>43167</v>
      </c>
      <c r="B163" s="107"/>
      <c r="C163" t="s" s="115">
        <v>34</v>
      </c>
      <c r="D163" t="s" s="109">
        <v>194</v>
      </c>
      <c r="E163" s="110"/>
      <c r="F163" s="111"/>
      <c r="G163" s="112">
        <v>687.7</v>
      </c>
      <c r="H163" s="113" cm="1">
        <f t="array" ref="H163">G163/I163</f>
        <v>33.2222222222222</v>
      </c>
      <c r="I163" s="114" cm="1">
        <f t="array" ref="I163">I162</f>
        <v>20.7</v>
      </c>
      <c r="J163" s="105"/>
      <c r="K163" s="101"/>
      <c r="L163" s="96"/>
      <c r="M163" s="75"/>
      <c r="N163" s="75"/>
      <c r="O163" s="75"/>
      <c r="P163" s="75"/>
      <c r="Q163" s="75"/>
      <c r="R163" s="75"/>
      <c r="S163" s="75"/>
      <c r="T163" s="75"/>
      <c r="U163" s="75"/>
      <c r="V163" s="75"/>
      <c r="W163" s="75"/>
      <c r="X163" s="75"/>
      <c r="Y163" s="75"/>
      <c r="Z163" s="75"/>
      <c r="AA163" s="75"/>
      <c r="AB163" s="75"/>
    </row>
    <row r="164" ht="12.75" customHeight="1">
      <c r="A164" s="97">
        <v>43173</v>
      </c>
      <c r="B164" s="121">
        <v>69770</v>
      </c>
      <c r="C164" t="s" s="116">
        <v>67</v>
      </c>
      <c r="D164" t="s" s="79">
        <v>87</v>
      </c>
      <c r="E164" s="100"/>
      <c r="F164" s="101"/>
      <c r="G164" s="102">
        <v>666325</v>
      </c>
      <c r="H164" s="103">
        <v>32503</v>
      </c>
      <c r="I164" s="104" cm="1">
        <f t="array" ref="I164">G164/H164</f>
        <v>20.5004153462757</v>
      </c>
      <c r="J164" s="105"/>
      <c r="K164" s="101"/>
      <c r="L164" s="96"/>
      <c r="M164" s="75"/>
      <c r="N164" s="75"/>
      <c r="O164" s="75"/>
      <c r="P164" s="75"/>
      <c r="Q164" s="75"/>
      <c r="R164" s="75"/>
      <c r="S164" s="75"/>
      <c r="T164" s="75"/>
      <c r="U164" s="75"/>
      <c r="V164" s="75"/>
      <c r="W164" s="75"/>
      <c r="X164" s="75"/>
      <c r="Y164" s="75"/>
      <c r="Z164" s="75"/>
      <c r="AA164" s="75"/>
      <c r="AB164" s="75"/>
    </row>
    <row r="165" ht="12.75" customHeight="1">
      <c r="A165" s="106">
        <v>43182</v>
      </c>
      <c r="B165" s="107"/>
      <c r="C165" t="s" s="115">
        <v>34</v>
      </c>
      <c r="D165" t="s" s="109">
        <v>195</v>
      </c>
      <c r="E165" s="110"/>
      <c r="F165" s="111"/>
      <c r="G165" s="112">
        <v>1630.97</v>
      </c>
      <c r="H165" s="113" cm="1">
        <f t="array" ref="H165">G165/I165</f>
        <v>77.6652380952381</v>
      </c>
      <c r="I165" s="114">
        <v>21</v>
      </c>
      <c r="J165" s="105"/>
      <c r="K165" s="101"/>
      <c r="L165" s="96"/>
      <c r="M165" s="75"/>
      <c r="N165" s="75"/>
      <c r="O165" s="75"/>
      <c r="P165" s="75"/>
      <c r="Q165" s="75"/>
      <c r="R165" s="75"/>
      <c r="S165" s="75"/>
      <c r="T165" s="75"/>
      <c r="U165" s="75"/>
      <c r="V165" s="75"/>
      <c r="W165" s="75"/>
      <c r="X165" s="75"/>
      <c r="Y165" s="75"/>
      <c r="Z165" s="75"/>
      <c r="AA165" s="75"/>
      <c r="AB165" s="75"/>
    </row>
    <row r="166" ht="12.75" customHeight="1">
      <c r="A166" s="97">
        <v>43182</v>
      </c>
      <c r="B166" s="121">
        <v>9518</v>
      </c>
      <c r="C166" t="s" s="116">
        <v>196</v>
      </c>
      <c r="D166" t="s" s="79">
        <v>197</v>
      </c>
      <c r="E166" s="100"/>
      <c r="F166" s="101"/>
      <c r="G166" s="102">
        <v>2581</v>
      </c>
      <c r="H166" s="103">
        <v>125</v>
      </c>
      <c r="I166" s="104" cm="1">
        <f t="array" ref="I166">G166/H166</f>
        <v>20.648</v>
      </c>
      <c r="J166" s="105"/>
      <c r="K166" s="101"/>
      <c r="L166" s="96"/>
      <c r="M166" s="75"/>
      <c r="N166" s="75"/>
      <c r="O166" s="75"/>
      <c r="P166" s="75"/>
      <c r="Q166" s="75"/>
      <c r="R166" s="75"/>
      <c r="S166" s="75"/>
      <c r="T166" s="75"/>
      <c r="U166" s="75"/>
      <c r="V166" s="75"/>
      <c r="W166" s="75"/>
      <c r="X166" s="75"/>
      <c r="Y166" s="75"/>
      <c r="Z166" s="75"/>
      <c r="AA166" s="75"/>
      <c r="AB166" s="75"/>
    </row>
    <row r="167" ht="12.75" customHeight="1">
      <c r="A167" s="106">
        <v>43185</v>
      </c>
      <c r="B167" s="124">
        <v>4982</v>
      </c>
      <c r="C167" t="s" s="115">
        <v>198</v>
      </c>
      <c r="D167" t="s" s="109">
        <v>199</v>
      </c>
      <c r="E167" s="110"/>
      <c r="F167" s="111"/>
      <c r="G167" s="112">
        <v>1581.95</v>
      </c>
      <c r="H167" s="113" cm="1">
        <f t="array" ref="H167">G167/I167</f>
        <v>77.54656862745099</v>
      </c>
      <c r="I167" s="114">
        <v>20.4</v>
      </c>
      <c r="J167" s="105"/>
      <c r="K167" s="101"/>
      <c r="L167" s="96"/>
      <c r="M167" s="75"/>
      <c r="N167" s="75"/>
      <c r="O167" s="75"/>
      <c r="P167" s="75"/>
      <c r="Q167" s="75"/>
      <c r="R167" s="75"/>
      <c r="S167" s="75"/>
      <c r="T167" s="75"/>
      <c r="U167" s="75"/>
      <c r="V167" s="75"/>
      <c r="W167" s="75"/>
      <c r="X167" s="75"/>
      <c r="Y167" s="75"/>
      <c r="Z167" s="75"/>
      <c r="AA167" s="75"/>
      <c r="AB167" s="75"/>
    </row>
    <row r="168" ht="12.75" customHeight="1">
      <c r="A168" s="97">
        <v>43187</v>
      </c>
      <c r="B168" s="121">
        <v>4573</v>
      </c>
      <c r="C168" t="s" s="116">
        <v>67</v>
      </c>
      <c r="D168" t="s" s="79">
        <v>200</v>
      </c>
      <c r="E168" s="100"/>
      <c r="F168" s="101"/>
      <c r="G168" s="102">
        <v>19374.43</v>
      </c>
      <c r="H168" s="103">
        <v>946</v>
      </c>
      <c r="I168" s="104" cm="1">
        <f t="array" ref="I168">G168/H168</f>
        <v>20.4803699788584</v>
      </c>
      <c r="J168" s="105"/>
      <c r="K168" s="101"/>
      <c r="L168" s="96"/>
      <c r="M168" s="75"/>
      <c r="N168" s="75"/>
      <c r="O168" s="75"/>
      <c r="P168" s="75"/>
      <c r="Q168" s="75"/>
      <c r="R168" s="75"/>
      <c r="S168" s="75"/>
      <c r="T168" s="75"/>
      <c r="U168" s="75"/>
      <c r="V168" s="75"/>
      <c r="W168" s="75"/>
      <c r="X168" s="75"/>
      <c r="Y168" s="75"/>
      <c r="Z168" s="75"/>
      <c r="AA168" s="75"/>
      <c r="AB168" s="75"/>
    </row>
    <row r="169" ht="12.75" customHeight="1">
      <c r="A169" s="106">
        <v>43196</v>
      </c>
      <c r="B169" s="124">
        <v>1918</v>
      </c>
      <c r="C169" t="s" s="115">
        <v>153</v>
      </c>
      <c r="D169" t="s" s="109">
        <v>201</v>
      </c>
      <c r="E169" s="110"/>
      <c r="F169" s="111"/>
      <c r="G169" s="112">
        <v>2434.02</v>
      </c>
      <c r="H169" s="113">
        <v>118</v>
      </c>
      <c r="I169" s="114" cm="1">
        <f t="array" ref="I169">G169/H169</f>
        <v>20.6272881355932</v>
      </c>
      <c r="J169" s="105"/>
      <c r="K169" s="101"/>
      <c r="L169" s="96"/>
      <c r="M169" s="75"/>
      <c r="N169" s="75"/>
      <c r="O169" s="75"/>
      <c r="P169" s="75"/>
      <c r="Q169" s="75"/>
      <c r="R169" s="75"/>
      <c r="S169" s="75"/>
      <c r="T169" s="75"/>
      <c r="U169" s="75"/>
      <c r="V169" s="75"/>
      <c r="W169" s="75"/>
      <c r="X169" s="75"/>
      <c r="Y169" s="75"/>
      <c r="Z169" s="75"/>
      <c r="AA169" s="75"/>
      <c r="AB169" s="75"/>
    </row>
    <row r="170" ht="12.75" customHeight="1">
      <c r="A170" s="97">
        <v>43201</v>
      </c>
      <c r="B170" s="98"/>
      <c r="C170" t="s" s="116">
        <v>99</v>
      </c>
      <c r="D170" t="s" s="79">
        <v>202</v>
      </c>
      <c r="E170" s="100"/>
      <c r="F170" s="101"/>
      <c r="G170" s="102">
        <v>1093.89</v>
      </c>
      <c r="H170" s="103" cm="1">
        <f t="array" ref="H170">G170/I170</f>
        <v>52.8449275362319</v>
      </c>
      <c r="I170" s="104">
        <v>20.7</v>
      </c>
      <c r="J170" s="105"/>
      <c r="K170" s="101"/>
      <c r="L170" s="96"/>
      <c r="M170" s="75"/>
      <c r="N170" s="75"/>
      <c r="O170" s="75"/>
      <c r="P170" s="75"/>
      <c r="Q170" s="75"/>
      <c r="R170" s="75"/>
      <c r="S170" s="75"/>
      <c r="T170" s="75"/>
      <c r="U170" s="75"/>
      <c r="V170" s="75"/>
      <c r="W170" s="75"/>
      <c r="X170" s="75"/>
      <c r="Y170" s="75"/>
      <c r="Z170" s="75"/>
      <c r="AA170" s="75"/>
      <c r="AB170" s="75"/>
    </row>
    <row r="171" ht="12.75" customHeight="1">
      <c r="A171" s="106">
        <v>43213</v>
      </c>
      <c r="B171" s="107"/>
      <c r="C171" t="s" s="115">
        <v>34</v>
      </c>
      <c r="D171" t="s" s="109">
        <v>203</v>
      </c>
      <c r="E171" s="110"/>
      <c r="F171" s="111"/>
      <c r="G171" s="112">
        <v>1588.04</v>
      </c>
      <c r="H171" s="113">
        <v>77.98999999999999</v>
      </c>
      <c r="I171" s="114" cm="1">
        <f t="array" ref="I171">G171/H171</f>
        <v>20.362097704834</v>
      </c>
      <c r="J171" s="105"/>
      <c r="K171" s="101"/>
      <c r="L171" s="96"/>
      <c r="M171" s="75"/>
      <c r="N171" s="75"/>
      <c r="O171" s="75"/>
      <c r="P171" s="75"/>
      <c r="Q171" s="75"/>
      <c r="R171" s="75"/>
      <c r="S171" s="75"/>
      <c r="T171" s="75"/>
      <c r="U171" s="75"/>
      <c r="V171" s="75"/>
      <c r="W171" s="75"/>
      <c r="X171" s="75"/>
      <c r="Y171" s="75"/>
      <c r="Z171" s="75"/>
      <c r="AA171" s="75"/>
      <c r="AB171" s="75"/>
    </row>
    <row r="172" ht="12.75" customHeight="1">
      <c r="A172" s="97">
        <v>43234</v>
      </c>
      <c r="B172" s="98"/>
      <c r="C172" t="s" s="116">
        <v>99</v>
      </c>
      <c r="D172" t="s" s="79">
        <v>204</v>
      </c>
      <c r="E172" s="100"/>
      <c r="F172" s="101"/>
      <c r="G172" s="102">
        <v>1098.3</v>
      </c>
      <c r="H172" s="103" cm="1">
        <f t="array" ref="H172">G172/I172</f>
        <v>40.9813432835821</v>
      </c>
      <c r="I172" s="104">
        <v>26.8</v>
      </c>
      <c r="J172" s="105"/>
      <c r="K172" s="101"/>
      <c r="L172" s="96"/>
      <c r="M172" s="75"/>
      <c r="N172" s="75"/>
      <c r="O172" s="75"/>
      <c r="P172" s="75"/>
      <c r="Q172" s="75"/>
      <c r="R172" s="75"/>
      <c r="S172" s="75"/>
      <c r="T172" s="75"/>
      <c r="U172" s="75"/>
      <c r="V172" s="75"/>
      <c r="W172" s="75"/>
      <c r="X172" s="75"/>
      <c r="Y172" s="75"/>
      <c r="Z172" s="75"/>
      <c r="AA172" s="75"/>
      <c r="AB172" s="75"/>
    </row>
    <row r="173" ht="12.75" customHeight="1">
      <c r="A173" s="106">
        <v>43243</v>
      </c>
      <c r="B173" s="107"/>
      <c r="C173" t="s" s="115">
        <v>34</v>
      </c>
      <c r="D173" t="s" s="109">
        <v>205</v>
      </c>
      <c r="E173" s="110"/>
      <c r="F173" s="111"/>
      <c r="G173" s="112">
        <v>1448.49</v>
      </c>
      <c r="H173" s="113">
        <v>57</v>
      </c>
      <c r="I173" s="114" cm="1">
        <f t="array" ref="I173">G173/H173</f>
        <v>25.4121052631579</v>
      </c>
      <c r="J173" s="105"/>
      <c r="K173" s="101"/>
      <c r="L173" s="96"/>
      <c r="M173" s="75"/>
      <c r="N173" s="75"/>
      <c r="O173" s="75"/>
      <c r="P173" s="75"/>
      <c r="Q173" s="75"/>
      <c r="R173" s="75"/>
      <c r="S173" s="75"/>
      <c r="T173" s="75"/>
      <c r="U173" s="75"/>
      <c r="V173" s="75"/>
      <c r="W173" s="75"/>
      <c r="X173" s="75"/>
      <c r="Y173" s="75"/>
      <c r="Z173" s="75"/>
      <c r="AA173" s="75"/>
      <c r="AB173" s="75"/>
    </row>
    <row r="174" ht="12.75" customHeight="1">
      <c r="A174" s="97">
        <v>43249</v>
      </c>
      <c r="B174" s="98"/>
      <c r="C174" t="s" s="116">
        <v>153</v>
      </c>
      <c r="D174" t="s" s="79">
        <v>160</v>
      </c>
      <c r="E174" s="100"/>
      <c r="F174" s="101"/>
      <c r="G174" s="102">
        <v>7980</v>
      </c>
      <c r="H174" s="103" cm="1">
        <f t="array" ref="H174">G174/I174</f>
        <v>310.505836575875</v>
      </c>
      <c r="I174" s="104">
        <v>25.7</v>
      </c>
      <c r="J174" s="105"/>
      <c r="K174" s="101"/>
      <c r="L174" s="96"/>
      <c r="M174" s="75"/>
      <c r="N174" s="75"/>
      <c r="O174" s="75"/>
      <c r="P174" s="75"/>
      <c r="Q174" s="75"/>
      <c r="R174" s="75"/>
      <c r="S174" s="75"/>
      <c r="T174" s="75"/>
      <c r="U174" s="75"/>
      <c r="V174" s="75"/>
      <c r="W174" s="75"/>
      <c r="X174" s="75"/>
      <c r="Y174" s="75"/>
      <c r="Z174" s="75"/>
      <c r="AA174" s="75"/>
      <c r="AB174" s="75"/>
    </row>
    <row r="175" ht="12.75" customHeight="1">
      <c r="A175" s="106">
        <v>43256</v>
      </c>
      <c r="B175" s="124">
        <v>3101</v>
      </c>
      <c r="C175" t="s" s="115">
        <v>206</v>
      </c>
      <c r="D175" t="s" s="109">
        <v>207</v>
      </c>
      <c r="E175" s="110"/>
      <c r="F175" s="111"/>
      <c r="G175" s="112">
        <v>1000</v>
      </c>
      <c r="H175" s="113">
        <v>40</v>
      </c>
      <c r="I175" s="114" cm="1">
        <f t="array" ref="I175">G175/H175</f>
        <v>25</v>
      </c>
      <c r="J175" s="105"/>
      <c r="K175" s="101"/>
      <c r="L175" s="96"/>
      <c r="M175" s="75"/>
      <c r="N175" s="75"/>
      <c r="O175" s="75"/>
      <c r="P175" s="75"/>
      <c r="Q175" s="75"/>
      <c r="R175" s="75"/>
      <c r="S175" s="75"/>
      <c r="T175" s="75"/>
      <c r="U175" s="75"/>
      <c r="V175" s="75"/>
      <c r="W175" s="75"/>
      <c r="X175" s="75"/>
      <c r="Y175" s="75"/>
      <c r="Z175" s="75"/>
      <c r="AA175" s="75"/>
      <c r="AB175" s="75"/>
    </row>
    <row r="176" ht="12.75" customHeight="1">
      <c r="A176" s="97">
        <v>43262</v>
      </c>
      <c r="B176" s="98"/>
      <c r="C176" t="s" s="116">
        <v>99</v>
      </c>
      <c r="D176" t="s" s="79">
        <v>208</v>
      </c>
      <c r="E176" s="100"/>
      <c r="F176" s="101"/>
      <c r="G176" s="102">
        <v>2141.16</v>
      </c>
      <c r="H176" s="103" cm="1">
        <f t="array" ref="H176">G176/I176</f>
        <v>82.67027027027029</v>
      </c>
      <c r="I176" s="104">
        <v>25.9</v>
      </c>
      <c r="J176" s="105"/>
      <c r="K176" s="101"/>
      <c r="L176" s="96"/>
      <c r="M176" s="75"/>
      <c r="N176" s="75"/>
      <c r="O176" s="75"/>
      <c r="P176" s="75"/>
      <c r="Q176" s="75"/>
      <c r="R176" s="75"/>
      <c r="S176" s="75"/>
      <c r="T176" s="75"/>
      <c r="U176" s="75"/>
      <c r="V176" s="75"/>
      <c r="W176" s="75"/>
      <c r="X176" s="75"/>
      <c r="Y176" s="75"/>
      <c r="Z176" s="75"/>
      <c r="AA176" s="75"/>
      <c r="AB176" s="75"/>
    </row>
    <row r="177" ht="12.75" customHeight="1">
      <c r="A177" s="106">
        <v>43264</v>
      </c>
      <c r="B177" s="124">
        <v>494</v>
      </c>
      <c r="C177" t="s" s="115">
        <v>101</v>
      </c>
      <c r="D177" t="s" s="109">
        <v>209</v>
      </c>
      <c r="E177" s="110"/>
      <c r="F177" s="111"/>
      <c r="G177" s="112">
        <v>181500</v>
      </c>
      <c r="H177" s="113">
        <v>6260</v>
      </c>
      <c r="I177" s="114">
        <v>29</v>
      </c>
      <c r="J177" s="105"/>
      <c r="K177" s="101"/>
      <c r="L177" s="96"/>
      <c r="M177" s="75"/>
      <c r="N177" s="75"/>
      <c r="O177" s="75"/>
      <c r="P177" s="75"/>
      <c r="Q177" s="75"/>
      <c r="R177" s="75"/>
      <c r="S177" s="75"/>
      <c r="T177" s="75"/>
      <c r="U177" s="75"/>
      <c r="V177" s="75"/>
      <c r="W177" s="75"/>
      <c r="X177" s="75"/>
      <c r="Y177" s="75"/>
      <c r="Z177" s="75"/>
      <c r="AA177" s="75"/>
      <c r="AB177" s="75"/>
    </row>
    <row r="178" ht="12.75" customHeight="1">
      <c r="A178" s="97">
        <v>43273</v>
      </c>
      <c r="B178" s="98"/>
      <c r="C178" t="s" s="116">
        <v>34</v>
      </c>
      <c r="D178" t="s" s="79">
        <v>210</v>
      </c>
      <c r="E178" s="100"/>
      <c r="F178" s="101"/>
      <c r="G178" s="102">
        <v>873.67</v>
      </c>
      <c r="H178" s="103" cm="1">
        <f t="array" ref="H178">G178/I178</f>
        <v>31.2025</v>
      </c>
      <c r="I178" s="104">
        <v>28</v>
      </c>
      <c r="J178" s="105"/>
      <c r="K178" s="101"/>
      <c r="L178" s="96"/>
      <c r="M178" s="75"/>
      <c r="N178" s="75"/>
      <c r="O178" s="75"/>
      <c r="P178" s="75"/>
      <c r="Q178" s="75"/>
      <c r="R178" s="75"/>
      <c r="S178" s="75"/>
      <c r="T178" s="75"/>
      <c r="U178" s="75"/>
      <c r="V178" s="75"/>
      <c r="W178" s="75"/>
      <c r="X178" s="75"/>
      <c r="Y178" s="75"/>
      <c r="Z178" s="75"/>
      <c r="AA178" s="75"/>
      <c r="AB178" s="75"/>
    </row>
    <row r="179" ht="12.75" customHeight="1">
      <c r="A179" s="106">
        <v>43273</v>
      </c>
      <c r="B179" s="124">
        <v>796</v>
      </c>
      <c r="C179" t="s" s="115">
        <v>211</v>
      </c>
      <c r="D179" t="s" s="109">
        <v>212</v>
      </c>
      <c r="E179" s="110"/>
      <c r="F179" s="111"/>
      <c r="G179" s="112">
        <v>43000</v>
      </c>
      <c r="H179" s="113" cm="1">
        <f t="array" ref="H179">G179/I179</f>
        <v>1535.714285714290</v>
      </c>
      <c r="I179" s="114">
        <v>28</v>
      </c>
      <c r="J179" s="105"/>
      <c r="K179" s="101"/>
      <c r="L179" s="96"/>
      <c r="M179" s="75"/>
      <c r="N179" s="75"/>
      <c r="O179" s="75"/>
      <c r="P179" s="75"/>
      <c r="Q179" s="75"/>
      <c r="R179" s="75"/>
      <c r="S179" s="75"/>
      <c r="T179" s="75"/>
      <c r="U179" s="75"/>
      <c r="V179" s="75"/>
      <c r="W179" s="75"/>
      <c r="X179" s="75"/>
      <c r="Y179" s="75"/>
      <c r="Z179" s="75"/>
      <c r="AA179" s="75"/>
      <c r="AB179" s="75"/>
    </row>
    <row r="180" ht="12.75" customHeight="1">
      <c r="A180" s="97">
        <v>43273</v>
      </c>
      <c r="B180" s="140">
        <v>4103</v>
      </c>
      <c r="C180" t="s" s="123">
        <v>169</v>
      </c>
      <c r="D180" t="s" s="79">
        <v>213</v>
      </c>
      <c r="E180" s="100"/>
      <c r="F180" s="101"/>
      <c r="G180" s="102">
        <v>464872.5</v>
      </c>
      <c r="H180" s="103">
        <v>17500</v>
      </c>
      <c r="I180" s="104" cm="1">
        <f t="array" ref="I180">I179</f>
        <v>28</v>
      </c>
      <c r="J180" s="105"/>
      <c r="K180" s="101"/>
      <c r="L180" s="96"/>
      <c r="M180" s="75"/>
      <c r="N180" s="75"/>
      <c r="O180" s="75"/>
      <c r="P180" s="75"/>
      <c r="Q180" s="75"/>
      <c r="R180" s="75"/>
      <c r="S180" s="75"/>
      <c r="T180" s="75"/>
      <c r="U180" s="75"/>
      <c r="V180" s="75"/>
      <c r="W180" s="75"/>
      <c r="X180" s="75"/>
      <c r="Y180" s="75"/>
      <c r="Z180" s="75"/>
      <c r="AA180" s="75"/>
      <c r="AB180" s="75"/>
    </row>
    <row r="181" ht="12.75" customHeight="1">
      <c r="A181" s="106">
        <v>43292</v>
      </c>
      <c r="B181" s="107"/>
      <c r="C181" t="s" s="115">
        <v>99</v>
      </c>
      <c r="D181" t="s" s="109">
        <v>214</v>
      </c>
      <c r="E181" s="110"/>
      <c r="F181" s="111"/>
      <c r="G181" s="112">
        <v>2141.16</v>
      </c>
      <c r="H181" s="113" cm="1">
        <f t="array" ref="H181">G181/I181</f>
        <v>76.47</v>
      </c>
      <c r="I181" s="114" cm="1">
        <f t="array" ref="I181">I180</f>
        <v>28</v>
      </c>
      <c r="J181" s="105"/>
      <c r="K181" s="101"/>
      <c r="L181" s="96"/>
      <c r="M181" s="75"/>
      <c r="N181" s="75"/>
      <c r="O181" s="75"/>
      <c r="P181" s="75"/>
      <c r="Q181" s="75"/>
      <c r="R181" s="75"/>
      <c r="S181" s="75"/>
      <c r="T181" s="75"/>
      <c r="U181" s="75"/>
      <c r="V181" s="75"/>
      <c r="W181" s="75"/>
      <c r="X181" s="75"/>
      <c r="Y181" s="75"/>
      <c r="Z181" s="75"/>
      <c r="AA181" s="75"/>
      <c r="AB181" s="75"/>
    </row>
    <row r="182" ht="12.75" customHeight="1">
      <c r="A182" s="97">
        <v>43293</v>
      </c>
      <c r="B182" s="98"/>
      <c r="C182" t="s" s="116">
        <v>41</v>
      </c>
      <c r="D182" t="s" s="119">
        <v>215</v>
      </c>
      <c r="E182" s="120"/>
      <c r="F182" s="101"/>
      <c r="G182" s="102">
        <v>35654.26</v>
      </c>
      <c r="H182" s="103" cm="1">
        <f t="array" ref="H182">G182/I182</f>
        <v>1273.366428571430</v>
      </c>
      <c r="I182" s="104">
        <v>28</v>
      </c>
      <c r="J182" s="105"/>
      <c r="K182" s="101"/>
      <c r="L182" s="96"/>
      <c r="M182" s="75"/>
      <c r="N182" s="75"/>
      <c r="O182" s="75"/>
      <c r="P182" s="75"/>
      <c r="Q182" s="75"/>
      <c r="R182" s="75"/>
      <c r="S182" s="75"/>
      <c r="T182" s="75"/>
      <c r="U182" s="75"/>
      <c r="V182" s="75"/>
      <c r="W182" s="75"/>
      <c r="X182" s="75"/>
      <c r="Y182" s="75"/>
      <c r="Z182" s="75"/>
      <c r="AA182" s="75"/>
      <c r="AB182" s="75"/>
    </row>
    <row r="183" ht="12.75" customHeight="1">
      <c r="A183" s="106">
        <v>43293</v>
      </c>
      <c r="B183" s="107"/>
      <c r="C183" t="s" s="115">
        <v>41</v>
      </c>
      <c r="D183" t="s" s="109">
        <v>216</v>
      </c>
      <c r="E183" s="110"/>
      <c r="F183" s="111"/>
      <c r="G183" s="112">
        <v>6343.66</v>
      </c>
      <c r="H183" s="113" cm="1">
        <f t="array" ref="H183">G183/I183</f>
        <v>226.559285714286</v>
      </c>
      <c r="I183" s="114" cm="1">
        <f t="array" ref="I183">I182</f>
        <v>28</v>
      </c>
      <c r="J183" s="105"/>
      <c r="K183" s="101"/>
      <c r="L183" s="96"/>
      <c r="M183" s="75"/>
      <c r="N183" s="75"/>
      <c r="O183" s="75"/>
      <c r="P183" s="75"/>
      <c r="Q183" s="75"/>
      <c r="R183" s="75"/>
      <c r="S183" s="75"/>
      <c r="T183" s="75"/>
      <c r="U183" s="75"/>
      <c r="V183" s="75"/>
      <c r="W183" s="75"/>
      <c r="X183" s="75"/>
      <c r="Y183" s="75"/>
      <c r="Z183" s="75"/>
      <c r="AA183" s="75"/>
      <c r="AB183" s="75"/>
    </row>
    <row r="184" ht="12.75" customHeight="1">
      <c r="A184" s="97">
        <v>43293</v>
      </c>
      <c r="B184" s="98"/>
      <c r="C184" t="s" s="116">
        <v>41</v>
      </c>
      <c r="D184" t="s" s="79">
        <v>217</v>
      </c>
      <c r="E184" s="100"/>
      <c r="F184" s="101"/>
      <c r="G184" s="102">
        <v>172.95</v>
      </c>
      <c r="H184" s="103" cm="1">
        <f t="array" ref="H184">G184/I184</f>
        <v>6.17678571428571</v>
      </c>
      <c r="I184" s="104" cm="1">
        <f t="array" ref="I184">I183</f>
        <v>28</v>
      </c>
      <c r="J184" s="105"/>
      <c r="K184" s="101"/>
      <c r="L184" s="96"/>
      <c r="M184" s="75"/>
      <c r="N184" s="75"/>
      <c r="O184" s="75"/>
      <c r="P184" s="75"/>
      <c r="Q184" s="75"/>
      <c r="R184" s="75"/>
      <c r="S184" s="75"/>
      <c r="T184" s="75"/>
      <c r="U184" s="75"/>
      <c r="V184" s="75"/>
      <c r="W184" s="75"/>
      <c r="X184" s="75"/>
      <c r="Y184" s="75"/>
      <c r="Z184" s="75"/>
      <c r="AA184" s="75"/>
      <c r="AB184" s="75"/>
    </row>
    <row r="185" ht="12.75" customHeight="1">
      <c r="A185" s="106">
        <v>43293</v>
      </c>
      <c r="B185" s="124">
        <v>4135</v>
      </c>
      <c r="C185" t="s" s="115">
        <v>218</v>
      </c>
      <c r="D185" t="s" s="117">
        <v>219</v>
      </c>
      <c r="E185" s="141"/>
      <c r="F185" s="142"/>
      <c r="G185" s="112">
        <v>7032.3</v>
      </c>
      <c r="H185" s="113" cm="1">
        <f t="array" ref="H185">G185/I185</f>
        <v>249.992890152862</v>
      </c>
      <c r="I185" s="114">
        <v>28.13</v>
      </c>
      <c r="J185" s="105"/>
      <c r="K185" s="101"/>
      <c r="L185" s="96"/>
      <c r="M185" s="75"/>
      <c r="N185" s="75"/>
      <c r="O185" s="75"/>
      <c r="P185" s="75"/>
      <c r="Q185" s="75"/>
      <c r="R185" s="75"/>
      <c r="S185" s="75"/>
      <c r="T185" s="75"/>
      <c r="U185" s="75"/>
      <c r="V185" s="75"/>
      <c r="W185" s="75"/>
      <c r="X185" s="75"/>
      <c r="Y185" s="75"/>
      <c r="Z185" s="75"/>
      <c r="AA185" s="75"/>
      <c r="AB185" s="75"/>
    </row>
    <row r="186" ht="12.75" customHeight="1">
      <c r="A186" s="97">
        <v>43302</v>
      </c>
      <c r="B186" s="121">
        <v>32082</v>
      </c>
      <c r="C186" t="s" s="116">
        <v>220</v>
      </c>
      <c r="D186" t="s" s="119">
        <v>221</v>
      </c>
      <c r="E186" s="143"/>
      <c r="F186" s="144"/>
      <c r="G186" s="102">
        <v>133401.4</v>
      </c>
      <c r="H186" s="103">
        <v>4760</v>
      </c>
      <c r="I186" s="104" cm="1">
        <f t="array" ref="I186">G186/H186</f>
        <v>28.0255042016807</v>
      </c>
      <c r="J186" s="105"/>
      <c r="K186" s="101"/>
      <c r="L186" s="96"/>
      <c r="M186" s="75"/>
      <c r="N186" s="75"/>
      <c r="O186" s="75"/>
      <c r="P186" s="75"/>
      <c r="Q186" s="75"/>
      <c r="R186" s="75"/>
      <c r="S186" s="75"/>
      <c r="T186" s="75"/>
      <c r="U186" s="75"/>
      <c r="V186" s="75"/>
      <c r="W186" s="75"/>
      <c r="X186" s="75"/>
      <c r="Y186" s="75"/>
      <c r="Z186" s="75"/>
      <c r="AA186" s="75"/>
      <c r="AB186" s="75"/>
    </row>
    <row r="187" ht="12.75" customHeight="1">
      <c r="A187" s="106">
        <v>43303</v>
      </c>
      <c r="B187" t="s" s="145">
        <v>222</v>
      </c>
      <c r="C187" t="s" s="116">
        <v>149</v>
      </c>
      <c r="D187" t="s" s="109">
        <v>223</v>
      </c>
      <c r="E187" s="110"/>
      <c r="F187" s="111"/>
      <c r="G187" s="112">
        <v>1400000</v>
      </c>
      <c r="H187" s="113">
        <v>50000</v>
      </c>
      <c r="I187" s="114" cm="1">
        <f t="array" ref="I187">G187/H187</f>
        <v>28</v>
      </c>
      <c r="J187" s="105"/>
      <c r="K187" s="101"/>
      <c r="L187" s="96"/>
      <c r="M187" s="75"/>
      <c r="N187" s="75"/>
      <c r="O187" s="75"/>
      <c r="P187" s="75"/>
      <c r="Q187" s="75"/>
      <c r="R187" s="75"/>
      <c r="S187" s="75"/>
      <c r="T187" s="75"/>
      <c r="U187" s="75"/>
      <c r="V187" s="75"/>
      <c r="W187" s="75"/>
      <c r="X187" s="75"/>
      <c r="Y187" s="75"/>
      <c r="Z187" s="75"/>
      <c r="AA187" s="75"/>
      <c r="AB187" s="75"/>
    </row>
    <row r="188" ht="12.75" customHeight="1">
      <c r="A188" s="97">
        <v>43304</v>
      </c>
      <c r="B188" s="98"/>
      <c r="C188" t="s" s="116">
        <v>34</v>
      </c>
      <c r="D188" t="s" s="79">
        <v>224</v>
      </c>
      <c r="E188" s="100"/>
      <c r="F188" s="101"/>
      <c r="G188" s="102">
        <v>1061.06</v>
      </c>
      <c r="H188" s="103" cm="1">
        <f t="array" ref="H188">G188/I188</f>
        <v>38.1676258992806</v>
      </c>
      <c r="I188" s="104">
        <v>27.8</v>
      </c>
      <c r="J188" s="105"/>
      <c r="K188" s="101"/>
      <c r="L188" s="96"/>
      <c r="M188" s="75"/>
      <c r="N188" s="75"/>
      <c r="O188" s="75"/>
      <c r="P188" s="75"/>
      <c r="Q188" s="75"/>
      <c r="R188" s="75"/>
      <c r="S188" s="75"/>
      <c r="T188" s="75"/>
      <c r="U188" s="75"/>
      <c r="V188" s="75"/>
      <c r="W188" s="75"/>
      <c r="X188" s="75"/>
      <c r="Y188" s="75"/>
      <c r="Z188" s="75"/>
      <c r="AA188" s="75"/>
      <c r="AB188" s="75"/>
    </row>
    <row r="189" ht="12.75" customHeight="1">
      <c r="A189" s="106">
        <v>43322</v>
      </c>
      <c r="B189" s="107"/>
      <c r="C189" t="s" s="115">
        <v>41</v>
      </c>
      <c r="D189" t="s" s="109">
        <v>225</v>
      </c>
      <c r="E189" s="110"/>
      <c r="F189" s="111"/>
      <c r="G189" s="112">
        <v>6343.66</v>
      </c>
      <c r="H189" s="113" cm="1">
        <f t="array" ref="H189">G189/I189</f>
        <v>218.746896551724</v>
      </c>
      <c r="I189" s="114">
        <v>29</v>
      </c>
      <c r="J189" s="105"/>
      <c r="K189" s="101"/>
      <c r="L189" s="96"/>
      <c r="M189" s="75"/>
      <c r="N189" s="75"/>
      <c r="O189" s="75"/>
      <c r="P189" s="75"/>
      <c r="Q189" s="75"/>
      <c r="R189" s="75"/>
      <c r="S189" s="75"/>
      <c r="T189" s="75"/>
      <c r="U189" s="75"/>
      <c r="V189" s="75"/>
      <c r="W189" s="75"/>
      <c r="X189" s="75"/>
      <c r="Y189" s="75"/>
      <c r="Z189" s="75"/>
      <c r="AA189" s="75"/>
      <c r="AB189" s="75"/>
    </row>
    <row r="190" ht="12.75" customHeight="1">
      <c r="A190" s="97">
        <v>43322</v>
      </c>
      <c r="B190" s="98"/>
      <c r="C190" t="s" s="116">
        <v>41</v>
      </c>
      <c r="D190" t="s" s="79">
        <v>226</v>
      </c>
      <c r="E190" s="100"/>
      <c r="F190" s="101"/>
      <c r="G190" s="102">
        <v>172.95</v>
      </c>
      <c r="H190" s="103">
        <v>6</v>
      </c>
      <c r="I190" s="104" cm="1">
        <f t="array" ref="I190">G190/H190</f>
        <v>28.825</v>
      </c>
      <c r="J190" s="105"/>
      <c r="K190" s="101"/>
      <c r="L190" s="96"/>
      <c r="M190" s="75"/>
      <c r="N190" s="75"/>
      <c r="O190" s="75"/>
      <c r="P190" s="75"/>
      <c r="Q190" s="75"/>
      <c r="R190" s="75"/>
      <c r="S190" s="75"/>
      <c r="T190" s="75"/>
      <c r="U190" s="75"/>
      <c r="V190" s="75"/>
      <c r="W190" s="75"/>
      <c r="X190" s="75"/>
      <c r="Y190" s="75"/>
      <c r="Z190" s="75"/>
      <c r="AA190" s="75"/>
      <c r="AB190" s="75"/>
    </row>
    <row r="191" ht="12.75" customHeight="1">
      <c r="A191" s="106">
        <v>43326</v>
      </c>
      <c r="B191" s="107"/>
      <c r="C191" t="s" s="115">
        <v>99</v>
      </c>
      <c r="D191" t="s" s="109">
        <v>227</v>
      </c>
      <c r="E191" s="110"/>
      <c r="F191" s="111"/>
      <c r="G191" s="112">
        <v>1930.33</v>
      </c>
      <c r="H191" s="113" cm="1">
        <f t="array" ref="H191">G191/I191</f>
        <v>64.3443333333333</v>
      </c>
      <c r="I191" s="114">
        <v>30</v>
      </c>
      <c r="J191" s="105"/>
      <c r="K191" s="101"/>
      <c r="L191" s="96"/>
      <c r="M191" s="75"/>
      <c r="N191" s="75"/>
      <c r="O191" s="75"/>
      <c r="P191" s="75"/>
      <c r="Q191" s="75"/>
      <c r="R191" s="75"/>
      <c r="S191" s="75"/>
      <c r="T191" s="75"/>
      <c r="U191" s="75"/>
      <c r="V191" s="75"/>
      <c r="W191" s="75"/>
      <c r="X191" s="75"/>
      <c r="Y191" s="75"/>
      <c r="Z191" s="75"/>
      <c r="AA191" s="75"/>
      <c r="AB191" s="75"/>
    </row>
    <row r="192" ht="12.75" customHeight="1">
      <c r="A192" s="97">
        <v>43326</v>
      </c>
      <c r="B192" s="121">
        <v>62845</v>
      </c>
      <c r="C192" t="s" s="116">
        <v>153</v>
      </c>
      <c r="D192" t="s" s="79">
        <v>228</v>
      </c>
      <c r="E192" s="100"/>
      <c r="F192" s="101"/>
      <c r="G192" s="102">
        <v>3042.27</v>
      </c>
      <c r="H192" s="103">
        <v>101</v>
      </c>
      <c r="I192" s="104" cm="1">
        <f t="array" ref="I192">G192/H192</f>
        <v>30.1214851485149</v>
      </c>
      <c r="J192" s="105"/>
      <c r="K192" s="101"/>
      <c r="L192" s="96"/>
      <c r="M192" s="75"/>
      <c r="N192" s="75"/>
      <c r="O192" s="75"/>
      <c r="P192" s="75"/>
      <c r="Q192" s="75"/>
      <c r="R192" s="75"/>
      <c r="S192" s="75"/>
      <c r="T192" s="75"/>
      <c r="U192" s="75"/>
      <c r="V192" s="75"/>
      <c r="W192" s="75"/>
      <c r="X192" s="75"/>
      <c r="Y192" s="75"/>
      <c r="Z192" s="75"/>
      <c r="AA192" s="75"/>
      <c r="AB192" s="75"/>
    </row>
    <row r="193" ht="12.75" customHeight="1">
      <c r="A193" s="106">
        <v>43327</v>
      </c>
      <c r="B193" s="124">
        <v>62874</v>
      </c>
      <c r="C193" t="s" s="115">
        <v>153</v>
      </c>
      <c r="D193" t="s" s="109">
        <v>228</v>
      </c>
      <c r="E193" s="110"/>
      <c r="F193" s="111"/>
      <c r="G193" s="112">
        <v>3522.2</v>
      </c>
      <c r="H193" s="113">
        <v>117</v>
      </c>
      <c r="I193" s="114" cm="1">
        <f t="array" ref="I193">G193/H193</f>
        <v>30.1042735042735</v>
      </c>
      <c r="J193" s="105"/>
      <c r="K193" s="101"/>
      <c r="L193" s="96"/>
      <c r="M193" s="75"/>
      <c r="N193" s="75"/>
      <c r="O193" s="75"/>
      <c r="P193" s="75"/>
      <c r="Q193" s="75"/>
      <c r="R193" s="75"/>
      <c r="S193" s="75"/>
      <c r="T193" s="75"/>
      <c r="U193" s="75"/>
      <c r="V193" s="75"/>
      <c r="W193" s="75"/>
      <c r="X193" s="75"/>
      <c r="Y193" s="75"/>
      <c r="Z193" s="75"/>
      <c r="AA193" s="75"/>
      <c r="AB193" s="75"/>
    </row>
    <row r="194" ht="12.75" customHeight="1">
      <c r="A194" s="97">
        <v>43333</v>
      </c>
      <c r="B194" s="121">
        <v>838</v>
      </c>
      <c r="C194" t="s" s="116">
        <v>153</v>
      </c>
      <c r="D194" t="s" s="79">
        <v>229</v>
      </c>
      <c r="E194" s="100"/>
      <c r="F194" s="101"/>
      <c r="G194" s="102" cm="1">
        <f t="array" ref="G194">14126.78-2825.35</f>
        <v>11301.43</v>
      </c>
      <c r="H194" s="103">
        <v>353</v>
      </c>
      <c r="I194" s="104" cm="1">
        <f t="array" ref="I194">G194/H194</f>
        <v>32.0153824362606</v>
      </c>
      <c r="J194" s="105"/>
      <c r="K194" s="101"/>
      <c r="L194" s="96"/>
      <c r="M194" s="75"/>
      <c r="N194" s="75"/>
      <c r="O194" s="75"/>
      <c r="P194" s="75"/>
      <c r="Q194" s="75"/>
      <c r="R194" s="75"/>
      <c r="S194" s="75"/>
      <c r="T194" s="75"/>
      <c r="U194" s="75"/>
      <c r="V194" s="75"/>
      <c r="W194" s="75"/>
      <c r="X194" s="75"/>
      <c r="Y194" s="75"/>
      <c r="Z194" s="75"/>
      <c r="AA194" s="75"/>
      <c r="AB194" s="75"/>
    </row>
    <row r="195" ht="12.75" customHeight="1">
      <c r="A195" s="106">
        <v>43335</v>
      </c>
      <c r="B195" s="107"/>
      <c r="C195" t="s" s="115">
        <v>34</v>
      </c>
      <c r="D195" t="s" s="109">
        <v>230</v>
      </c>
      <c r="E195" s="110"/>
      <c r="F195" s="111"/>
      <c r="G195" s="112">
        <v>1061.06</v>
      </c>
      <c r="H195" s="113" cm="1">
        <f t="array" ref="H195">G195/I195</f>
        <v>34.7888524590164</v>
      </c>
      <c r="I195" s="114">
        <v>30.5</v>
      </c>
      <c r="J195" s="105"/>
      <c r="K195" s="101"/>
      <c r="L195" s="96"/>
      <c r="M195" s="75"/>
      <c r="N195" s="75"/>
      <c r="O195" s="75"/>
      <c r="P195" s="75"/>
      <c r="Q195" s="75"/>
      <c r="R195" s="75"/>
      <c r="S195" s="75"/>
      <c r="T195" s="75"/>
      <c r="U195" s="75"/>
      <c r="V195" s="75"/>
      <c r="W195" s="75"/>
      <c r="X195" s="75"/>
      <c r="Y195" s="75"/>
      <c r="Z195" s="75"/>
      <c r="AA195" s="75"/>
      <c r="AB195" s="75"/>
    </row>
    <row r="196" ht="12.75" customHeight="1">
      <c r="A196" s="97">
        <v>43336</v>
      </c>
      <c r="B196" s="121">
        <v>147</v>
      </c>
      <c r="C196" t="s" s="116">
        <v>185</v>
      </c>
      <c r="D196" t="s" s="79">
        <v>231</v>
      </c>
      <c r="E196" s="100"/>
      <c r="F196" s="101"/>
      <c r="G196" s="102">
        <v>3000</v>
      </c>
      <c r="H196" s="103">
        <v>90</v>
      </c>
      <c r="I196" s="104" cm="1">
        <f t="array" ref="I196">G196/H196</f>
        <v>33.3333333333333</v>
      </c>
      <c r="J196" s="105"/>
      <c r="K196" s="101"/>
      <c r="L196" s="96"/>
      <c r="M196" s="75"/>
      <c r="N196" s="75"/>
      <c r="O196" s="75"/>
      <c r="P196" s="75"/>
      <c r="Q196" s="75"/>
      <c r="R196" s="75"/>
      <c r="S196" s="75"/>
      <c r="T196" s="75"/>
      <c r="U196" s="75"/>
      <c r="V196" s="75"/>
      <c r="W196" s="75"/>
      <c r="X196" s="75"/>
      <c r="Y196" s="75"/>
      <c r="Z196" s="75"/>
      <c r="AA196" s="75"/>
      <c r="AB196" s="75"/>
    </row>
    <row r="197" ht="12.75" customHeight="1">
      <c r="A197" s="106">
        <v>43339</v>
      </c>
      <c r="B197" s="124">
        <v>2094</v>
      </c>
      <c r="C197" t="s" s="115">
        <v>232</v>
      </c>
      <c r="D197" t="s" s="109">
        <v>233</v>
      </c>
      <c r="E197" s="110"/>
      <c r="F197" s="111"/>
      <c r="G197" s="112">
        <v>3954.9</v>
      </c>
      <c r="H197" s="113" cm="1">
        <f t="array" ref="H197">G197/I197</f>
        <v>121.689230769231</v>
      </c>
      <c r="I197" s="114">
        <v>32.5</v>
      </c>
      <c r="J197" s="105"/>
      <c r="K197" s="101"/>
      <c r="L197" s="96"/>
      <c r="M197" s="75"/>
      <c r="N197" s="75"/>
      <c r="O197" s="75"/>
      <c r="P197" s="75"/>
      <c r="Q197" s="75"/>
      <c r="R197" s="75"/>
      <c r="S197" s="75"/>
      <c r="T197" s="75"/>
      <c r="U197" s="75"/>
      <c r="V197" s="75"/>
      <c r="W197" s="75"/>
      <c r="X197" s="75"/>
      <c r="Y197" s="75"/>
      <c r="Z197" s="75"/>
      <c r="AA197" s="75"/>
      <c r="AB197" s="75"/>
    </row>
    <row r="198" ht="12.75" customHeight="1">
      <c r="A198" s="97">
        <v>43342</v>
      </c>
      <c r="B198" s="121">
        <v>3230</v>
      </c>
      <c r="C198" t="s" s="116">
        <v>206</v>
      </c>
      <c r="D198" t="s" s="79">
        <v>207</v>
      </c>
      <c r="E198" s="100"/>
      <c r="F198" s="101"/>
      <c r="G198" s="102">
        <v>1000</v>
      </c>
      <c r="H198" s="103" cm="1">
        <f t="array" ref="H198">G198/I198</f>
        <v>31.25</v>
      </c>
      <c r="I198" s="104">
        <v>32</v>
      </c>
      <c r="J198" s="105"/>
      <c r="K198" s="101"/>
      <c r="L198" s="96"/>
      <c r="M198" s="75"/>
      <c r="N198" s="75"/>
      <c r="O198" s="75"/>
      <c r="P198" s="75"/>
      <c r="Q198" s="75"/>
      <c r="R198" s="75"/>
      <c r="S198" s="75"/>
      <c r="T198" s="75"/>
      <c r="U198" s="75"/>
      <c r="V198" s="75"/>
      <c r="W198" s="75"/>
      <c r="X198" s="75"/>
      <c r="Y198" s="75"/>
      <c r="Z198" s="75"/>
      <c r="AA198" s="75"/>
      <c r="AB198" s="75"/>
    </row>
    <row r="199" ht="12.75" customHeight="1">
      <c r="A199" s="106">
        <v>43343</v>
      </c>
      <c r="B199" s="124">
        <v>11368</v>
      </c>
      <c r="C199" t="s" s="115">
        <v>169</v>
      </c>
      <c r="D199" t="s" s="109">
        <v>234</v>
      </c>
      <c r="E199" s="110"/>
      <c r="F199" s="111"/>
      <c r="G199" s="112">
        <v>9606.879999999999</v>
      </c>
      <c r="H199" s="113">
        <v>246</v>
      </c>
      <c r="I199" s="114" cm="1">
        <f t="array" ref="I199">G199/H199</f>
        <v>39.0523577235772</v>
      </c>
      <c r="J199" s="105"/>
      <c r="K199" s="101"/>
      <c r="L199" s="96"/>
      <c r="M199" s="75"/>
      <c r="N199" s="75"/>
      <c r="O199" s="75"/>
      <c r="P199" s="75"/>
      <c r="Q199" s="75"/>
      <c r="R199" s="75"/>
      <c r="S199" s="75"/>
      <c r="T199" s="75"/>
      <c r="U199" s="75"/>
      <c r="V199" s="75"/>
      <c r="W199" s="75"/>
      <c r="X199" s="75"/>
      <c r="Y199" s="75"/>
      <c r="Z199" s="75"/>
      <c r="AA199" s="75"/>
      <c r="AB199" s="75"/>
    </row>
    <row r="200" ht="12.75" customHeight="1">
      <c r="A200" s="97">
        <v>43343</v>
      </c>
      <c r="B200" s="140">
        <v>2199</v>
      </c>
      <c r="C200" t="s" s="125">
        <v>149</v>
      </c>
      <c r="D200" t="s" s="79">
        <v>235</v>
      </c>
      <c r="E200" s="100"/>
      <c r="F200" s="101"/>
      <c r="G200" s="102">
        <v>89460</v>
      </c>
      <c r="H200" s="103" cm="1">
        <f t="array" ref="H200">G200/I200</f>
        <v>2417.837837837840</v>
      </c>
      <c r="I200" s="104">
        <v>37</v>
      </c>
      <c r="J200" s="105"/>
      <c r="K200" s="101"/>
      <c r="L200" s="96"/>
      <c r="M200" s="75"/>
      <c r="N200" s="75"/>
      <c r="O200" s="75"/>
      <c r="P200" s="75"/>
      <c r="Q200" s="75"/>
      <c r="R200" s="75"/>
      <c r="S200" s="75"/>
      <c r="T200" s="75"/>
      <c r="U200" s="75"/>
      <c r="V200" s="75"/>
      <c r="W200" s="75"/>
      <c r="X200" s="75"/>
      <c r="Y200" s="75"/>
      <c r="Z200" s="75"/>
      <c r="AA200" s="75"/>
      <c r="AB200" s="75"/>
    </row>
    <row r="201" ht="12.75" customHeight="1">
      <c r="A201" s="106">
        <v>43343</v>
      </c>
      <c r="B201" s="146">
        <v>2222</v>
      </c>
      <c r="C201" t="s" s="147">
        <v>149</v>
      </c>
      <c r="D201" t="s" s="109">
        <v>236</v>
      </c>
      <c r="E201" s="110"/>
      <c r="F201" s="111"/>
      <c r="G201" s="112">
        <v>59640</v>
      </c>
      <c r="H201" s="113" cm="1">
        <f t="array" ref="H201">G201/I201</f>
        <v>1611.891891891890</v>
      </c>
      <c r="I201" s="114" cm="1">
        <f t="array" ref="I201">I200</f>
        <v>37</v>
      </c>
      <c r="J201" s="105"/>
      <c r="K201" s="101"/>
      <c r="L201" s="96"/>
      <c r="M201" s="75"/>
      <c r="N201" s="75"/>
      <c r="O201" s="75"/>
      <c r="P201" s="75"/>
      <c r="Q201" s="75"/>
      <c r="R201" s="75"/>
      <c r="S201" s="75"/>
      <c r="T201" s="75"/>
      <c r="U201" s="75"/>
      <c r="V201" s="75"/>
      <c r="W201" s="75"/>
      <c r="X201" s="75"/>
      <c r="Y201" s="75"/>
      <c r="Z201" s="75"/>
      <c r="AA201" s="75"/>
      <c r="AB201" s="75"/>
    </row>
    <row r="202" ht="12.75" customHeight="1">
      <c r="A202" s="97">
        <v>43354</v>
      </c>
      <c r="B202" s="121">
        <v>63447</v>
      </c>
      <c r="C202" t="s" s="116">
        <v>153</v>
      </c>
      <c r="D202" t="s" s="79">
        <v>237</v>
      </c>
      <c r="E202" s="100"/>
      <c r="F202" s="101"/>
      <c r="G202" s="102">
        <v>39020.73</v>
      </c>
      <c r="H202" s="103">
        <v>1012</v>
      </c>
      <c r="I202" s="104" cm="1">
        <f t="array" ref="I202">G202/H202</f>
        <v>38.5580335968379</v>
      </c>
      <c r="J202" s="105"/>
      <c r="K202" s="101"/>
      <c r="L202" s="96"/>
      <c r="M202" s="75"/>
      <c r="N202" s="75"/>
      <c r="O202" s="75"/>
      <c r="P202" s="75"/>
      <c r="Q202" s="75"/>
      <c r="R202" s="75"/>
      <c r="S202" s="75"/>
      <c r="T202" s="75"/>
      <c r="U202" s="75"/>
      <c r="V202" s="75"/>
      <c r="W202" s="75"/>
      <c r="X202" s="75"/>
      <c r="Y202" s="75"/>
      <c r="Z202" s="75"/>
      <c r="AA202" s="75"/>
      <c r="AB202" s="75"/>
    </row>
    <row r="203" ht="12.75" customHeight="1">
      <c r="A203" s="106">
        <v>43354</v>
      </c>
      <c r="B203" s="124">
        <v>63446</v>
      </c>
      <c r="C203" t="s" s="115">
        <v>153</v>
      </c>
      <c r="D203" t="s" s="109">
        <v>238</v>
      </c>
      <c r="E203" s="110"/>
      <c r="F203" s="111"/>
      <c r="G203" s="112">
        <v>203712.03</v>
      </c>
      <c r="H203" s="113">
        <v>5290</v>
      </c>
      <c r="I203" s="114" cm="1">
        <f t="array" ref="I203">G203/H203</f>
        <v>38.5088903591682</v>
      </c>
      <c r="J203" s="105"/>
      <c r="K203" s="101"/>
      <c r="L203" s="96"/>
      <c r="M203" s="75"/>
      <c r="N203" s="75"/>
      <c r="O203" s="75"/>
      <c r="P203" s="75"/>
      <c r="Q203" s="75"/>
      <c r="R203" s="75"/>
      <c r="S203" s="75"/>
      <c r="T203" s="75"/>
      <c r="U203" s="75"/>
      <c r="V203" s="75"/>
      <c r="W203" s="75"/>
      <c r="X203" s="75"/>
      <c r="Y203" s="75"/>
      <c r="Z203" s="75"/>
      <c r="AA203" s="75"/>
      <c r="AB203" s="75"/>
    </row>
    <row r="204" ht="12.75" customHeight="1">
      <c r="A204" s="97">
        <v>43355</v>
      </c>
      <c r="B204" s="98"/>
      <c r="C204" t="s" s="116">
        <v>108</v>
      </c>
      <c r="D204" t="s" s="79">
        <v>239</v>
      </c>
      <c r="E204" s="100"/>
      <c r="F204" s="101"/>
      <c r="G204" s="102">
        <v>34011.72</v>
      </c>
      <c r="H204" s="103" cm="1">
        <f t="array" ref="H204">G204/I204</f>
        <v>895.045263157895</v>
      </c>
      <c r="I204" s="104">
        <v>38</v>
      </c>
      <c r="J204" s="105"/>
      <c r="K204" s="101"/>
      <c r="L204" s="96"/>
      <c r="M204" s="75"/>
      <c r="N204" s="75"/>
      <c r="O204" s="75"/>
      <c r="P204" s="75"/>
      <c r="Q204" s="75"/>
      <c r="R204" s="75"/>
      <c r="S204" s="75"/>
      <c r="T204" s="75"/>
      <c r="U204" s="75"/>
      <c r="V204" s="75"/>
      <c r="W204" s="75"/>
      <c r="X204" s="75"/>
      <c r="Y204" s="75"/>
      <c r="Z204" s="75"/>
      <c r="AA204" s="75"/>
      <c r="AB204" s="75"/>
    </row>
    <row r="205" ht="12.75" customHeight="1">
      <c r="A205" s="106">
        <v>43356</v>
      </c>
      <c r="B205" s="107"/>
      <c r="C205" t="s" s="115">
        <v>99</v>
      </c>
      <c r="D205" t="s" s="109">
        <v>240</v>
      </c>
      <c r="E205" s="110"/>
      <c r="F205" s="111"/>
      <c r="G205" s="112">
        <v>1934.71</v>
      </c>
      <c r="H205" s="113" cm="1">
        <f t="array" ref="H205">G205/I205</f>
        <v>49.928</v>
      </c>
      <c r="I205" s="114">
        <v>38.75</v>
      </c>
      <c r="J205" s="105"/>
      <c r="K205" s="101"/>
      <c r="L205" s="96"/>
      <c r="M205" s="75"/>
      <c r="N205" s="75"/>
      <c r="O205" s="75"/>
      <c r="P205" s="75"/>
      <c r="Q205" s="75"/>
      <c r="R205" s="75"/>
      <c r="S205" s="75"/>
      <c r="T205" s="75"/>
      <c r="U205" s="75"/>
      <c r="V205" s="75"/>
      <c r="W205" s="75"/>
      <c r="X205" s="75"/>
      <c r="Y205" s="75"/>
      <c r="Z205" s="75"/>
      <c r="AA205" s="75"/>
      <c r="AB205" s="75"/>
    </row>
    <row r="206" ht="12.75" customHeight="1">
      <c r="A206" s="97">
        <v>43357</v>
      </c>
      <c r="B206" s="121">
        <v>508</v>
      </c>
      <c r="C206" t="s" s="116">
        <v>101</v>
      </c>
      <c r="D206" t="s" s="79">
        <v>241</v>
      </c>
      <c r="E206" s="100"/>
      <c r="F206" s="101"/>
      <c r="G206" s="102" cm="1">
        <f t="array" ref="G206">150000+40575</f>
        <v>190575</v>
      </c>
      <c r="H206" s="103" cm="1">
        <f t="array" ref="H206">G206/I206</f>
        <v>4764.375</v>
      </c>
      <c r="I206" s="104">
        <v>40</v>
      </c>
      <c r="J206" s="105"/>
      <c r="K206" s="101"/>
      <c r="L206" s="96"/>
      <c r="M206" s="75"/>
      <c r="N206" s="75"/>
      <c r="O206" s="75"/>
      <c r="P206" s="75"/>
      <c r="Q206" s="75"/>
      <c r="R206" s="75"/>
      <c r="S206" s="75"/>
      <c r="T206" s="75"/>
      <c r="U206" s="75"/>
      <c r="V206" s="75"/>
      <c r="W206" s="75"/>
      <c r="X206" s="75"/>
      <c r="Y206" s="75"/>
      <c r="Z206" s="75"/>
      <c r="AA206" s="75"/>
      <c r="AB206" s="75"/>
    </row>
    <row r="207" ht="12.75" customHeight="1">
      <c r="A207" s="106">
        <v>43363</v>
      </c>
      <c r="B207" s="107"/>
      <c r="C207" t="s" s="115">
        <v>34</v>
      </c>
      <c r="D207" t="s" s="109">
        <v>242</v>
      </c>
      <c r="E207" s="110"/>
      <c r="F207" s="111"/>
      <c r="G207" s="112">
        <v>1351.4</v>
      </c>
      <c r="H207" s="113" cm="1">
        <f t="array" ref="H207">G207/I207</f>
        <v>33.785</v>
      </c>
      <c r="I207" s="114" cm="1">
        <f t="array" ref="I207">I206</f>
        <v>40</v>
      </c>
      <c r="J207" s="105"/>
      <c r="K207" s="101"/>
      <c r="L207" s="96"/>
      <c r="M207" s="75"/>
      <c r="N207" s="75"/>
      <c r="O207" s="75"/>
      <c r="P207" s="75"/>
      <c r="Q207" s="75"/>
      <c r="R207" s="75"/>
      <c r="S207" s="75"/>
      <c r="T207" s="75"/>
      <c r="U207" s="75"/>
      <c r="V207" s="75"/>
      <c r="W207" s="75"/>
      <c r="X207" s="75"/>
      <c r="Y207" s="75"/>
      <c r="Z207" s="75"/>
      <c r="AA207" s="75"/>
      <c r="AB207" s="75"/>
    </row>
    <row r="208" ht="12.75" customHeight="1">
      <c r="A208" s="97">
        <v>43369</v>
      </c>
      <c r="B208" s="121">
        <v>847</v>
      </c>
      <c r="C208" t="s" s="116">
        <v>211</v>
      </c>
      <c r="D208" t="s" s="79">
        <v>243</v>
      </c>
      <c r="E208" s="100"/>
      <c r="F208" s="101"/>
      <c r="G208" s="102">
        <v>605000</v>
      </c>
      <c r="H208" s="103">
        <v>15500</v>
      </c>
      <c r="I208" s="104" cm="1">
        <f t="array" ref="I208">G208/H208</f>
        <v>39.0322580645161</v>
      </c>
      <c r="J208" s="105"/>
      <c r="K208" s="101"/>
      <c r="L208" s="96"/>
      <c r="M208" s="75"/>
      <c r="N208" s="75"/>
      <c r="O208" s="75"/>
      <c r="P208" s="75"/>
      <c r="Q208" s="75"/>
      <c r="R208" s="75"/>
      <c r="S208" s="75"/>
      <c r="T208" s="75"/>
      <c r="U208" s="75"/>
      <c r="V208" s="75"/>
      <c r="W208" s="75"/>
      <c r="X208" s="75"/>
      <c r="Y208" s="75"/>
      <c r="Z208" s="75"/>
      <c r="AA208" s="75"/>
      <c r="AB208" s="75"/>
    </row>
    <row r="209" ht="12.75" customHeight="1">
      <c r="A209" s="106">
        <v>43382</v>
      </c>
      <c r="B209" s="107"/>
      <c r="C209" t="s" s="115">
        <v>99</v>
      </c>
      <c r="D209" t="s" s="109">
        <v>244</v>
      </c>
      <c r="E209" s="110"/>
      <c r="F209" s="111"/>
      <c r="G209" s="112">
        <v>1718.93</v>
      </c>
      <c r="H209" s="113">
        <v>41</v>
      </c>
      <c r="I209" s="114" cm="1">
        <f t="array" ref="I209">G209/H209</f>
        <v>41.9251219512195</v>
      </c>
      <c r="J209" s="105"/>
      <c r="K209" s="101"/>
      <c r="L209" s="96"/>
      <c r="M209" s="75"/>
      <c r="N209" s="75"/>
      <c r="O209" s="75"/>
      <c r="P209" s="75"/>
      <c r="Q209" s="75"/>
      <c r="R209" s="75"/>
      <c r="S209" s="75"/>
      <c r="T209" s="75"/>
      <c r="U209" s="75"/>
      <c r="V209" s="75"/>
      <c r="W209" s="75"/>
      <c r="X209" s="75"/>
      <c r="Y209" s="75"/>
      <c r="Z209" s="75"/>
      <c r="AA209" s="75"/>
      <c r="AB209" s="75"/>
    </row>
    <row r="210" ht="12.75" customHeight="1">
      <c r="A210" s="97">
        <v>43391</v>
      </c>
      <c r="B210" s="121">
        <v>11950</v>
      </c>
      <c r="C210" t="s" s="116">
        <v>196</v>
      </c>
      <c r="D210" t="s" s="79">
        <v>245</v>
      </c>
      <c r="E210" s="100"/>
      <c r="F210" s="101"/>
      <c r="G210" s="102">
        <v>14515.57</v>
      </c>
      <c r="H210" s="103">
        <v>392</v>
      </c>
      <c r="I210" s="104" cm="1">
        <f t="array" ref="I210">G210/H210</f>
        <v>37.0295153061224</v>
      </c>
      <c r="J210" s="105"/>
      <c r="K210" s="101"/>
      <c r="L210" s="96"/>
      <c r="M210" s="75"/>
      <c r="N210" s="75"/>
      <c r="O210" s="75"/>
      <c r="P210" s="75"/>
      <c r="Q210" s="75"/>
      <c r="R210" s="75"/>
      <c r="S210" s="75"/>
      <c r="T210" s="75"/>
      <c r="U210" s="75"/>
      <c r="V210" s="75"/>
      <c r="W210" s="75"/>
      <c r="X210" s="75"/>
      <c r="Y210" s="75"/>
      <c r="Z210" s="75"/>
      <c r="AA210" s="75"/>
      <c r="AB210" s="75"/>
    </row>
    <row r="211" ht="12.75" customHeight="1">
      <c r="A211" s="106">
        <v>43391</v>
      </c>
      <c r="B211" s="124">
        <v>3392</v>
      </c>
      <c r="C211" t="s" s="115">
        <v>246</v>
      </c>
      <c r="D211" t="s" s="109">
        <v>247</v>
      </c>
      <c r="E211" s="110"/>
      <c r="F211" s="111"/>
      <c r="G211" s="112">
        <v>2200</v>
      </c>
      <c r="H211" s="113" cm="1">
        <f t="array" ref="H211">G211/I211</f>
        <v>59.8639455782313</v>
      </c>
      <c r="I211" s="114">
        <v>36.75</v>
      </c>
      <c r="J211" s="105"/>
      <c r="K211" s="101"/>
      <c r="L211" s="96"/>
      <c r="M211" s="75"/>
      <c r="N211" s="75"/>
      <c r="O211" s="75"/>
      <c r="P211" s="75"/>
      <c r="Q211" s="75"/>
      <c r="R211" s="75"/>
      <c r="S211" s="75"/>
      <c r="T211" s="75"/>
      <c r="U211" s="75"/>
      <c r="V211" s="75"/>
      <c r="W211" s="75"/>
      <c r="X211" s="75"/>
      <c r="Y211" s="75"/>
      <c r="Z211" s="75"/>
      <c r="AA211" s="75"/>
      <c r="AB211" s="75"/>
    </row>
    <row r="212" ht="12.75" customHeight="1">
      <c r="A212" s="97">
        <v>43392</v>
      </c>
      <c r="B212" s="121">
        <v>64207</v>
      </c>
      <c r="C212" t="s" s="116">
        <v>153</v>
      </c>
      <c r="D212" t="s" s="79">
        <v>248</v>
      </c>
      <c r="E212" s="100"/>
      <c r="F212" s="101"/>
      <c r="G212" s="102">
        <v>10592.78</v>
      </c>
      <c r="H212" s="103" cm="1">
        <f t="array" ref="H212">G212/I212</f>
        <v>286.063155632194</v>
      </c>
      <c r="I212" s="104" cm="1">
        <f t="array" ref="I212">I210</f>
        <v>37.0295153061224</v>
      </c>
      <c r="J212" s="105"/>
      <c r="K212" s="101"/>
      <c r="L212" s="96"/>
      <c r="M212" s="75"/>
      <c r="N212" s="75"/>
      <c r="O212" s="75"/>
      <c r="P212" s="75"/>
      <c r="Q212" s="75"/>
      <c r="R212" s="75"/>
      <c r="S212" s="75"/>
      <c r="T212" s="75"/>
      <c r="U212" s="75"/>
      <c r="V212" s="75"/>
      <c r="W212" s="75"/>
      <c r="X212" s="75"/>
      <c r="Y212" s="75"/>
      <c r="Z212" s="75"/>
      <c r="AA212" s="75"/>
      <c r="AB212" s="75"/>
    </row>
    <row r="213" ht="12.75" customHeight="1">
      <c r="A213" s="106">
        <v>43392</v>
      </c>
      <c r="B213" s="124">
        <v>2231</v>
      </c>
      <c r="C213" t="s" s="115">
        <v>232</v>
      </c>
      <c r="D213" t="s" s="109">
        <v>249</v>
      </c>
      <c r="E213" s="110"/>
      <c r="F213" s="111"/>
      <c r="G213" s="112">
        <v>2993.7</v>
      </c>
      <c r="H213" s="113">
        <v>110</v>
      </c>
      <c r="I213" s="114" cm="1">
        <f t="array" ref="I213">G213/H213</f>
        <v>27.2154545454545</v>
      </c>
      <c r="J213" s="105"/>
      <c r="K213" s="101"/>
      <c r="L213" s="96"/>
      <c r="M213" s="75"/>
      <c r="N213" s="75"/>
      <c r="O213" s="75"/>
      <c r="P213" s="75"/>
      <c r="Q213" s="75"/>
      <c r="R213" s="75"/>
      <c r="S213" s="75"/>
      <c r="T213" s="75"/>
      <c r="U213" s="75"/>
      <c r="V213" s="75"/>
      <c r="W213" s="75"/>
      <c r="X213" s="75"/>
      <c r="Y213" s="75"/>
      <c r="Z213" s="75"/>
      <c r="AA213" s="75"/>
      <c r="AB213" s="75"/>
    </row>
    <row r="214" ht="12.75" customHeight="1">
      <c r="A214" s="97">
        <v>43397</v>
      </c>
      <c r="B214" s="98"/>
      <c r="C214" t="s" s="116">
        <v>41</v>
      </c>
      <c r="D214" t="s" s="79">
        <v>250</v>
      </c>
      <c r="E214" s="100"/>
      <c r="F214" s="101"/>
      <c r="G214" s="102">
        <v>3316.64</v>
      </c>
      <c r="H214" s="103">
        <v>90</v>
      </c>
      <c r="I214" s="104" cm="1">
        <f t="array" ref="I214">G214/H214</f>
        <v>36.8515555555556</v>
      </c>
      <c r="J214" s="105"/>
      <c r="K214" s="101"/>
      <c r="L214" s="96"/>
      <c r="M214" s="75"/>
      <c r="N214" s="75"/>
      <c r="O214" s="75"/>
      <c r="P214" s="75"/>
      <c r="Q214" s="75"/>
      <c r="R214" s="75"/>
      <c r="S214" s="75"/>
      <c r="T214" s="75"/>
      <c r="U214" s="75"/>
      <c r="V214" s="75"/>
      <c r="W214" s="75"/>
      <c r="X214" s="75"/>
      <c r="Y214" s="75"/>
      <c r="Z214" s="75"/>
      <c r="AA214" s="75"/>
      <c r="AB214" s="75"/>
    </row>
    <row r="215" ht="12.75" customHeight="1">
      <c r="A215" s="106">
        <v>43397</v>
      </c>
      <c r="B215" s="107"/>
      <c r="C215" t="s" s="115">
        <v>41</v>
      </c>
      <c r="D215" t="s" s="109">
        <v>250</v>
      </c>
      <c r="E215" s="110"/>
      <c r="F215" s="111"/>
      <c r="G215" s="112">
        <v>4974.96</v>
      </c>
      <c r="H215" s="113">
        <v>135</v>
      </c>
      <c r="I215" s="114" cm="1">
        <f t="array" ref="I215">I214</f>
        <v>36.8515555555556</v>
      </c>
      <c r="J215" s="105"/>
      <c r="K215" s="101"/>
      <c r="L215" s="96"/>
      <c r="M215" s="75"/>
      <c r="N215" s="75"/>
      <c r="O215" s="75"/>
      <c r="P215" s="75"/>
      <c r="Q215" s="75"/>
      <c r="R215" s="75"/>
      <c r="S215" s="75"/>
      <c r="T215" s="75"/>
      <c r="U215" s="75"/>
      <c r="V215" s="75"/>
      <c r="W215" s="75"/>
      <c r="X215" s="75"/>
      <c r="Y215" s="75"/>
      <c r="Z215" s="75"/>
      <c r="AA215" s="75"/>
      <c r="AB215" s="75"/>
    </row>
    <row r="216" ht="12.75" customHeight="1">
      <c r="A216" s="97">
        <v>43399</v>
      </c>
      <c r="B216" s="98"/>
      <c r="C216" t="s" s="116">
        <v>232</v>
      </c>
      <c r="D216" t="s" s="79">
        <v>251</v>
      </c>
      <c r="E216" s="100"/>
      <c r="F216" s="101"/>
      <c r="G216" s="102">
        <v>961.1900000000001</v>
      </c>
      <c r="H216" s="103">
        <v>26</v>
      </c>
      <c r="I216" s="104" cm="1">
        <f t="array" ref="I216">G216/H216</f>
        <v>36.9688461538462</v>
      </c>
      <c r="J216" s="105"/>
      <c r="K216" s="101"/>
      <c r="L216" s="96"/>
      <c r="M216" s="75"/>
      <c r="N216" s="75"/>
      <c r="O216" s="75"/>
      <c r="P216" s="75"/>
      <c r="Q216" s="75"/>
      <c r="R216" s="75"/>
      <c r="S216" s="75"/>
      <c r="T216" s="75"/>
      <c r="U216" s="75"/>
      <c r="V216" s="75"/>
      <c r="W216" s="75"/>
      <c r="X216" s="75"/>
      <c r="Y216" s="75"/>
      <c r="Z216" s="75"/>
      <c r="AA216" s="75"/>
      <c r="AB216" s="75"/>
    </row>
    <row r="217" ht="12.75" customHeight="1">
      <c r="A217" s="106">
        <v>43399</v>
      </c>
      <c r="B217" s="107"/>
      <c r="C217" t="s" s="115">
        <v>41</v>
      </c>
      <c r="D217" t="s" s="109">
        <v>252</v>
      </c>
      <c r="E217" s="110"/>
      <c r="F217" s="111"/>
      <c r="G217" s="112">
        <v>12408.86</v>
      </c>
      <c r="H217" s="113" cm="1">
        <f t="array" ref="H217">G217/I217</f>
        <v>335.657216575286</v>
      </c>
      <c r="I217" s="114" cm="1">
        <f t="array" ref="I217">I216</f>
        <v>36.9688461538462</v>
      </c>
      <c r="J217" t="s" s="116">
        <v>253</v>
      </c>
      <c r="K217" s="101"/>
      <c r="L217" s="96"/>
      <c r="M217" s="75"/>
      <c r="N217" s="75"/>
      <c r="O217" s="75"/>
      <c r="P217" s="75"/>
      <c r="Q217" s="75"/>
      <c r="R217" s="75"/>
      <c r="S217" s="75"/>
      <c r="T217" s="75"/>
      <c r="U217" s="75"/>
      <c r="V217" s="75"/>
      <c r="W217" s="75"/>
      <c r="X217" s="75"/>
      <c r="Y217" s="75"/>
      <c r="Z217" s="75"/>
      <c r="AA217" s="75"/>
      <c r="AB217" s="75"/>
    </row>
    <row r="218" ht="12.75" customHeight="1">
      <c r="A218" s="97">
        <v>43402</v>
      </c>
      <c r="B218" s="121">
        <v>1483</v>
      </c>
      <c r="C218" t="s" s="116">
        <v>67</v>
      </c>
      <c r="D218" t="s" s="79">
        <v>254</v>
      </c>
      <c r="E218" s="100"/>
      <c r="F218" s="101"/>
      <c r="G218" s="102">
        <v>605750</v>
      </c>
      <c r="H218" s="103" cm="1">
        <f t="array" ref="H218">G218/I218</f>
        <v>16371.6216216216</v>
      </c>
      <c r="I218" s="104">
        <v>37</v>
      </c>
      <c r="J218" s="105"/>
      <c r="K218" s="101"/>
      <c r="L218" s="96"/>
      <c r="M218" s="75"/>
      <c r="N218" s="75"/>
      <c r="O218" s="75"/>
      <c r="P218" s="75"/>
      <c r="Q218" s="75"/>
      <c r="R218" s="75"/>
      <c r="S218" s="75"/>
      <c r="T218" s="75"/>
      <c r="U218" s="75"/>
      <c r="V218" s="75"/>
      <c r="W218" s="75"/>
      <c r="X218" s="75"/>
      <c r="Y218" s="75"/>
      <c r="Z218" s="75"/>
      <c r="AA218" s="75"/>
      <c r="AB218" s="75"/>
    </row>
    <row r="219" ht="12.75" customHeight="1">
      <c r="A219" s="106">
        <v>43402</v>
      </c>
      <c r="B219" s="124">
        <v>9693</v>
      </c>
      <c r="C219" t="s" s="115">
        <v>255</v>
      </c>
      <c r="D219" t="s" s="109">
        <v>256</v>
      </c>
      <c r="E219" s="110"/>
      <c r="F219" s="111"/>
      <c r="G219" s="112">
        <v>700000.21</v>
      </c>
      <c r="H219" s="113">
        <v>18900</v>
      </c>
      <c r="I219" s="114" cm="1">
        <f t="array" ref="I219">G219/H219</f>
        <v>37.0370481481481</v>
      </c>
      <c r="J219" s="105"/>
      <c r="K219" s="101"/>
      <c r="L219" s="96"/>
      <c r="M219" s="75"/>
      <c r="N219" s="75"/>
      <c r="O219" s="75"/>
      <c r="P219" s="75"/>
      <c r="Q219" s="75"/>
      <c r="R219" s="75"/>
      <c r="S219" s="75"/>
      <c r="T219" s="75"/>
      <c r="U219" s="75"/>
      <c r="V219" s="75"/>
      <c r="W219" s="75"/>
      <c r="X219" s="75"/>
      <c r="Y219" s="75"/>
      <c r="Z219" s="75"/>
      <c r="AA219" s="75"/>
      <c r="AB219" s="75"/>
    </row>
    <row r="220" ht="12.75" customHeight="1">
      <c r="A220" s="97">
        <v>43403</v>
      </c>
      <c r="B220" s="121">
        <v>64423</v>
      </c>
      <c r="C220" t="s" s="116">
        <v>153</v>
      </c>
      <c r="D220" t="s" s="79">
        <v>257</v>
      </c>
      <c r="E220" s="100"/>
      <c r="F220" s="101"/>
      <c r="G220" s="102">
        <v>2573.14</v>
      </c>
      <c r="H220" s="103">
        <v>70</v>
      </c>
      <c r="I220" s="104" cm="1">
        <f t="array" ref="I220">G220/H220</f>
        <v>36.7591428571429</v>
      </c>
      <c r="J220" s="105"/>
      <c r="K220" s="101"/>
      <c r="L220" s="96"/>
      <c r="M220" s="75"/>
      <c r="N220" s="75"/>
      <c r="O220" s="75"/>
      <c r="P220" s="75"/>
      <c r="Q220" s="75"/>
      <c r="R220" s="75"/>
      <c r="S220" s="75"/>
      <c r="T220" s="75"/>
      <c r="U220" s="75"/>
      <c r="V220" s="75"/>
      <c r="W220" s="75"/>
      <c r="X220" s="75"/>
      <c r="Y220" s="75"/>
      <c r="Z220" s="75"/>
      <c r="AA220" s="75"/>
      <c r="AB220" s="75"/>
    </row>
    <row r="221" ht="12.75" customHeight="1">
      <c r="A221" s="106">
        <v>43405</v>
      </c>
      <c r="B221" s="124">
        <v>3460</v>
      </c>
      <c r="C221" t="s" s="115">
        <v>246</v>
      </c>
      <c r="D221" t="s" s="109">
        <v>207</v>
      </c>
      <c r="E221" s="110"/>
      <c r="F221" s="111"/>
      <c r="G221" s="112">
        <v>1100</v>
      </c>
      <c r="H221" s="113">
        <v>30</v>
      </c>
      <c r="I221" s="114">
        <v>36.67</v>
      </c>
      <c r="J221" t="s" s="116">
        <v>258</v>
      </c>
      <c r="K221" s="101"/>
      <c r="L221" s="96"/>
      <c r="M221" s="75"/>
      <c r="N221" s="75"/>
      <c r="O221" s="75"/>
      <c r="P221" s="75"/>
      <c r="Q221" s="75"/>
      <c r="R221" s="75"/>
      <c r="S221" s="75"/>
      <c r="T221" s="75"/>
      <c r="U221" s="75"/>
      <c r="V221" s="75"/>
      <c r="W221" s="75"/>
      <c r="X221" s="75"/>
      <c r="Y221" s="75"/>
      <c r="Z221" s="75"/>
      <c r="AA221" s="75"/>
      <c r="AB221" s="75"/>
    </row>
    <row r="222" ht="12.75" customHeight="1">
      <c r="A222" s="97">
        <v>43412</v>
      </c>
      <c r="B222" s="98"/>
      <c r="C222" t="s" s="116">
        <v>206</v>
      </c>
      <c r="D222" t="s" s="79">
        <v>259</v>
      </c>
      <c r="E222" s="100"/>
      <c r="F222" s="101"/>
      <c r="G222" s="102">
        <v>2250</v>
      </c>
      <c r="H222" s="103">
        <v>61</v>
      </c>
      <c r="I222" s="104" cm="1">
        <f t="array" ref="I222">G222/H222</f>
        <v>36.8852459016393</v>
      </c>
      <c r="J222" s="105"/>
      <c r="K222" s="101"/>
      <c r="L222" s="96"/>
      <c r="M222" s="75"/>
      <c r="N222" s="75"/>
      <c r="O222" s="75"/>
      <c r="P222" s="75"/>
      <c r="Q222" s="75"/>
      <c r="R222" s="75"/>
      <c r="S222" s="75"/>
      <c r="T222" s="75"/>
      <c r="U222" s="75"/>
      <c r="V222" s="75"/>
      <c r="W222" s="75"/>
      <c r="X222" s="75"/>
      <c r="Y222" s="75"/>
      <c r="Z222" s="75"/>
      <c r="AA222" s="75"/>
      <c r="AB222" s="75"/>
    </row>
    <row r="223" ht="12.75" customHeight="1">
      <c r="A223" s="97">
        <v>43413</v>
      </c>
      <c r="B223" s="98"/>
      <c r="C223" t="s" s="116">
        <v>41</v>
      </c>
      <c r="D223" t="s" s="79">
        <v>260</v>
      </c>
      <c r="E223" s="100"/>
      <c r="F223" s="101"/>
      <c r="G223" s="102">
        <v>6204.43</v>
      </c>
      <c r="H223" s="103" cm="1">
        <f t="array" ref="H223">G223/I223</f>
        <v>169.196345786747</v>
      </c>
      <c r="I223" s="104" cm="1">
        <f t="array" ref="I223">I221</f>
        <v>36.67</v>
      </c>
      <c r="J223" s="105"/>
      <c r="K223" s="101"/>
      <c r="L223" s="96"/>
      <c r="M223" s="75"/>
      <c r="N223" s="75"/>
      <c r="O223" s="75"/>
      <c r="P223" s="75"/>
      <c r="Q223" s="75"/>
      <c r="R223" s="75"/>
      <c r="S223" s="75"/>
      <c r="T223" s="75"/>
      <c r="U223" s="75"/>
      <c r="V223" s="75"/>
      <c r="W223" s="75"/>
      <c r="X223" s="75"/>
      <c r="Y223" s="75"/>
      <c r="Z223" s="75"/>
      <c r="AA223" s="75"/>
      <c r="AB223" s="75"/>
    </row>
    <row r="224" ht="12.75" customHeight="1">
      <c r="A224" s="106">
        <v>43413</v>
      </c>
      <c r="B224" s="107"/>
      <c r="C224" t="s" s="115">
        <v>99</v>
      </c>
      <c r="D224" t="s" s="109">
        <v>261</v>
      </c>
      <c r="E224" s="110"/>
      <c r="F224" s="111"/>
      <c r="G224" s="112">
        <v>1718.93</v>
      </c>
      <c r="H224" s="113" cm="1">
        <f t="array" ref="H224">G224/I224</f>
        <v>47.2233516483516</v>
      </c>
      <c r="I224" s="114">
        <v>36.4</v>
      </c>
      <c r="J224" s="105"/>
      <c r="K224" s="101"/>
      <c r="L224" s="96"/>
      <c r="M224" s="75"/>
      <c r="N224" s="75"/>
      <c r="O224" s="75"/>
      <c r="P224" s="75"/>
      <c r="Q224" s="75"/>
      <c r="R224" s="75"/>
      <c r="S224" s="75"/>
      <c r="T224" s="75"/>
      <c r="U224" s="75"/>
      <c r="V224" s="75"/>
      <c r="W224" s="75"/>
      <c r="X224" s="75"/>
      <c r="Y224" s="75"/>
      <c r="Z224" s="75"/>
      <c r="AA224" s="75"/>
      <c r="AB224" s="75"/>
    </row>
    <row r="225" ht="12.75" customHeight="1">
      <c r="A225" s="97">
        <v>43413</v>
      </c>
      <c r="B225" s="98"/>
      <c r="C225" t="s" s="116">
        <v>34</v>
      </c>
      <c r="D225" t="s" s="79">
        <v>262</v>
      </c>
      <c r="E225" s="100"/>
      <c r="F225" s="101"/>
      <c r="G225" s="102">
        <v>1350.1</v>
      </c>
      <c r="H225" s="103" cm="1">
        <f t="array" ref="H225">G225/I225</f>
        <v>37.0906593406593</v>
      </c>
      <c r="I225" s="104">
        <v>36.4</v>
      </c>
      <c r="J225" s="105"/>
      <c r="K225" s="101"/>
      <c r="L225" s="96"/>
      <c r="M225" s="75"/>
      <c r="N225" s="75"/>
      <c r="O225" s="75"/>
      <c r="P225" s="75"/>
      <c r="Q225" s="75"/>
      <c r="R225" s="75"/>
      <c r="S225" s="75"/>
      <c r="T225" s="75"/>
      <c r="U225" s="75"/>
      <c r="V225" s="75"/>
      <c r="W225" s="75"/>
      <c r="X225" s="75"/>
      <c r="Y225" s="75"/>
      <c r="Z225" s="75"/>
      <c r="AA225" s="75"/>
      <c r="AB225" s="75"/>
    </row>
    <row r="226" ht="12.75" customHeight="1">
      <c r="A226" s="106">
        <v>43424</v>
      </c>
      <c r="B226" s="124">
        <v>64872</v>
      </c>
      <c r="C226" t="s" s="115">
        <v>153</v>
      </c>
      <c r="D226" t="s" s="109">
        <v>263</v>
      </c>
      <c r="E226" s="110"/>
      <c r="F226" s="111"/>
      <c r="G226" s="112" cm="1">
        <f t="array" ref="G226">28894.68-86.12</f>
        <v>28808.56</v>
      </c>
      <c r="H226" s="113">
        <v>781</v>
      </c>
      <c r="I226" s="114" cm="1">
        <f t="array" ref="I226">G226/H226</f>
        <v>36.8867605633803</v>
      </c>
      <c r="J226" s="105"/>
      <c r="K226" s="101"/>
      <c r="L226" s="96"/>
      <c r="M226" s="75"/>
      <c r="N226" s="75"/>
      <c r="O226" s="75"/>
      <c r="P226" s="75"/>
      <c r="Q226" s="75"/>
      <c r="R226" s="75"/>
      <c r="S226" s="75"/>
      <c r="T226" s="75"/>
      <c r="U226" s="75"/>
      <c r="V226" s="75"/>
      <c r="W226" s="75"/>
      <c r="X226" s="75"/>
      <c r="Y226" s="75"/>
      <c r="Z226" s="75"/>
      <c r="AA226" s="75"/>
      <c r="AB226" t="s" s="148">
        <v>264</v>
      </c>
    </row>
    <row r="227" ht="12.75" customHeight="1">
      <c r="A227" s="97">
        <v>43413</v>
      </c>
      <c r="B227" s="121">
        <v>64643</v>
      </c>
      <c r="C227" t="s" s="116">
        <v>153</v>
      </c>
      <c r="D227" t="s" s="79">
        <v>265</v>
      </c>
      <c r="E227" s="100"/>
      <c r="F227" s="101"/>
      <c r="G227" s="102">
        <v>430.61</v>
      </c>
      <c r="H227" s="103" cm="1">
        <f t="array" ref="H227">G227/I227</f>
        <v>11.8299450549451</v>
      </c>
      <c r="I227" s="104">
        <v>36.4</v>
      </c>
      <c r="J227" s="105"/>
      <c r="K227" s="101"/>
      <c r="L227" s="96"/>
      <c r="M227" s="75"/>
      <c r="N227" s="75"/>
      <c r="O227" s="75"/>
      <c r="P227" s="75"/>
      <c r="Q227" s="75"/>
      <c r="R227" s="75"/>
      <c r="S227" s="75"/>
      <c r="T227" s="75"/>
      <c r="U227" s="75"/>
      <c r="V227" s="75"/>
      <c r="W227" s="75"/>
      <c r="X227" s="75"/>
      <c r="Y227" s="75"/>
      <c r="Z227" s="75"/>
      <c r="AA227" s="75"/>
      <c r="AB227" s="75"/>
    </row>
    <row r="228" ht="12.75" customHeight="1">
      <c r="A228" s="106">
        <v>43426</v>
      </c>
      <c r="B228" s="124">
        <v>9635</v>
      </c>
      <c r="C228" t="s" s="115">
        <v>169</v>
      </c>
      <c r="D228" t="s" s="109">
        <v>266</v>
      </c>
      <c r="E228" s="110"/>
      <c r="F228" s="111"/>
      <c r="G228" s="112">
        <v>21985.82</v>
      </c>
      <c r="H228" s="113">
        <v>605</v>
      </c>
      <c r="I228" s="114" cm="1">
        <f t="array" ref="I228">G228/H228</f>
        <v>36.3401983471074</v>
      </c>
      <c r="J228" s="105"/>
      <c r="K228" s="101"/>
      <c r="L228" s="96"/>
      <c r="M228" s="75"/>
      <c r="N228" s="75"/>
      <c r="O228" s="75"/>
      <c r="P228" s="75"/>
      <c r="Q228" s="75"/>
      <c r="R228" s="75"/>
      <c r="S228" s="75"/>
      <c r="T228" s="75"/>
      <c r="U228" s="75"/>
      <c r="V228" s="75"/>
      <c r="W228" s="75"/>
      <c r="X228" s="75"/>
      <c r="Y228" s="75"/>
      <c r="Z228" s="75"/>
      <c r="AA228" s="75"/>
      <c r="AB228" s="75"/>
    </row>
    <row r="229" ht="12.75" customHeight="1">
      <c r="A229" s="97">
        <v>43426</v>
      </c>
      <c r="B229" s="121">
        <v>13585</v>
      </c>
      <c r="C229" s="99"/>
      <c r="D229" t="s" s="79">
        <v>267</v>
      </c>
      <c r="E229" s="100"/>
      <c r="F229" s="101"/>
      <c r="G229" s="102">
        <v>365</v>
      </c>
      <c r="H229" s="103" cm="1">
        <f t="array" ref="H229">G229/I229</f>
        <v>10.0274725274725</v>
      </c>
      <c r="I229" s="104">
        <v>36.4</v>
      </c>
      <c r="J229" s="105"/>
      <c r="K229" s="101"/>
      <c r="L229" s="96"/>
      <c r="M229" s="75"/>
      <c r="N229" s="75"/>
      <c r="O229" s="75"/>
      <c r="P229" s="75"/>
      <c r="Q229" s="75"/>
      <c r="R229" s="75"/>
      <c r="S229" s="75"/>
      <c r="T229" s="75"/>
      <c r="U229" s="75"/>
      <c r="V229" s="75"/>
      <c r="W229" s="75"/>
      <c r="X229" s="75"/>
      <c r="Y229" s="75"/>
      <c r="Z229" s="75"/>
      <c r="AA229" s="75"/>
      <c r="AB229" s="75"/>
    </row>
    <row r="230" ht="12.75" customHeight="1">
      <c r="A230" s="106">
        <v>43427</v>
      </c>
      <c r="B230" s="107"/>
      <c r="C230" t="s" s="115">
        <v>34</v>
      </c>
      <c r="D230" t="s" s="109">
        <v>268</v>
      </c>
      <c r="E230" s="110"/>
      <c r="F230" s="111"/>
      <c r="G230" s="112">
        <v>1295.29</v>
      </c>
      <c r="H230" s="113" cm="1">
        <f t="array" ref="H230">G230/I230</f>
        <v>35.5848901098901</v>
      </c>
      <c r="I230" s="114">
        <v>36.4</v>
      </c>
      <c r="J230" s="105"/>
      <c r="K230" s="101"/>
      <c r="L230" s="96"/>
      <c r="M230" s="75"/>
      <c r="N230" s="75"/>
      <c r="O230" s="75"/>
      <c r="P230" s="75"/>
      <c r="Q230" s="75"/>
      <c r="R230" s="75"/>
      <c r="S230" s="75"/>
      <c r="T230" s="75"/>
      <c r="U230" s="75"/>
      <c r="V230" s="75"/>
      <c r="W230" s="75"/>
      <c r="X230" s="75"/>
      <c r="Y230" s="75"/>
      <c r="Z230" s="75"/>
      <c r="AA230" s="75"/>
      <c r="AB230" s="75"/>
    </row>
    <row r="231" ht="12.75" customHeight="1">
      <c r="A231" s="97">
        <v>43432</v>
      </c>
      <c r="B231" s="121">
        <v>2145</v>
      </c>
      <c r="C231" t="s" s="116">
        <v>149</v>
      </c>
      <c r="D231" t="s" s="79">
        <v>269</v>
      </c>
      <c r="E231" s="100"/>
      <c r="F231" s="101"/>
      <c r="G231" s="102">
        <v>4700</v>
      </c>
      <c r="H231" s="103" cm="1">
        <f t="array" ref="H231">G231/I231</f>
        <v>123.684210526316</v>
      </c>
      <c r="I231" s="104">
        <v>38</v>
      </c>
      <c r="J231" s="105"/>
      <c r="K231" s="101"/>
      <c r="L231" s="96"/>
      <c r="M231" s="75"/>
      <c r="N231" s="75"/>
      <c r="O231" s="75"/>
      <c r="P231" s="75"/>
      <c r="Q231" s="75"/>
      <c r="R231" s="75"/>
      <c r="S231" s="75"/>
      <c r="T231" s="75"/>
      <c r="U231" s="75"/>
      <c r="V231" s="75"/>
      <c r="W231" s="75"/>
      <c r="X231" s="75"/>
      <c r="Y231" s="75"/>
      <c r="Z231" s="75"/>
      <c r="AA231" s="75"/>
      <c r="AB231" s="75"/>
    </row>
    <row r="232" ht="12.75" customHeight="1">
      <c r="A232" s="106">
        <v>43439</v>
      </c>
      <c r="B232" s="124">
        <v>520</v>
      </c>
      <c r="C232" t="s" s="115">
        <v>101</v>
      </c>
      <c r="D232" t="s" s="109">
        <v>270</v>
      </c>
      <c r="E232" s="110"/>
      <c r="F232" s="111"/>
      <c r="G232" s="112">
        <v>121000</v>
      </c>
      <c r="H232" s="113" cm="1">
        <f t="array" ref="H232">G232/I232</f>
        <v>3270.270270270270</v>
      </c>
      <c r="I232" s="114">
        <v>37</v>
      </c>
      <c r="J232" s="105"/>
      <c r="K232" s="101"/>
      <c r="L232" s="96"/>
      <c r="M232" s="75"/>
      <c r="N232" s="75"/>
      <c r="O232" s="75"/>
      <c r="P232" s="75"/>
      <c r="Q232" s="75"/>
      <c r="R232" s="75"/>
      <c r="S232" s="75"/>
      <c r="T232" s="75"/>
      <c r="U232" s="75"/>
      <c r="V232" s="75"/>
      <c r="W232" s="75"/>
      <c r="X232" s="75"/>
      <c r="Y232" s="75"/>
      <c r="Z232" s="75"/>
      <c r="AA232" s="75"/>
      <c r="AB232" s="75"/>
    </row>
    <row r="233" ht="12.75" customHeight="1">
      <c r="A233" s="97">
        <v>43440</v>
      </c>
      <c r="B233" s="98"/>
      <c r="C233" t="s" s="116">
        <v>206</v>
      </c>
      <c r="D233" t="s" s="79">
        <v>271</v>
      </c>
      <c r="E233" s="100"/>
      <c r="F233" s="101"/>
      <c r="G233" s="102">
        <v>2250</v>
      </c>
      <c r="H233" s="103">
        <v>60</v>
      </c>
      <c r="I233" s="104" cm="1">
        <f t="array" ref="I233">I232</f>
        <v>37</v>
      </c>
      <c r="J233" s="105"/>
      <c r="K233" s="101"/>
      <c r="L233" s="96"/>
      <c r="M233" s="75"/>
      <c r="N233" s="75"/>
      <c r="O233" s="75"/>
      <c r="P233" s="75"/>
      <c r="Q233" s="75"/>
      <c r="R233" s="75"/>
      <c r="S233" s="75"/>
      <c r="T233" s="75"/>
      <c r="U233" s="75"/>
      <c r="V233" s="75"/>
      <c r="W233" s="75"/>
      <c r="X233" s="75"/>
      <c r="Y233" s="75"/>
      <c r="Z233" s="75"/>
      <c r="AA233" s="75"/>
      <c r="AB233" s="75"/>
    </row>
    <row r="234" ht="12.75" customHeight="1">
      <c r="A234" s="106">
        <v>43444</v>
      </c>
      <c r="B234" s="107"/>
      <c r="C234" t="s" s="115">
        <v>99</v>
      </c>
      <c r="D234" t="s" s="109">
        <v>272</v>
      </c>
      <c r="E234" s="110"/>
      <c r="F234" s="111"/>
      <c r="G234" s="112">
        <v>2271.53</v>
      </c>
      <c r="H234" s="113" cm="1">
        <f t="array" ref="H234">G234/I234</f>
        <v>61.3927027027027</v>
      </c>
      <c r="I234" s="114" cm="1">
        <f t="array" ref="I234">I233</f>
        <v>37</v>
      </c>
      <c r="J234" s="105"/>
      <c r="K234" s="101"/>
      <c r="L234" s="96"/>
      <c r="M234" s="75"/>
      <c r="N234" s="75"/>
      <c r="O234" s="75"/>
      <c r="P234" s="75"/>
      <c r="Q234" s="75"/>
      <c r="R234" s="75"/>
      <c r="S234" s="75"/>
      <c r="T234" s="75"/>
      <c r="U234" s="75"/>
      <c r="V234" s="75"/>
      <c r="W234" s="75"/>
      <c r="X234" s="75"/>
      <c r="Y234" s="75"/>
      <c r="Z234" s="75"/>
      <c r="AA234" s="75"/>
      <c r="AB234" s="75"/>
    </row>
    <row r="235" ht="12.75" customHeight="1">
      <c r="A235" s="97">
        <v>43444</v>
      </c>
      <c r="B235" s="98"/>
      <c r="C235" t="s" s="116">
        <v>41</v>
      </c>
      <c r="D235" t="s" s="79">
        <v>273</v>
      </c>
      <c r="E235" s="100"/>
      <c r="F235" s="101"/>
      <c r="G235" s="102">
        <v>6213.53</v>
      </c>
      <c r="H235" s="103" cm="1">
        <f t="array" ref="H235">G235/I235</f>
        <v>167.933243243243</v>
      </c>
      <c r="I235" s="104" cm="1">
        <f t="array" ref="I235">I234</f>
        <v>37</v>
      </c>
      <c r="J235" s="105"/>
      <c r="K235" s="101"/>
      <c r="L235" s="96"/>
      <c r="M235" s="75"/>
      <c r="N235" s="75"/>
      <c r="O235" s="75"/>
      <c r="P235" s="75"/>
      <c r="Q235" s="75"/>
      <c r="R235" s="75"/>
      <c r="S235" s="75"/>
      <c r="T235" s="75"/>
      <c r="U235" s="75"/>
      <c r="V235" s="75"/>
      <c r="W235" s="75"/>
      <c r="X235" s="75"/>
      <c r="Y235" s="75"/>
      <c r="Z235" s="75"/>
      <c r="AA235" s="75"/>
      <c r="AB235" s="75"/>
    </row>
    <row r="236" ht="12.75" customHeight="1">
      <c r="A236" s="106">
        <v>43449</v>
      </c>
      <c r="B236" s="107"/>
      <c r="C236" s="108"/>
      <c r="D236" t="s" s="109">
        <v>274</v>
      </c>
      <c r="E236" s="110"/>
      <c r="F236" s="111"/>
      <c r="G236" s="112">
        <v>430</v>
      </c>
      <c r="H236" s="113">
        <v>12</v>
      </c>
      <c r="I236" s="114" cm="1">
        <f t="array" ref="I236">I235</f>
        <v>37</v>
      </c>
      <c r="J236" s="105"/>
      <c r="K236" s="101"/>
      <c r="L236" s="96"/>
      <c r="M236" s="75"/>
      <c r="N236" s="75"/>
      <c r="O236" s="75"/>
      <c r="P236" s="75"/>
      <c r="Q236" s="75"/>
      <c r="R236" s="75"/>
      <c r="S236" s="75"/>
      <c r="T236" s="75"/>
      <c r="U236" s="75"/>
      <c r="V236" s="75"/>
      <c r="W236" s="75"/>
      <c r="X236" s="75"/>
      <c r="Y236" s="75"/>
      <c r="Z236" s="75"/>
      <c r="AA236" s="75"/>
      <c r="AB236" s="75"/>
    </row>
    <row r="237" ht="12.75" customHeight="1">
      <c r="A237" s="97">
        <v>43455</v>
      </c>
      <c r="B237" s="98"/>
      <c r="C237" t="s" s="116">
        <v>34</v>
      </c>
      <c r="D237" t="s" s="79">
        <v>275</v>
      </c>
      <c r="E237" s="100"/>
      <c r="F237" s="101"/>
      <c r="G237" s="102">
        <v>873.67</v>
      </c>
      <c r="H237" s="103" cm="1">
        <f t="array" ref="H237">G237/I237</f>
        <v>23.6127027027027</v>
      </c>
      <c r="I237" s="104" cm="1">
        <f t="array" ref="I237">I236</f>
        <v>37</v>
      </c>
      <c r="J237" s="105"/>
      <c r="K237" s="101"/>
      <c r="L237" s="96"/>
      <c r="M237" s="75"/>
      <c r="N237" s="75"/>
      <c r="O237" s="75"/>
      <c r="P237" s="75"/>
      <c r="Q237" s="75"/>
      <c r="R237" s="75"/>
      <c r="S237" s="75"/>
      <c r="T237" s="75"/>
      <c r="U237" s="75"/>
      <c r="V237" s="75"/>
      <c r="W237" s="75"/>
      <c r="X237" s="75"/>
      <c r="Y237" s="75"/>
      <c r="Z237" s="75"/>
      <c r="AA237" s="75"/>
      <c r="AB237" s="75"/>
    </row>
    <row r="238" ht="12.75" customHeight="1">
      <c r="A238" s="106">
        <v>43462</v>
      </c>
      <c r="B238" s="124">
        <v>756</v>
      </c>
      <c r="C238" t="s" s="115">
        <v>276</v>
      </c>
      <c r="D238" t="s" s="109">
        <v>277</v>
      </c>
      <c r="E238" s="110"/>
      <c r="F238" s="111"/>
      <c r="G238" s="112">
        <v>36315.9</v>
      </c>
      <c r="H238" s="113" cm="1">
        <f t="array" ref="H238">G238/I238</f>
        <v>931.176923076923</v>
      </c>
      <c r="I238" s="114">
        <v>39</v>
      </c>
      <c r="J238" s="105"/>
      <c r="K238" s="101"/>
      <c r="L238" s="96"/>
      <c r="M238" s="75"/>
      <c r="N238" s="75"/>
      <c r="O238" s="75"/>
      <c r="P238" s="75"/>
      <c r="Q238" s="75"/>
      <c r="R238" s="75"/>
      <c r="S238" s="75"/>
      <c r="T238" s="75"/>
      <c r="U238" s="75"/>
      <c r="V238" s="75"/>
      <c r="W238" s="75"/>
      <c r="X238" s="75"/>
      <c r="Y238" s="75"/>
      <c r="Z238" s="75"/>
      <c r="AA238" s="75"/>
      <c r="AB238" s="75"/>
    </row>
    <row r="239" ht="12.75" customHeight="1">
      <c r="A239" s="97">
        <v>43468</v>
      </c>
      <c r="B239" s="121">
        <v>10243</v>
      </c>
      <c r="C239" t="s" s="116">
        <v>278</v>
      </c>
      <c r="D239" t="s" s="79">
        <v>279</v>
      </c>
      <c r="E239" s="100"/>
      <c r="F239" s="101"/>
      <c r="G239" s="102">
        <v>22781.68</v>
      </c>
      <c r="H239" s="103" cm="1">
        <f t="array" ref="H239">G239/I239</f>
        <v>584.145641025641</v>
      </c>
      <c r="I239" s="104" cm="1">
        <f t="array" ref="I239">I238</f>
        <v>39</v>
      </c>
      <c r="J239" s="105"/>
      <c r="K239" s="101"/>
      <c r="L239" s="96"/>
      <c r="M239" s="75"/>
      <c r="N239" s="75"/>
      <c r="O239" s="75"/>
      <c r="P239" s="75"/>
      <c r="Q239" s="75"/>
      <c r="R239" s="75"/>
      <c r="S239" s="75"/>
      <c r="T239" s="75"/>
      <c r="U239" s="75"/>
      <c r="V239" s="75"/>
      <c r="W239" s="75"/>
      <c r="X239" s="75"/>
      <c r="Y239" s="75"/>
      <c r="Z239" s="75"/>
      <c r="AA239" s="75"/>
      <c r="AB239" s="75"/>
    </row>
    <row r="240" ht="12.75" customHeight="1">
      <c r="A240" s="106">
        <v>43469</v>
      </c>
      <c r="B240" s="124">
        <v>9917</v>
      </c>
      <c r="C240" t="s" s="115">
        <v>278</v>
      </c>
      <c r="D240" t="s" s="109">
        <v>280</v>
      </c>
      <c r="E240" s="110"/>
      <c r="F240" s="111"/>
      <c r="G240" s="112">
        <v>640</v>
      </c>
      <c r="H240" s="113">
        <v>17</v>
      </c>
      <c r="I240" s="114">
        <v>38.4</v>
      </c>
      <c r="J240" s="105"/>
      <c r="K240" s="101"/>
      <c r="L240" s="96"/>
      <c r="M240" s="75"/>
      <c r="N240" s="75"/>
      <c r="O240" s="75"/>
      <c r="P240" s="75"/>
      <c r="Q240" s="75"/>
      <c r="R240" s="75"/>
      <c r="S240" s="75"/>
      <c r="T240" s="75"/>
      <c r="U240" s="75"/>
      <c r="V240" s="75"/>
      <c r="W240" s="75"/>
      <c r="X240" s="75"/>
      <c r="Y240" s="75"/>
      <c r="Z240" s="75"/>
      <c r="AA240" s="75"/>
      <c r="AB240" s="75"/>
    </row>
    <row r="241" ht="12.75" customHeight="1">
      <c r="A241" s="97">
        <v>43471</v>
      </c>
      <c r="B241" s="98"/>
      <c r="C241" t="s" s="116">
        <v>278</v>
      </c>
      <c r="D241" t="s" s="79">
        <v>281</v>
      </c>
      <c r="E241" s="100"/>
      <c r="F241" s="101"/>
      <c r="G241" s="102">
        <v>75</v>
      </c>
      <c r="H241" s="103" cm="1">
        <f t="array" ref="H241">G241/I241</f>
        <v>1.953125</v>
      </c>
      <c r="I241" s="104" cm="1">
        <f t="array" ref="I241">I240</f>
        <v>38.4</v>
      </c>
      <c r="J241" s="105"/>
      <c r="K241" s="101"/>
      <c r="L241" s="96"/>
      <c r="M241" s="75"/>
      <c r="N241" s="75"/>
      <c r="O241" s="75"/>
      <c r="P241" s="75"/>
      <c r="Q241" s="75"/>
      <c r="R241" s="75"/>
      <c r="S241" s="75"/>
      <c r="T241" s="75"/>
      <c r="U241" s="75"/>
      <c r="V241" s="75"/>
      <c r="W241" s="75"/>
      <c r="X241" s="75"/>
      <c r="Y241" s="75"/>
      <c r="Z241" s="75"/>
      <c r="AA241" s="75"/>
      <c r="AB241" s="75"/>
    </row>
    <row r="242" ht="12.75" customHeight="1">
      <c r="A242" s="106">
        <v>43474</v>
      </c>
      <c r="B242" s="107"/>
      <c r="C242" t="s" s="115">
        <v>99</v>
      </c>
      <c r="D242" t="s" s="109">
        <v>282</v>
      </c>
      <c r="E242" s="110"/>
      <c r="F242" s="111"/>
      <c r="G242" s="112">
        <v>2271.23</v>
      </c>
      <c r="H242" s="113" cm="1">
        <f t="array" ref="H242">G242/I242</f>
        <v>59.1466145833333</v>
      </c>
      <c r="I242" s="114" cm="1">
        <f t="array" ref="I242">I241</f>
        <v>38.4</v>
      </c>
      <c r="J242" s="105"/>
      <c r="K242" s="101"/>
      <c r="L242" s="96"/>
      <c r="M242" s="75"/>
      <c r="N242" s="75"/>
      <c r="O242" s="75"/>
      <c r="P242" s="75"/>
      <c r="Q242" s="75"/>
      <c r="R242" s="75"/>
      <c r="S242" s="75"/>
      <c r="T242" s="75"/>
      <c r="U242" s="75"/>
      <c r="V242" s="75"/>
      <c r="W242" s="75"/>
      <c r="X242" s="75"/>
      <c r="Y242" s="75"/>
      <c r="Z242" s="75"/>
      <c r="AA242" s="75"/>
      <c r="AB242" s="75"/>
    </row>
    <row r="243" ht="12.75" customHeight="1">
      <c r="A243" s="97">
        <v>43475</v>
      </c>
      <c r="B243" s="98"/>
      <c r="C243" t="s" s="116">
        <v>41</v>
      </c>
      <c r="D243" t="s" s="79">
        <v>283</v>
      </c>
      <c r="E243" s="100"/>
      <c r="F243" s="101"/>
      <c r="G243" s="102">
        <v>8997.23</v>
      </c>
      <c r="H243" s="103" cm="1">
        <f t="array" ref="H243">G243/I243</f>
        <v>234.302864583333</v>
      </c>
      <c r="I243" s="104" cm="1">
        <f t="array" ref="I243">I242</f>
        <v>38.4</v>
      </c>
      <c r="J243" s="105"/>
      <c r="K243" s="101"/>
      <c r="L243" s="96"/>
      <c r="M243" s="75"/>
      <c r="N243" s="75"/>
      <c r="O243" s="75"/>
      <c r="P243" s="75"/>
      <c r="Q243" s="75"/>
      <c r="R243" s="75"/>
      <c r="S243" s="75"/>
      <c r="T243" s="75"/>
      <c r="U243" s="75"/>
      <c r="V243" s="75"/>
      <c r="W243" s="75"/>
      <c r="X243" s="75"/>
      <c r="Y243" s="75"/>
      <c r="Z243" s="75"/>
      <c r="AA243" s="75"/>
      <c r="AB243" s="75"/>
    </row>
    <row r="244" ht="12.75" customHeight="1">
      <c r="A244" s="106">
        <v>43476</v>
      </c>
      <c r="B244" s="107"/>
      <c r="C244" t="s" s="115">
        <v>278</v>
      </c>
      <c r="D244" t="s" s="109">
        <v>279</v>
      </c>
      <c r="E244" s="110"/>
      <c r="F244" s="111"/>
      <c r="G244" s="112">
        <v>3254.53</v>
      </c>
      <c r="H244" s="113" cm="1">
        <f t="array" ref="H244">G244/I244</f>
        <v>84.7533854166667</v>
      </c>
      <c r="I244" s="114" cm="1">
        <f t="array" ref="I244">I243</f>
        <v>38.4</v>
      </c>
      <c r="J244" s="105"/>
      <c r="K244" s="101"/>
      <c r="L244" s="96"/>
      <c r="M244" s="75"/>
      <c r="N244" s="75"/>
      <c r="O244" s="75"/>
      <c r="P244" s="75"/>
      <c r="Q244" s="75"/>
      <c r="R244" s="75"/>
      <c r="S244" s="75"/>
      <c r="T244" s="75"/>
      <c r="U244" s="75"/>
      <c r="V244" s="75"/>
      <c r="W244" s="75"/>
      <c r="X244" s="75"/>
      <c r="Y244" s="75"/>
      <c r="Z244" s="75"/>
      <c r="AA244" s="75"/>
      <c r="AB244" s="75"/>
    </row>
    <row r="245" ht="12.75" customHeight="1">
      <c r="A245" s="97">
        <v>43486</v>
      </c>
      <c r="B245" s="121">
        <v>34895</v>
      </c>
      <c r="C245" t="s" s="116">
        <v>220</v>
      </c>
      <c r="D245" t="s" s="79">
        <v>284</v>
      </c>
      <c r="E245" s="100"/>
      <c r="F245" s="101"/>
      <c r="G245" s="102">
        <v>87007.12</v>
      </c>
      <c r="H245" s="103" cm="1">
        <f t="array" ref="H245">G245/I245</f>
        <v>2265.810416666670</v>
      </c>
      <c r="I245" s="104" cm="1">
        <f t="array" ref="I245">I244</f>
        <v>38.4</v>
      </c>
      <c r="J245" s="105"/>
      <c r="K245" s="101"/>
      <c r="L245" s="96"/>
      <c r="M245" s="75"/>
      <c r="N245" s="75"/>
      <c r="O245" s="75"/>
      <c r="P245" s="75"/>
      <c r="Q245" s="75"/>
      <c r="R245" s="75"/>
      <c r="S245" s="75"/>
      <c r="T245" s="75"/>
      <c r="U245" s="75"/>
      <c r="V245" s="75"/>
      <c r="W245" s="75"/>
      <c r="X245" s="75"/>
      <c r="Y245" s="75"/>
      <c r="Z245" s="75"/>
      <c r="AA245" s="75"/>
      <c r="AB245" s="75"/>
    </row>
    <row r="246" ht="12.75" customHeight="1">
      <c r="A246" s="106">
        <v>43488</v>
      </c>
      <c r="B246" s="107"/>
      <c r="C246" t="s" s="115">
        <v>34</v>
      </c>
      <c r="D246" t="s" s="109">
        <v>285</v>
      </c>
      <c r="E246" s="110"/>
      <c r="F246" s="111"/>
      <c r="G246" s="112">
        <v>907.1799999999999</v>
      </c>
      <c r="H246" s="113" cm="1">
        <f t="array" ref="H246">G246/I246</f>
        <v>23.6244791666667</v>
      </c>
      <c r="I246" s="114" cm="1">
        <f t="array" ref="I246">I245</f>
        <v>38.4</v>
      </c>
      <c r="J246" t="s" s="116">
        <v>286</v>
      </c>
      <c r="K246" s="101"/>
      <c r="L246" s="96"/>
      <c r="M246" s="75"/>
      <c r="N246" s="75"/>
      <c r="O246" s="75"/>
      <c r="P246" s="75"/>
      <c r="Q246" s="75"/>
      <c r="R246" s="75"/>
      <c r="S246" s="75"/>
      <c r="T246" s="75"/>
      <c r="U246" s="75"/>
      <c r="V246" s="75"/>
      <c r="W246" s="75"/>
      <c r="X246" s="75"/>
      <c r="Y246" s="75"/>
      <c r="Z246" s="75"/>
      <c r="AA246" s="75"/>
      <c r="AB246" s="75"/>
    </row>
    <row r="247" ht="12.75" customHeight="1">
      <c r="A247" s="97">
        <v>43500</v>
      </c>
      <c r="B247" s="121">
        <v>2207</v>
      </c>
      <c r="C247" t="s" s="116">
        <v>276</v>
      </c>
      <c r="D247" t="s" s="79">
        <v>287</v>
      </c>
      <c r="E247" s="100"/>
      <c r="F247" s="101"/>
      <c r="G247" s="102">
        <v>997.86</v>
      </c>
      <c r="H247" s="103" cm="1">
        <f t="array" ref="H247">G247/I247</f>
        <v>25.9859375</v>
      </c>
      <c r="I247" s="104" cm="1">
        <f t="array" ref="I247">I246</f>
        <v>38.4</v>
      </c>
      <c r="J247" s="105"/>
      <c r="K247" s="101"/>
      <c r="L247" s="96"/>
      <c r="M247" s="75"/>
      <c r="N247" s="75"/>
      <c r="O247" s="75"/>
      <c r="P247" s="75"/>
      <c r="Q247" s="75"/>
      <c r="R247" s="75"/>
      <c r="S247" s="75"/>
      <c r="T247" s="75"/>
      <c r="U247" s="75"/>
      <c r="V247" s="75"/>
      <c r="W247" s="75"/>
      <c r="X247" s="75"/>
      <c r="Y247" s="75"/>
      <c r="Z247" s="75"/>
      <c r="AA247" s="75"/>
      <c r="AB247" s="75"/>
    </row>
    <row r="248" ht="12.75" customHeight="1">
      <c r="A248" s="106">
        <v>43500</v>
      </c>
      <c r="B248" s="124">
        <v>65961</v>
      </c>
      <c r="C248" t="s" s="115">
        <v>276</v>
      </c>
      <c r="D248" t="s" s="109">
        <v>288</v>
      </c>
      <c r="E248" s="110"/>
      <c r="F248" s="111"/>
      <c r="G248" s="112">
        <v>4592.88</v>
      </c>
      <c r="H248" s="113">
        <v>121</v>
      </c>
      <c r="I248" s="114" cm="1">
        <f t="array" ref="I248">I247</f>
        <v>38.4</v>
      </c>
      <c r="J248" s="105"/>
      <c r="K248" s="101"/>
      <c r="L248" s="96"/>
      <c r="M248" s="75"/>
      <c r="N248" s="75"/>
      <c r="O248" s="75"/>
      <c r="P248" s="75"/>
      <c r="Q248" s="75"/>
      <c r="R248" s="75"/>
      <c r="S248" s="75"/>
      <c r="T248" s="75"/>
      <c r="U248" s="75"/>
      <c r="V248" s="75"/>
      <c r="W248" s="75"/>
      <c r="X248" s="75"/>
      <c r="Y248" s="75"/>
      <c r="Z248" s="75"/>
      <c r="AA248" s="75"/>
      <c r="AB248" s="75"/>
    </row>
    <row r="249" ht="12.75" customHeight="1">
      <c r="A249" s="97">
        <v>43503</v>
      </c>
      <c r="B249" s="98"/>
      <c r="C249" t="s" s="116">
        <v>99</v>
      </c>
      <c r="D249" t="s" s="79">
        <v>289</v>
      </c>
      <c r="E249" s="100"/>
      <c r="F249" s="101"/>
      <c r="G249" s="102">
        <v>3900.98</v>
      </c>
      <c r="H249" s="103" cm="1">
        <f t="array" ref="H249">G249/I249</f>
        <v>101.588020833333</v>
      </c>
      <c r="I249" s="104" cm="1">
        <f t="array" ref="I249">I248</f>
        <v>38.4</v>
      </c>
      <c r="J249" s="105"/>
      <c r="K249" s="101"/>
      <c r="L249" s="96"/>
      <c r="M249" s="75"/>
      <c r="N249" s="75"/>
      <c r="O249" s="75"/>
      <c r="P249" s="75"/>
      <c r="Q249" s="75"/>
      <c r="R249" s="75"/>
      <c r="S249" s="75"/>
      <c r="T249" s="75"/>
      <c r="U249" s="75"/>
      <c r="V249" s="75"/>
      <c r="W249" s="75"/>
      <c r="X249" s="75"/>
      <c r="Y249" s="75"/>
      <c r="Z249" s="75"/>
      <c r="AA249" s="75"/>
      <c r="AB249" s="75"/>
    </row>
    <row r="250" ht="12.75" customHeight="1">
      <c r="A250" s="106">
        <v>43508</v>
      </c>
      <c r="B250" s="107"/>
      <c r="C250" t="s" s="115">
        <v>41</v>
      </c>
      <c r="D250" t="s" s="109">
        <v>290</v>
      </c>
      <c r="E250" s="110"/>
      <c r="F250" s="111"/>
      <c r="G250" s="112">
        <v>8997.23</v>
      </c>
      <c r="H250" s="113" cm="1">
        <f t="array" ref="H250">G250/I250</f>
        <v>234.302864583333</v>
      </c>
      <c r="I250" s="114" cm="1">
        <f t="array" ref="I250">I249</f>
        <v>38.4</v>
      </c>
      <c r="J250" s="105"/>
      <c r="K250" s="101"/>
      <c r="L250" s="96"/>
      <c r="M250" s="75"/>
      <c r="N250" s="75"/>
      <c r="O250" s="75"/>
      <c r="P250" s="75"/>
      <c r="Q250" s="75"/>
      <c r="R250" s="75"/>
      <c r="S250" s="75"/>
      <c r="T250" s="75"/>
      <c r="U250" s="75"/>
      <c r="V250" s="75"/>
      <c r="W250" s="75"/>
      <c r="X250" s="75"/>
      <c r="Y250" s="75"/>
      <c r="Z250" s="75"/>
      <c r="AA250" s="75"/>
      <c r="AB250" s="75"/>
    </row>
    <row r="251" ht="12.75" customHeight="1">
      <c r="A251" s="97">
        <v>43508</v>
      </c>
      <c r="B251" s="98"/>
      <c r="C251" t="s" s="116">
        <v>32</v>
      </c>
      <c r="D251" t="s" s="79">
        <v>291</v>
      </c>
      <c r="E251" s="100"/>
      <c r="F251" s="101"/>
      <c r="G251" s="102">
        <v>115691.3</v>
      </c>
      <c r="H251" s="103" cm="1">
        <f t="array" ref="H251">G251/I251</f>
        <v>3012.794270833330</v>
      </c>
      <c r="I251" s="104" cm="1">
        <f t="array" ref="I251">I250</f>
        <v>38.4</v>
      </c>
      <c r="J251" s="105"/>
      <c r="K251" s="101"/>
      <c r="L251" s="96"/>
      <c r="M251" s="75"/>
      <c r="N251" s="75"/>
      <c r="O251" s="75"/>
      <c r="P251" s="75"/>
      <c r="Q251" s="75"/>
      <c r="R251" s="75"/>
      <c r="S251" s="75"/>
      <c r="T251" s="75"/>
      <c r="U251" s="75"/>
      <c r="V251" s="75"/>
      <c r="W251" s="75"/>
      <c r="X251" s="75"/>
      <c r="Y251" s="75"/>
      <c r="Z251" s="75"/>
      <c r="AA251" s="75"/>
      <c r="AB251" s="75"/>
    </row>
    <row r="252" ht="12.75" customHeight="1">
      <c r="A252" s="106">
        <v>43518</v>
      </c>
      <c r="B252" s="107"/>
      <c r="C252" t="s" s="115">
        <v>34</v>
      </c>
      <c r="D252" t="s" s="109">
        <v>292</v>
      </c>
      <c r="E252" s="110"/>
      <c r="F252" s="111"/>
      <c r="G252" s="112">
        <v>907.1799999999999</v>
      </c>
      <c r="H252" s="113">
        <v>23</v>
      </c>
      <c r="I252" s="114" cm="1">
        <f t="array" ref="I252">G252/H252</f>
        <v>39.4426086956522</v>
      </c>
      <c r="J252" s="105"/>
      <c r="K252" s="101"/>
      <c r="L252" s="96"/>
      <c r="M252" s="75"/>
      <c r="N252" s="75"/>
      <c r="O252" s="75"/>
      <c r="P252" s="75"/>
      <c r="Q252" s="75"/>
      <c r="R252" s="75"/>
      <c r="S252" s="75"/>
      <c r="T252" s="75"/>
      <c r="U252" s="75"/>
      <c r="V252" s="75"/>
      <c r="W252" s="75"/>
      <c r="X252" s="75"/>
      <c r="Y252" s="75"/>
      <c r="Z252" s="75"/>
      <c r="AA252" s="75"/>
      <c r="AB252" s="75"/>
    </row>
    <row r="253" ht="12.75" customHeight="1">
      <c r="A253" s="97">
        <v>43535</v>
      </c>
      <c r="B253" s="98"/>
      <c r="C253" t="s" s="116">
        <v>99</v>
      </c>
      <c r="D253" t="s" s="79">
        <v>293</v>
      </c>
      <c r="E253" s="100"/>
      <c r="F253" s="101"/>
      <c r="G253" s="102">
        <v>3906.8</v>
      </c>
      <c r="H253" s="103" cm="1">
        <f t="array" ref="H253">G253/I253</f>
        <v>101.739583333333</v>
      </c>
      <c r="I253" s="104" cm="1">
        <f t="array" ref="I253">I251</f>
        <v>38.4</v>
      </c>
      <c r="J253" s="105"/>
      <c r="K253" s="101"/>
      <c r="L253" s="96"/>
      <c r="M253" s="75"/>
      <c r="N253" s="75"/>
      <c r="O253" s="75"/>
      <c r="P253" s="75"/>
      <c r="Q253" s="75"/>
      <c r="R253" s="75"/>
      <c r="S253" s="75"/>
      <c r="T253" s="75"/>
      <c r="U253" s="75"/>
      <c r="V253" s="75"/>
      <c r="W253" s="75"/>
      <c r="X253" s="75"/>
      <c r="Y253" s="75"/>
      <c r="Z253" s="75"/>
      <c r="AA253" s="75"/>
      <c r="AB253" s="75"/>
    </row>
    <row r="254" ht="12.75" customHeight="1">
      <c r="A254" s="106">
        <v>43537</v>
      </c>
      <c r="B254" s="124">
        <v>17349</v>
      </c>
      <c r="C254" t="s" s="115">
        <v>278</v>
      </c>
      <c r="D254" t="s" s="109">
        <v>294</v>
      </c>
      <c r="E254" s="110"/>
      <c r="F254" s="111"/>
      <c r="G254" s="112">
        <v>8340.91</v>
      </c>
      <c r="H254" s="113">
        <v>204</v>
      </c>
      <c r="I254" s="114" cm="1">
        <f t="array" ref="I254">G254/H254</f>
        <v>40.8868137254902</v>
      </c>
      <c r="J254" s="105"/>
      <c r="K254" s="101"/>
      <c r="L254" s="96"/>
      <c r="M254" s="75"/>
      <c r="N254" s="75"/>
      <c r="O254" s="75"/>
      <c r="P254" s="75"/>
      <c r="Q254" s="75"/>
      <c r="R254" s="75"/>
      <c r="S254" s="75"/>
      <c r="T254" s="75"/>
      <c r="U254" s="75"/>
      <c r="V254" s="75"/>
      <c r="W254" s="75"/>
      <c r="X254" s="75"/>
      <c r="Y254" s="75"/>
      <c r="Z254" s="75"/>
      <c r="AA254" s="75"/>
      <c r="AB254" s="75"/>
    </row>
    <row r="255" ht="12.75" customHeight="1">
      <c r="A255" s="97">
        <v>43537</v>
      </c>
      <c r="B255" s="98"/>
      <c r="C255" t="s" s="116">
        <v>41</v>
      </c>
      <c r="D255" t="s" s="79">
        <v>295</v>
      </c>
      <c r="E255" s="100"/>
      <c r="F255" s="101"/>
      <c r="G255" s="102">
        <v>8997.23</v>
      </c>
      <c r="H255" s="103">
        <v>225</v>
      </c>
      <c r="I255" s="104" cm="1">
        <f t="array" ref="I255">G255/H255</f>
        <v>39.9876888888889</v>
      </c>
      <c r="J255" s="105"/>
      <c r="K255" s="101"/>
      <c r="L255" s="96"/>
      <c r="M255" s="75"/>
      <c r="N255" s="75"/>
      <c r="O255" s="75"/>
      <c r="P255" s="75"/>
      <c r="Q255" s="75"/>
      <c r="R255" s="75"/>
      <c r="S255" s="75"/>
      <c r="T255" s="75"/>
      <c r="U255" s="75"/>
      <c r="V255" s="75"/>
      <c r="W255" s="75"/>
      <c r="X255" s="75"/>
      <c r="Y255" s="75"/>
      <c r="Z255" s="75"/>
      <c r="AA255" s="75"/>
      <c r="AB255" s="75"/>
    </row>
    <row r="256" ht="12.75" customHeight="1">
      <c r="A256" s="106">
        <v>43544</v>
      </c>
      <c r="B256" s="107"/>
      <c r="C256" t="s" s="116">
        <v>149</v>
      </c>
      <c r="D256" t="s" s="109">
        <v>296</v>
      </c>
      <c r="E256" s="110"/>
      <c r="F256" s="111"/>
      <c r="G256" s="112">
        <v>3560</v>
      </c>
      <c r="H256" s="113">
        <v>85</v>
      </c>
      <c r="I256" s="114" cm="1">
        <f t="array" ref="I256">G256/H256</f>
        <v>41.8823529411765</v>
      </c>
      <c r="J256" s="105"/>
      <c r="K256" s="101"/>
      <c r="L256" s="96"/>
      <c r="M256" s="75"/>
      <c r="N256" s="75"/>
      <c r="O256" s="75"/>
      <c r="P256" s="75"/>
      <c r="Q256" s="75"/>
      <c r="R256" s="75"/>
      <c r="S256" s="75"/>
      <c r="T256" s="75"/>
      <c r="U256" s="75"/>
      <c r="V256" s="75"/>
      <c r="W256" s="75"/>
      <c r="X256" s="75"/>
      <c r="Y256" s="75"/>
      <c r="Z256" s="75"/>
      <c r="AA256" s="75"/>
      <c r="AB256" s="75"/>
    </row>
    <row r="257" ht="12.75" customHeight="1">
      <c r="A257" s="97">
        <v>43545</v>
      </c>
      <c r="B257" s="121">
        <v>67466</v>
      </c>
      <c r="C257" t="s" s="116">
        <v>276</v>
      </c>
      <c r="D257" t="s" s="79">
        <v>288</v>
      </c>
      <c r="E257" s="100"/>
      <c r="F257" s="101"/>
      <c r="G257" s="102">
        <v>1494.07</v>
      </c>
      <c r="H257" s="103">
        <v>37</v>
      </c>
      <c r="I257" s="104" cm="1">
        <f t="array" ref="I257">G257/H257</f>
        <v>40.3802702702703</v>
      </c>
      <c r="J257" s="105"/>
      <c r="K257" s="101"/>
      <c r="L257" s="96"/>
      <c r="M257" s="75"/>
      <c r="N257" s="75"/>
      <c r="O257" s="75"/>
      <c r="P257" s="75"/>
      <c r="Q257" s="75"/>
      <c r="R257" s="75"/>
      <c r="S257" s="75"/>
      <c r="T257" s="75"/>
      <c r="U257" s="75"/>
      <c r="V257" s="75"/>
      <c r="W257" s="75"/>
      <c r="X257" s="75"/>
      <c r="Y257" s="75"/>
      <c r="Z257" s="75"/>
      <c r="AA257" s="75"/>
      <c r="AB257" s="75"/>
    </row>
    <row r="258" ht="12.75" customHeight="1">
      <c r="A258" s="106">
        <v>43559</v>
      </c>
      <c r="B258" s="107"/>
      <c r="C258" t="s" s="115">
        <v>206</v>
      </c>
      <c r="D258" t="s" s="109">
        <v>297</v>
      </c>
      <c r="E258" s="110"/>
      <c r="F258" s="111"/>
      <c r="G258" s="112">
        <v>3600</v>
      </c>
      <c r="H258" s="113">
        <v>84</v>
      </c>
      <c r="I258" s="114" cm="1">
        <f t="array" ref="I258">G258/H258</f>
        <v>42.8571428571429</v>
      </c>
      <c r="J258" s="105"/>
      <c r="K258" s="101"/>
      <c r="L258" s="96"/>
      <c r="M258" s="75"/>
      <c r="N258" s="75"/>
      <c r="O258" s="75"/>
      <c r="P258" s="75"/>
      <c r="Q258" s="75"/>
      <c r="R258" s="75"/>
      <c r="S258" s="75"/>
      <c r="T258" s="75"/>
      <c r="U258" s="75"/>
      <c r="V258" s="75"/>
      <c r="W258" s="75"/>
      <c r="X258" s="75"/>
      <c r="Y258" s="75"/>
      <c r="Z258" s="75"/>
      <c r="AA258" s="75"/>
      <c r="AB258" s="75"/>
    </row>
    <row r="259" ht="12.75" customHeight="1">
      <c r="A259" s="97">
        <v>43563</v>
      </c>
      <c r="B259" s="98"/>
      <c r="C259" t="s" s="116">
        <v>34</v>
      </c>
      <c r="D259" t="s" s="79">
        <v>298</v>
      </c>
      <c r="E259" s="100"/>
      <c r="F259" s="101"/>
      <c r="G259" s="102">
        <v>908.5700000000001</v>
      </c>
      <c r="H259" s="103" cm="1">
        <f t="array" ref="H259">G259/I259</f>
        <v>21.1295348837209</v>
      </c>
      <c r="I259" s="104">
        <v>43</v>
      </c>
      <c r="J259" s="105"/>
      <c r="K259" s="101"/>
      <c r="L259" s="96"/>
      <c r="M259" s="75"/>
      <c r="N259" s="75"/>
      <c r="O259" s="75"/>
      <c r="P259" s="75"/>
      <c r="Q259" s="75"/>
      <c r="R259" s="75"/>
      <c r="S259" s="75"/>
      <c r="T259" s="75"/>
      <c r="U259" s="75"/>
      <c r="V259" s="75"/>
      <c r="W259" s="75"/>
      <c r="X259" s="75"/>
      <c r="Y259" s="75"/>
      <c r="Z259" s="75"/>
      <c r="AA259" s="75"/>
      <c r="AB259" s="75"/>
    </row>
    <row r="260" ht="12.75" customHeight="1">
      <c r="A260" s="106">
        <v>43565</v>
      </c>
      <c r="B260" s="124">
        <v>294</v>
      </c>
      <c r="C260" t="s" s="116">
        <v>299</v>
      </c>
      <c r="D260" t="s" s="109">
        <v>300</v>
      </c>
      <c r="E260" s="110"/>
      <c r="F260" s="111"/>
      <c r="G260" s="112">
        <v>383479.25</v>
      </c>
      <c r="H260" s="113">
        <v>8919</v>
      </c>
      <c r="I260" s="114" cm="1">
        <f t="array" ref="I260">G260/H260</f>
        <v>42.995767462720</v>
      </c>
      <c r="J260" s="105"/>
      <c r="K260" s="101"/>
      <c r="L260" s="96"/>
      <c r="M260" s="75"/>
      <c r="N260" s="75"/>
      <c r="O260" s="75"/>
      <c r="P260" s="75"/>
      <c r="Q260" s="75"/>
      <c r="R260" s="75"/>
      <c r="S260" s="75"/>
      <c r="T260" s="75"/>
      <c r="U260" s="75"/>
      <c r="V260" s="75"/>
      <c r="W260" s="75"/>
      <c r="X260" s="75"/>
      <c r="Y260" s="75"/>
      <c r="Z260" s="75"/>
      <c r="AA260" s="75"/>
      <c r="AB260" s="75"/>
    </row>
    <row r="261" ht="12.75" customHeight="1">
      <c r="A261" s="97">
        <v>43565</v>
      </c>
      <c r="B261" s="98"/>
      <c r="C261" t="s" s="116">
        <v>41</v>
      </c>
      <c r="D261" t="s" s="79">
        <v>301</v>
      </c>
      <c r="E261" s="100"/>
      <c r="F261" s="101"/>
      <c r="G261" s="102">
        <v>8997.23</v>
      </c>
      <c r="H261" s="103" cm="1">
        <f t="array" ref="H261">G261/I261</f>
        <v>209.237906976744</v>
      </c>
      <c r="I261" s="104">
        <v>43</v>
      </c>
      <c r="J261" s="105"/>
      <c r="K261" s="101"/>
      <c r="L261" s="96"/>
      <c r="M261" s="75"/>
      <c r="N261" s="75"/>
      <c r="O261" s="75"/>
      <c r="P261" s="75"/>
      <c r="Q261" s="75"/>
      <c r="R261" s="75"/>
      <c r="S261" s="75"/>
      <c r="T261" s="75"/>
      <c r="U261" s="75"/>
      <c r="V261" s="75"/>
      <c r="W261" s="75"/>
      <c r="X261" s="75"/>
      <c r="Y261" s="75"/>
      <c r="Z261" s="75"/>
      <c r="AA261" s="75"/>
      <c r="AB261" s="75"/>
    </row>
    <row r="262" ht="12.75" customHeight="1">
      <c r="A262" s="106">
        <v>43566</v>
      </c>
      <c r="B262" s="107"/>
      <c r="C262" t="s" s="115">
        <v>99</v>
      </c>
      <c r="D262" t="s" s="109">
        <v>302</v>
      </c>
      <c r="E262" s="110"/>
      <c r="F262" s="111"/>
      <c r="G262" s="112">
        <v>7699.83</v>
      </c>
      <c r="H262" s="113" cm="1">
        <f t="array" ref="H262">G262/I262</f>
        <v>179.083441333527</v>
      </c>
      <c r="I262" s="114" cm="1">
        <f t="array" ref="I262">I260</f>
        <v>42.995767462720</v>
      </c>
      <c r="J262" s="105"/>
      <c r="K262" s="101"/>
      <c r="L262" s="96"/>
      <c r="M262" s="75"/>
      <c r="N262" s="75"/>
      <c r="O262" s="75"/>
      <c r="P262" s="75"/>
      <c r="Q262" s="75"/>
      <c r="R262" s="75"/>
      <c r="S262" s="75"/>
      <c r="T262" s="75"/>
      <c r="U262" s="75"/>
      <c r="V262" s="75"/>
      <c r="W262" s="75"/>
      <c r="X262" s="75"/>
      <c r="Y262" s="75"/>
      <c r="Z262" s="75"/>
      <c r="AA262" s="75"/>
      <c r="AB262" s="75"/>
    </row>
    <row r="263" ht="12.75" customHeight="1">
      <c r="A263" s="97">
        <v>43578</v>
      </c>
      <c r="B263" s="98"/>
      <c r="C263" t="s" s="116">
        <v>34</v>
      </c>
      <c r="D263" t="s" s="79">
        <v>303</v>
      </c>
      <c r="E263" s="100"/>
      <c r="F263" s="101"/>
      <c r="G263" s="102">
        <v>901.67</v>
      </c>
      <c r="H263" s="103" cm="1">
        <f t="array" ref="H263">G263/I263</f>
        <v>20.0371111111111</v>
      </c>
      <c r="I263" s="104">
        <v>45</v>
      </c>
      <c r="J263" s="105"/>
      <c r="K263" s="101"/>
      <c r="L263" s="96"/>
      <c r="M263" s="75"/>
      <c r="N263" s="75"/>
      <c r="O263" s="75"/>
      <c r="P263" s="75"/>
      <c r="Q263" s="75"/>
      <c r="R263" s="75"/>
      <c r="S263" s="75"/>
      <c r="T263" s="75"/>
      <c r="U263" s="75"/>
      <c r="V263" s="75"/>
      <c r="W263" s="75"/>
      <c r="X263" s="75"/>
      <c r="Y263" s="75"/>
      <c r="Z263" s="75"/>
      <c r="AA263" s="75"/>
      <c r="AB263" s="75"/>
    </row>
    <row r="264" ht="12.75" customHeight="1">
      <c r="A264" s="106">
        <v>43579</v>
      </c>
      <c r="B264" s="107"/>
      <c r="C264" t="s" s="116">
        <v>149</v>
      </c>
      <c r="D264" t="s" s="109">
        <v>304</v>
      </c>
      <c r="E264" s="110"/>
      <c r="F264" s="111"/>
      <c r="G264" s="112">
        <v>4000</v>
      </c>
      <c r="H264" s="113" cm="1">
        <f t="array" ref="H264">G264/I264</f>
        <v>88.8888888888889</v>
      </c>
      <c r="I264" s="114" cm="1">
        <f t="array" ref="I264">I263</f>
        <v>45</v>
      </c>
      <c r="J264" s="105"/>
      <c r="K264" s="101"/>
      <c r="L264" s="96"/>
      <c r="M264" s="75"/>
      <c r="N264" s="75"/>
      <c r="O264" s="75"/>
      <c r="P264" s="75"/>
      <c r="Q264" s="75"/>
      <c r="R264" s="75"/>
      <c r="S264" s="75"/>
      <c r="T264" s="75"/>
      <c r="U264" s="75"/>
      <c r="V264" s="75"/>
      <c r="W264" s="75"/>
      <c r="X264" s="75"/>
      <c r="Y264" s="75"/>
      <c r="Z264" s="75"/>
      <c r="AA264" s="75"/>
      <c r="AB264" s="75"/>
    </row>
    <row r="265" ht="12.75" customHeight="1">
      <c r="A265" s="97">
        <v>43584</v>
      </c>
      <c r="B265" s="121">
        <v>5812</v>
      </c>
      <c r="C265" t="s" s="116">
        <v>67</v>
      </c>
      <c r="D265" t="s" s="79">
        <v>305</v>
      </c>
      <c r="E265" s="100"/>
      <c r="F265" s="101"/>
      <c r="G265" s="102">
        <v>11463.78</v>
      </c>
      <c r="H265" s="103">
        <v>254</v>
      </c>
      <c r="I265" s="104" cm="1">
        <f t="array" ref="I265">G265/H265</f>
        <v>45.1329921259843</v>
      </c>
      <c r="J265" s="105"/>
      <c r="K265" s="101"/>
      <c r="L265" s="96"/>
      <c r="M265" s="75"/>
      <c r="N265" s="75"/>
      <c r="O265" s="75"/>
      <c r="P265" s="75"/>
      <c r="Q265" s="75"/>
      <c r="R265" s="75"/>
      <c r="S265" s="75"/>
      <c r="T265" s="75"/>
      <c r="U265" s="75"/>
      <c r="V265" s="75"/>
      <c r="W265" s="75"/>
      <c r="X265" s="75"/>
      <c r="Y265" s="75"/>
      <c r="Z265" s="75"/>
      <c r="AA265" s="75"/>
      <c r="AB265" s="75"/>
    </row>
    <row r="266" ht="12.75" customHeight="1">
      <c r="A266" s="106">
        <v>43584</v>
      </c>
      <c r="B266" s="124">
        <v>12708</v>
      </c>
      <c r="C266" t="s" s="115">
        <v>255</v>
      </c>
      <c r="D266" t="s" s="109">
        <v>306</v>
      </c>
      <c r="E266" s="110"/>
      <c r="F266" s="111"/>
      <c r="G266" s="112">
        <v>4125</v>
      </c>
      <c r="H266" s="113">
        <v>92</v>
      </c>
      <c r="I266" s="114" cm="1">
        <f t="array" ref="I266">G266/H266</f>
        <v>44.8369565217391</v>
      </c>
      <c r="J266" s="105"/>
      <c r="K266" s="101"/>
      <c r="L266" s="96"/>
      <c r="M266" s="75"/>
      <c r="N266" s="75"/>
      <c r="O266" s="75"/>
      <c r="P266" s="75"/>
      <c r="Q266" s="75"/>
      <c r="R266" s="75"/>
      <c r="S266" s="75"/>
      <c r="T266" s="75"/>
      <c r="U266" s="75"/>
      <c r="V266" s="75"/>
      <c r="W266" s="75"/>
      <c r="X266" s="75"/>
      <c r="Y266" s="75"/>
      <c r="Z266" s="75"/>
      <c r="AA266" s="75"/>
      <c r="AB266" s="75"/>
    </row>
    <row r="267" ht="12.75" customHeight="1">
      <c r="A267" s="97">
        <v>43584</v>
      </c>
      <c r="B267" s="98"/>
      <c r="C267" t="s" s="116">
        <v>255</v>
      </c>
      <c r="D267" t="s" s="79">
        <v>307</v>
      </c>
      <c r="E267" s="100"/>
      <c r="F267" s="101"/>
      <c r="G267" s="102">
        <v>1000000</v>
      </c>
      <c r="H267" s="103">
        <v>22223</v>
      </c>
      <c r="I267" s="104" cm="1">
        <f t="array" ref="I267">G267/H267</f>
        <v>44.9984250551231</v>
      </c>
      <c r="J267" s="105"/>
      <c r="K267" s="101"/>
      <c r="L267" s="96"/>
      <c r="M267" s="75"/>
      <c r="N267" s="75"/>
      <c r="O267" s="75"/>
      <c r="P267" s="75"/>
      <c r="Q267" s="75"/>
      <c r="R267" s="75"/>
      <c r="S267" s="75"/>
      <c r="T267" s="75"/>
      <c r="U267" s="75"/>
      <c r="V267" s="75"/>
      <c r="W267" s="75"/>
      <c r="X267" s="75"/>
      <c r="Y267" s="75"/>
      <c r="Z267" s="75"/>
      <c r="AA267" s="75"/>
      <c r="AB267" s="75"/>
    </row>
    <row r="268" ht="12.75" customHeight="1">
      <c r="A268" s="106">
        <v>43585</v>
      </c>
      <c r="B268" s="124">
        <v>2695</v>
      </c>
      <c r="C268" t="s" s="115">
        <v>308</v>
      </c>
      <c r="D268" t="s" s="109">
        <v>309</v>
      </c>
      <c r="E268" s="110"/>
      <c r="F268" s="111"/>
      <c r="G268" s="112">
        <v>13043.31</v>
      </c>
      <c r="H268" s="113" cm="1">
        <f t="array" ref="H268">G268/I268</f>
        <v>290.905338181818</v>
      </c>
      <c r="I268" s="114" cm="1">
        <f t="array" ref="I268">I266</f>
        <v>44.8369565217391</v>
      </c>
      <c r="J268" s="105"/>
      <c r="K268" s="101"/>
      <c r="L268" s="96"/>
      <c r="M268" s="75"/>
      <c r="N268" s="75"/>
      <c r="O268" s="75"/>
      <c r="P268" s="75"/>
      <c r="Q268" s="75"/>
      <c r="R268" s="75"/>
      <c r="S268" s="75"/>
      <c r="T268" s="75"/>
      <c r="U268" s="75"/>
      <c r="V268" s="75"/>
      <c r="W268" s="75"/>
      <c r="X268" s="75"/>
      <c r="Y268" s="75"/>
      <c r="Z268" s="75"/>
      <c r="AA268" s="75"/>
      <c r="AB268" s="75"/>
    </row>
    <row r="269" ht="12.75" customHeight="1">
      <c r="A269" s="97">
        <v>43585</v>
      </c>
      <c r="B269" s="121">
        <v>12731</v>
      </c>
      <c r="C269" t="s" s="116">
        <v>255</v>
      </c>
      <c r="D269" t="s" s="79">
        <v>310</v>
      </c>
      <c r="E269" s="100"/>
      <c r="F269" s="101"/>
      <c r="G269" s="102">
        <v>31872.79</v>
      </c>
      <c r="H269" s="103" cm="1">
        <f t="array" ref="H269">G269/I269</f>
        <v>710.859801212122</v>
      </c>
      <c r="I269" s="104" cm="1">
        <f t="array" ref="I269">I268</f>
        <v>44.8369565217391</v>
      </c>
      <c r="J269" s="105"/>
      <c r="K269" s="101"/>
      <c r="L269" s="96"/>
      <c r="M269" s="75"/>
      <c r="N269" s="75"/>
      <c r="O269" s="75"/>
      <c r="P269" s="75"/>
      <c r="Q269" s="75"/>
      <c r="R269" s="75"/>
      <c r="S269" s="75"/>
      <c r="T269" s="75"/>
      <c r="U269" s="75"/>
      <c r="V269" s="75"/>
      <c r="W269" s="75"/>
      <c r="X269" s="75"/>
      <c r="Y269" s="75"/>
      <c r="Z269" s="75"/>
      <c r="AA269" s="75"/>
      <c r="AB269" s="75"/>
    </row>
    <row r="270" ht="12.75" customHeight="1">
      <c r="A270" s="106">
        <v>43588</v>
      </c>
      <c r="B270" s="124">
        <v>4294</v>
      </c>
      <c r="C270" t="s" s="115">
        <v>278</v>
      </c>
      <c r="D270" t="s" s="109">
        <v>311</v>
      </c>
      <c r="E270" s="110"/>
      <c r="F270" s="111"/>
      <c r="G270" s="112">
        <v>1489.97</v>
      </c>
      <c r="H270" s="113" cm="1">
        <f t="array" ref="H270">G270/I270</f>
        <v>33.1104444444444</v>
      </c>
      <c r="I270" s="114">
        <v>45</v>
      </c>
      <c r="J270" s="105"/>
      <c r="K270" s="101"/>
      <c r="L270" s="96"/>
      <c r="M270" s="75"/>
      <c r="N270" s="75"/>
      <c r="O270" s="75"/>
      <c r="P270" s="75"/>
      <c r="Q270" s="75"/>
      <c r="R270" s="75"/>
      <c r="S270" s="75"/>
      <c r="T270" s="75"/>
      <c r="U270" s="75"/>
      <c r="V270" s="75"/>
      <c r="W270" s="75"/>
      <c r="X270" s="75"/>
      <c r="Y270" s="75"/>
      <c r="Z270" s="75"/>
      <c r="AA270" s="75"/>
      <c r="AB270" s="75"/>
    </row>
    <row r="271" ht="12.75" customHeight="1">
      <c r="A271" s="97">
        <v>43592</v>
      </c>
      <c r="B271" s="121">
        <v>12835</v>
      </c>
      <c r="C271" t="s" s="116">
        <v>255</v>
      </c>
      <c r="D271" t="s" s="79">
        <v>312</v>
      </c>
      <c r="E271" s="100"/>
      <c r="F271" s="101"/>
      <c r="G271" s="102">
        <v>2757.18</v>
      </c>
      <c r="H271" s="103">
        <v>62</v>
      </c>
      <c r="I271" s="104" cm="1">
        <f t="array" ref="I271">G271/H271</f>
        <v>44.4706451612903</v>
      </c>
      <c r="J271" s="105"/>
      <c r="K271" s="101"/>
      <c r="L271" s="96"/>
      <c r="M271" s="75"/>
      <c r="N271" s="75"/>
      <c r="O271" s="75"/>
      <c r="P271" s="75"/>
      <c r="Q271" s="75"/>
      <c r="R271" s="75"/>
      <c r="S271" s="75"/>
      <c r="T271" s="75"/>
      <c r="U271" s="75"/>
      <c r="V271" s="75"/>
      <c r="W271" s="75"/>
      <c r="X271" s="75"/>
      <c r="Y271" s="75"/>
      <c r="Z271" s="75"/>
      <c r="AA271" s="75"/>
      <c r="AB271" s="75"/>
    </row>
    <row r="272" ht="12.75" customHeight="1">
      <c r="A272" s="106">
        <v>43593</v>
      </c>
      <c r="B272" s="124">
        <v>3</v>
      </c>
      <c r="C272" t="s" s="115">
        <v>278</v>
      </c>
      <c r="D272" t="s" s="109">
        <v>313</v>
      </c>
      <c r="E272" s="110"/>
      <c r="F272" s="111"/>
      <c r="G272" s="112">
        <v>23000</v>
      </c>
      <c r="H272" s="113">
        <v>500</v>
      </c>
      <c r="I272" s="114" cm="1">
        <f t="array" ref="I272">G272/H272</f>
        <v>46</v>
      </c>
      <c r="J272" s="105"/>
      <c r="K272" s="101"/>
      <c r="L272" s="96"/>
      <c r="M272" s="75"/>
      <c r="N272" s="75"/>
      <c r="O272" s="75"/>
      <c r="P272" s="75"/>
      <c r="Q272" s="75"/>
      <c r="R272" s="75"/>
      <c r="S272" s="75"/>
      <c r="T272" s="75"/>
      <c r="U272" s="75"/>
      <c r="V272" s="75"/>
      <c r="W272" s="75"/>
      <c r="X272" s="75"/>
      <c r="Y272" s="75"/>
      <c r="Z272" s="75"/>
      <c r="AA272" s="75"/>
      <c r="AB272" s="75"/>
    </row>
    <row r="273" ht="12.75" customHeight="1">
      <c r="A273" s="97">
        <v>43595</v>
      </c>
      <c r="B273" s="98"/>
      <c r="C273" t="s" s="116">
        <v>41</v>
      </c>
      <c r="D273" t="s" s="79">
        <v>314</v>
      </c>
      <c r="E273" s="100"/>
      <c r="F273" s="101"/>
      <c r="G273" s="102">
        <v>8997.23</v>
      </c>
      <c r="H273" s="103" cm="1">
        <f t="array" ref="H273">G273/I273</f>
        <v>195.591956521739</v>
      </c>
      <c r="I273" s="104" cm="1">
        <f t="array" ref="I273">I272</f>
        <v>46</v>
      </c>
      <c r="J273" s="105"/>
      <c r="K273" s="101"/>
      <c r="L273" s="96"/>
      <c r="M273" s="75"/>
      <c r="N273" s="75"/>
      <c r="O273" s="75"/>
      <c r="P273" s="75"/>
      <c r="Q273" s="75"/>
      <c r="R273" s="75"/>
      <c r="S273" s="75"/>
      <c r="T273" s="75"/>
      <c r="U273" s="75"/>
      <c r="V273" s="75"/>
      <c r="W273" s="75"/>
      <c r="X273" s="75"/>
      <c r="Y273" s="75"/>
      <c r="Z273" s="75"/>
      <c r="AA273" s="75"/>
      <c r="AB273" s="75"/>
    </row>
    <row r="274" ht="12.75" customHeight="1">
      <c r="A274" s="106">
        <v>43595</v>
      </c>
      <c r="B274" s="107"/>
      <c r="C274" t="s" s="115">
        <v>99</v>
      </c>
      <c r="D274" t="s" s="109">
        <v>315</v>
      </c>
      <c r="E274" s="110"/>
      <c r="F274" s="111"/>
      <c r="G274" s="112">
        <v>7699.83</v>
      </c>
      <c r="H274" s="113" cm="1">
        <f t="array" ref="H274">G274/I274</f>
        <v>167.387608695652</v>
      </c>
      <c r="I274" s="114" cm="1">
        <f t="array" ref="I274">I273</f>
        <v>46</v>
      </c>
      <c r="J274" s="105"/>
      <c r="K274" s="101"/>
      <c r="L274" s="96"/>
      <c r="M274" s="75"/>
      <c r="N274" s="75"/>
      <c r="O274" s="75"/>
      <c r="P274" s="75"/>
      <c r="Q274" s="75"/>
      <c r="R274" s="75"/>
      <c r="S274" s="75"/>
      <c r="T274" s="75"/>
      <c r="U274" s="75"/>
      <c r="V274" s="75"/>
      <c r="W274" s="75"/>
      <c r="X274" s="75"/>
      <c r="Y274" s="75"/>
      <c r="Z274" s="75"/>
      <c r="AA274" s="75"/>
      <c r="AB274" s="75"/>
    </row>
    <row r="275" ht="12.75" customHeight="1">
      <c r="A275" s="97">
        <v>43599</v>
      </c>
      <c r="B275" s="98"/>
      <c r="C275" t="s" s="116">
        <v>278</v>
      </c>
      <c r="D275" t="s" s="79">
        <v>316</v>
      </c>
      <c r="E275" s="100"/>
      <c r="F275" s="101"/>
      <c r="G275" s="102">
        <v>99.98999999999999</v>
      </c>
      <c r="H275" s="103" cm="1">
        <f t="array" ref="H275">G275/I275</f>
        <v>2.17369565217391</v>
      </c>
      <c r="I275" s="104" cm="1">
        <f t="array" ref="I275">I274</f>
        <v>46</v>
      </c>
      <c r="J275" s="105"/>
      <c r="K275" s="101"/>
      <c r="L275" s="96"/>
      <c r="M275" s="75"/>
      <c r="N275" s="75"/>
      <c r="O275" s="75"/>
      <c r="P275" s="75"/>
      <c r="Q275" s="75"/>
      <c r="R275" s="75"/>
      <c r="S275" s="75"/>
      <c r="T275" s="75"/>
      <c r="U275" s="75"/>
      <c r="V275" s="75"/>
      <c r="W275" s="75"/>
      <c r="X275" s="75"/>
      <c r="Y275" s="75"/>
      <c r="Z275" s="75"/>
      <c r="AA275" s="75"/>
      <c r="AB275" s="75"/>
    </row>
    <row r="276" ht="12.75" customHeight="1">
      <c r="A276" s="106">
        <v>43599</v>
      </c>
      <c r="B276" s="124">
        <v>68519</v>
      </c>
      <c r="C276" t="s" s="115">
        <v>276</v>
      </c>
      <c r="D276" t="s" s="109">
        <v>317</v>
      </c>
      <c r="E276" s="110"/>
      <c r="F276" s="111"/>
      <c r="G276" s="112">
        <v>7214.68</v>
      </c>
      <c r="H276" s="113">
        <v>155</v>
      </c>
      <c r="I276" s="114" cm="1">
        <f t="array" ref="I276">G276/H276</f>
        <v>46.5463225806452</v>
      </c>
      <c r="J276" s="105"/>
      <c r="K276" s="101"/>
      <c r="L276" s="96"/>
      <c r="M276" s="75"/>
      <c r="N276" s="75"/>
      <c r="O276" s="75"/>
      <c r="P276" s="75"/>
      <c r="Q276" s="75"/>
      <c r="R276" s="75"/>
      <c r="S276" s="75"/>
      <c r="T276" s="75"/>
      <c r="U276" s="75"/>
      <c r="V276" s="75"/>
      <c r="W276" s="75"/>
      <c r="X276" s="75"/>
      <c r="Y276" s="75"/>
      <c r="Z276" s="75"/>
      <c r="AA276" s="75"/>
      <c r="AB276" s="75"/>
    </row>
    <row r="277" ht="12.75" customHeight="1">
      <c r="A277" s="97">
        <v>43600</v>
      </c>
      <c r="B277" s="121">
        <v>12960</v>
      </c>
      <c r="C277" t="s" s="116">
        <v>255</v>
      </c>
      <c r="D277" t="s" s="79">
        <v>318</v>
      </c>
      <c r="E277" s="100"/>
      <c r="F277" s="101"/>
      <c r="G277" s="102">
        <v>4700</v>
      </c>
      <c r="H277" s="103">
        <v>105</v>
      </c>
      <c r="I277" s="104" cm="1">
        <f t="array" ref="I277">G277/H277</f>
        <v>44.7619047619048</v>
      </c>
      <c r="J277" s="105"/>
      <c r="K277" s="101"/>
      <c r="L277" s="96"/>
      <c r="M277" s="75"/>
      <c r="N277" s="75"/>
      <c r="O277" s="75"/>
      <c r="P277" s="75"/>
      <c r="Q277" s="75"/>
      <c r="R277" s="75"/>
      <c r="S277" s="75"/>
      <c r="T277" s="75"/>
      <c r="U277" s="75"/>
      <c r="V277" s="75"/>
      <c r="W277" s="75"/>
      <c r="X277" s="75"/>
      <c r="Y277" s="75"/>
      <c r="Z277" s="75"/>
      <c r="AA277" s="75"/>
      <c r="AB277" s="75"/>
    </row>
    <row r="278" ht="12.75" customHeight="1">
      <c r="A278" s="106">
        <v>43606</v>
      </c>
      <c r="B278" s="124">
        <v>13080</v>
      </c>
      <c r="C278" t="s" s="115">
        <v>255</v>
      </c>
      <c r="D278" t="s" s="109">
        <v>319</v>
      </c>
      <c r="E278" s="110"/>
      <c r="F278" s="111"/>
      <c r="G278" s="112">
        <v>771.51</v>
      </c>
      <c r="H278" s="113">
        <v>17</v>
      </c>
      <c r="I278" s="114" cm="1">
        <f t="array" ref="I278">G278/H278</f>
        <v>45.3829411764706</v>
      </c>
      <c r="J278" s="105"/>
      <c r="K278" s="101"/>
      <c r="L278" s="96"/>
      <c r="M278" s="75"/>
      <c r="N278" s="75"/>
      <c r="O278" s="75"/>
      <c r="P278" s="75"/>
      <c r="Q278" s="75"/>
      <c r="R278" s="75"/>
      <c r="S278" s="75"/>
      <c r="T278" s="75"/>
      <c r="U278" s="75"/>
      <c r="V278" s="75"/>
      <c r="W278" s="75"/>
      <c r="X278" s="75"/>
      <c r="Y278" s="75"/>
      <c r="Z278" s="75"/>
      <c r="AA278" s="75"/>
      <c r="AB278" s="75"/>
    </row>
    <row r="279" ht="12.75" customHeight="1">
      <c r="A279" s="97">
        <v>43613</v>
      </c>
      <c r="B279" s="121">
        <v>13178</v>
      </c>
      <c r="C279" t="s" s="116">
        <v>255</v>
      </c>
      <c r="D279" t="s" s="79">
        <v>320</v>
      </c>
      <c r="E279" s="100"/>
      <c r="F279" s="101"/>
      <c r="G279" s="102">
        <v>760.83</v>
      </c>
      <c r="H279" s="103">
        <v>17</v>
      </c>
      <c r="I279" s="104" cm="1">
        <f t="array" ref="I279">G279/H279</f>
        <v>44.7547058823529</v>
      </c>
      <c r="J279" s="105"/>
      <c r="K279" s="101"/>
      <c r="L279" s="96"/>
      <c r="M279" s="75"/>
      <c r="N279" s="75"/>
      <c r="O279" s="75"/>
      <c r="P279" s="75"/>
      <c r="Q279" s="75"/>
      <c r="R279" s="75"/>
      <c r="S279" s="75"/>
      <c r="T279" s="75"/>
      <c r="U279" s="75"/>
      <c r="V279" s="75"/>
      <c r="W279" s="75"/>
      <c r="X279" s="75"/>
      <c r="Y279" s="75"/>
      <c r="Z279" s="75"/>
      <c r="AA279" s="75"/>
      <c r="AB279" s="75"/>
    </row>
    <row r="280" ht="12.75" customHeight="1">
      <c r="A280" s="106">
        <v>43615</v>
      </c>
      <c r="B280" s="124">
        <v>90731</v>
      </c>
      <c r="C280" t="s" s="115">
        <v>278</v>
      </c>
      <c r="D280" t="s" s="109">
        <v>321</v>
      </c>
      <c r="E280" s="110"/>
      <c r="F280" s="111"/>
      <c r="G280" s="112">
        <v>50</v>
      </c>
      <c r="H280" s="113" cm="1">
        <f t="array" ref="H280">G280/I280</f>
        <v>1.11111111111111</v>
      </c>
      <c r="I280" s="114">
        <v>45</v>
      </c>
      <c r="J280" s="105"/>
      <c r="K280" s="101"/>
      <c r="L280" s="96"/>
      <c r="M280" s="75"/>
      <c r="N280" s="75"/>
      <c r="O280" s="75"/>
      <c r="P280" s="75"/>
      <c r="Q280" s="75"/>
      <c r="R280" s="75"/>
      <c r="S280" s="75"/>
      <c r="T280" s="75"/>
      <c r="U280" s="75"/>
      <c r="V280" s="75"/>
      <c r="W280" s="75"/>
      <c r="X280" s="75"/>
      <c r="Y280" s="75"/>
      <c r="Z280" s="75"/>
      <c r="AA280" s="75"/>
      <c r="AB280" s="75"/>
    </row>
    <row r="281" ht="12.75" customHeight="1">
      <c r="A281" s="97">
        <v>43615</v>
      </c>
      <c r="B281" s="121">
        <v>13219</v>
      </c>
      <c r="C281" t="s" s="116">
        <v>255</v>
      </c>
      <c r="D281" t="s" s="79">
        <v>322</v>
      </c>
      <c r="E281" s="100"/>
      <c r="F281" s="101"/>
      <c r="G281" s="102" cm="1">
        <f t="array" ref="G281">4686.91-950.26</f>
        <v>3736.65</v>
      </c>
      <c r="H281" s="103" cm="1">
        <f t="array" ref="H281">G281/I281</f>
        <v>83.0366666666667</v>
      </c>
      <c r="I281" s="104">
        <v>45</v>
      </c>
      <c r="J281" s="105"/>
      <c r="K281" s="101"/>
      <c r="L281" s="96"/>
      <c r="M281" s="75"/>
      <c r="N281" s="75"/>
      <c r="O281" s="75"/>
      <c r="P281" s="75"/>
      <c r="Q281" s="75"/>
      <c r="R281" s="75"/>
      <c r="S281" s="75"/>
      <c r="T281" s="75"/>
      <c r="U281" s="75"/>
      <c r="V281" s="75"/>
      <c r="W281" s="75"/>
      <c r="X281" s="75"/>
      <c r="Y281" s="75"/>
      <c r="Z281" s="75"/>
      <c r="AA281" s="75"/>
      <c r="AB281" s="75"/>
    </row>
    <row r="282" ht="12.75" customHeight="1">
      <c r="A282" s="106">
        <v>43615</v>
      </c>
      <c r="B282" s="124">
        <v>13227</v>
      </c>
      <c r="C282" t="s" s="115">
        <v>255</v>
      </c>
      <c r="D282" t="s" s="109">
        <v>322</v>
      </c>
      <c r="E282" s="110"/>
      <c r="F282" s="111"/>
      <c r="G282" s="112">
        <v>1013.65</v>
      </c>
      <c r="H282" s="113">
        <v>23</v>
      </c>
      <c r="I282" s="114" cm="1">
        <f t="array" ref="I282">G282/H282</f>
        <v>44.0717391304348</v>
      </c>
      <c r="J282" s="105"/>
      <c r="K282" s="101"/>
      <c r="L282" s="96"/>
      <c r="M282" s="75"/>
      <c r="N282" s="75"/>
      <c r="O282" s="75"/>
      <c r="P282" s="75"/>
      <c r="Q282" s="75"/>
      <c r="R282" s="75"/>
      <c r="S282" s="75"/>
      <c r="T282" s="75"/>
      <c r="U282" s="75"/>
      <c r="V282" s="75"/>
      <c r="W282" s="75"/>
      <c r="X282" s="75"/>
      <c r="Y282" s="75"/>
      <c r="Z282" s="75"/>
      <c r="AA282" s="75"/>
      <c r="AB282" s="75"/>
    </row>
    <row r="283" ht="12.75" customHeight="1">
      <c r="A283" s="97">
        <v>43620</v>
      </c>
      <c r="B283" s="121">
        <v>303</v>
      </c>
      <c r="C283" t="s" s="116">
        <v>299</v>
      </c>
      <c r="D283" t="s" s="79">
        <v>323</v>
      </c>
      <c r="E283" s="100"/>
      <c r="F283" s="101"/>
      <c r="G283" s="102">
        <v>118111.61</v>
      </c>
      <c r="H283" s="103" cm="1">
        <f t="array" ref="H283">G283/I283</f>
        <v>2624.702444444440</v>
      </c>
      <c r="I283" s="104">
        <v>45</v>
      </c>
      <c r="J283" s="105"/>
      <c r="K283" s="101"/>
      <c r="L283" s="96"/>
      <c r="M283" s="75"/>
      <c r="N283" s="75"/>
      <c r="O283" s="75"/>
      <c r="P283" s="75"/>
      <c r="Q283" s="75"/>
      <c r="R283" s="75"/>
      <c r="S283" s="75"/>
      <c r="T283" s="75"/>
      <c r="U283" s="75"/>
      <c r="V283" s="75"/>
      <c r="W283" s="75"/>
      <c r="X283" s="75"/>
      <c r="Y283" s="75"/>
      <c r="Z283" s="75"/>
      <c r="AA283" s="75"/>
      <c r="AB283" s="75"/>
    </row>
    <row r="284" ht="12.75" customHeight="1">
      <c r="A284" s="106">
        <v>43620</v>
      </c>
      <c r="B284" s="124">
        <v>13293</v>
      </c>
      <c r="C284" t="s" s="115">
        <v>255</v>
      </c>
      <c r="D284" t="s" s="109">
        <v>324</v>
      </c>
      <c r="E284" s="110"/>
      <c r="F284" s="111"/>
      <c r="G284" s="112">
        <v>8351.139999999999</v>
      </c>
      <c r="H284" s="113">
        <v>185.5</v>
      </c>
      <c r="I284" s="114" cm="1">
        <f t="array" ref="I284">I283</f>
        <v>45</v>
      </c>
      <c r="J284" s="105"/>
      <c r="K284" s="101"/>
      <c r="L284" s="96"/>
      <c r="M284" s="75"/>
      <c r="N284" s="75"/>
      <c r="O284" s="75"/>
      <c r="P284" s="75"/>
      <c r="Q284" s="75"/>
      <c r="R284" s="75"/>
      <c r="S284" s="75"/>
      <c r="T284" s="75"/>
      <c r="U284" s="75"/>
      <c r="V284" s="75"/>
      <c r="W284" s="75"/>
      <c r="X284" s="75"/>
      <c r="Y284" s="75"/>
      <c r="Z284" s="75"/>
      <c r="AA284" s="75"/>
      <c r="AB284" s="75"/>
    </row>
    <row r="285" ht="12.75" customHeight="1">
      <c r="A285" s="97">
        <v>43620</v>
      </c>
      <c r="B285" s="121">
        <v>13294</v>
      </c>
      <c r="C285" t="s" s="116">
        <v>255</v>
      </c>
      <c r="D285" t="s" s="79">
        <v>263</v>
      </c>
      <c r="E285" s="100"/>
      <c r="F285" s="101"/>
      <c r="G285" s="102">
        <v>26650.2</v>
      </c>
      <c r="H285" s="103" cm="1">
        <f t="array" ref="H285">G285/I285</f>
        <v>592.226666666667</v>
      </c>
      <c r="I285" s="104" cm="1">
        <f t="array" ref="I285">I284</f>
        <v>45</v>
      </c>
      <c r="J285" s="105"/>
      <c r="K285" s="101"/>
      <c r="L285" s="96"/>
      <c r="M285" s="75"/>
      <c r="N285" s="75"/>
      <c r="O285" s="75"/>
      <c r="P285" s="75"/>
      <c r="Q285" s="75"/>
      <c r="R285" s="75"/>
      <c r="S285" s="75"/>
      <c r="T285" s="75"/>
      <c r="U285" s="75"/>
      <c r="V285" s="75"/>
      <c r="W285" s="75"/>
      <c r="X285" s="75"/>
      <c r="Y285" s="75"/>
      <c r="Z285" s="75"/>
      <c r="AA285" s="75"/>
      <c r="AB285" s="75"/>
    </row>
    <row r="286" ht="12.75" customHeight="1">
      <c r="A286" s="106">
        <v>43621</v>
      </c>
      <c r="B286" s="124">
        <v>13312</v>
      </c>
      <c r="C286" t="s" s="115">
        <v>255</v>
      </c>
      <c r="D286" t="s" s="109">
        <v>325</v>
      </c>
      <c r="E286" s="110"/>
      <c r="F286" s="111"/>
      <c r="G286" s="112">
        <v>2483.93</v>
      </c>
      <c r="H286" s="113">
        <v>56</v>
      </c>
      <c r="I286" s="114" cm="1">
        <f t="array" ref="I286">I285</f>
        <v>45</v>
      </c>
      <c r="J286" s="105"/>
      <c r="K286" s="101"/>
      <c r="L286" s="96"/>
      <c r="M286" s="75"/>
      <c r="N286" s="75"/>
      <c r="O286" s="75"/>
      <c r="P286" s="75"/>
      <c r="Q286" s="75"/>
      <c r="R286" s="75"/>
      <c r="S286" s="75"/>
      <c r="T286" s="75"/>
      <c r="U286" s="75"/>
      <c r="V286" s="75"/>
      <c r="W286" s="75"/>
      <c r="X286" s="75"/>
      <c r="Y286" s="75"/>
      <c r="Z286" s="75"/>
      <c r="AA286" s="75"/>
      <c r="AB286" s="75"/>
    </row>
    <row r="287" ht="12.75" customHeight="1">
      <c r="A287" s="97">
        <v>43621</v>
      </c>
      <c r="B287" s="121">
        <v>13314</v>
      </c>
      <c r="C287" t="s" s="116">
        <v>255</v>
      </c>
      <c r="D287" t="s" s="79">
        <v>326</v>
      </c>
      <c r="E287" s="100"/>
      <c r="F287" s="101"/>
      <c r="G287" s="102">
        <v>4400.54</v>
      </c>
      <c r="H287" s="103">
        <v>98</v>
      </c>
      <c r="I287" s="104" cm="1">
        <f t="array" ref="I287">I286</f>
        <v>45</v>
      </c>
      <c r="J287" s="105"/>
      <c r="K287" s="101"/>
      <c r="L287" s="96"/>
      <c r="M287" s="75"/>
      <c r="N287" s="75"/>
      <c r="O287" s="75"/>
      <c r="P287" s="75"/>
      <c r="Q287" s="75"/>
      <c r="R287" s="75"/>
      <c r="S287" s="75"/>
      <c r="T287" s="75"/>
      <c r="U287" s="75"/>
      <c r="V287" s="75"/>
      <c r="W287" s="75"/>
      <c r="X287" s="75"/>
      <c r="Y287" s="75"/>
      <c r="Z287" s="75"/>
      <c r="AA287" s="75"/>
      <c r="AB287" s="75"/>
    </row>
    <row r="288" ht="12.75" customHeight="1">
      <c r="A288" s="106">
        <v>43622</v>
      </c>
      <c r="B288" s="107"/>
      <c r="C288" t="s" s="115">
        <v>34</v>
      </c>
      <c r="D288" t="s" s="109">
        <v>327</v>
      </c>
      <c r="E288" s="110"/>
      <c r="F288" s="111"/>
      <c r="G288" s="112">
        <v>905.36</v>
      </c>
      <c r="H288" s="113" cm="1">
        <f t="array" ref="H288">G288/I288</f>
        <v>20.1191111111111</v>
      </c>
      <c r="I288" s="114">
        <v>45</v>
      </c>
      <c r="J288" s="105"/>
      <c r="K288" s="101"/>
      <c r="L288" s="96"/>
      <c r="M288" s="75"/>
      <c r="N288" s="75"/>
      <c r="O288" s="75"/>
      <c r="P288" s="75"/>
      <c r="Q288" s="75"/>
      <c r="R288" s="75"/>
      <c r="S288" s="75"/>
      <c r="T288" s="75"/>
      <c r="U288" s="75"/>
      <c r="V288" s="75"/>
      <c r="W288" s="75"/>
      <c r="X288" s="75"/>
      <c r="Y288" s="75"/>
      <c r="Z288" s="75"/>
      <c r="AA288" s="75"/>
      <c r="AB288" s="75"/>
    </row>
    <row r="289" ht="12.75" customHeight="1">
      <c r="A289" s="97">
        <v>43623</v>
      </c>
      <c r="B289" s="98"/>
      <c r="C289" t="s" s="116">
        <v>99</v>
      </c>
      <c r="D289" t="s" s="79">
        <v>328</v>
      </c>
      <c r="E289" s="100"/>
      <c r="F289" s="101"/>
      <c r="G289" s="102">
        <v>3860.72</v>
      </c>
      <c r="H289" s="103" cm="1">
        <f t="array" ref="H289">G289/I289</f>
        <v>85.79377777777781</v>
      </c>
      <c r="I289" s="104" cm="1">
        <f t="array" ref="I289">45</f>
        <v>45</v>
      </c>
      <c r="J289" s="105"/>
      <c r="K289" s="101"/>
      <c r="L289" s="96"/>
      <c r="M289" s="75"/>
      <c r="N289" s="75"/>
      <c r="O289" s="75"/>
      <c r="P289" s="75"/>
      <c r="Q289" s="75"/>
      <c r="R289" s="75"/>
      <c r="S289" s="75"/>
      <c r="T289" s="75"/>
      <c r="U289" s="75"/>
      <c r="V289" s="75"/>
      <c r="W289" s="75"/>
      <c r="X289" s="75"/>
      <c r="Y289" s="75"/>
      <c r="Z289" s="75"/>
      <c r="AA289" s="75"/>
      <c r="AB289" s="75"/>
    </row>
    <row r="290" ht="12.75" customHeight="1">
      <c r="A290" s="106">
        <v>43626</v>
      </c>
      <c r="B290" s="107"/>
      <c r="C290" t="s" s="115">
        <v>41</v>
      </c>
      <c r="D290" t="s" s="109">
        <v>329</v>
      </c>
      <c r="E290" s="110"/>
      <c r="F290" s="111"/>
      <c r="G290" s="112">
        <v>8997.23</v>
      </c>
      <c r="H290" s="113" cm="1">
        <f t="array" ref="H290">G290/I290</f>
        <v>199.938444444444</v>
      </c>
      <c r="I290" s="114" cm="1">
        <f t="array" ref="I290">I289</f>
        <v>45</v>
      </c>
      <c r="J290" s="105"/>
      <c r="K290" s="101"/>
      <c r="L290" s="96"/>
      <c r="M290" s="75"/>
      <c r="N290" s="75"/>
      <c r="O290" s="75"/>
      <c r="P290" s="75"/>
      <c r="Q290" s="75"/>
      <c r="R290" s="75"/>
      <c r="S290" s="75"/>
      <c r="T290" s="75"/>
      <c r="U290" s="75"/>
      <c r="V290" s="75"/>
      <c r="W290" s="75"/>
      <c r="X290" s="75"/>
      <c r="Y290" s="75"/>
      <c r="Z290" s="75"/>
      <c r="AA290" s="75"/>
      <c r="AB290" s="75"/>
    </row>
    <row r="291" ht="12.75" customHeight="1">
      <c r="A291" s="97">
        <v>43626</v>
      </c>
      <c r="B291" s="121">
        <v>13775</v>
      </c>
      <c r="C291" t="s" s="116">
        <v>278</v>
      </c>
      <c r="D291" t="s" s="79">
        <v>330</v>
      </c>
      <c r="E291" s="100"/>
      <c r="F291" s="101"/>
      <c r="G291" s="102">
        <v>5660</v>
      </c>
      <c r="H291" s="103">
        <v>123.5</v>
      </c>
      <c r="I291" s="104" cm="1">
        <f t="array" ref="I291">G291/H291</f>
        <v>45.829959514170</v>
      </c>
      <c r="J291" s="105"/>
      <c r="K291" s="101"/>
      <c r="L291" s="96"/>
      <c r="M291" s="75"/>
      <c r="N291" s="75"/>
      <c r="O291" s="75"/>
      <c r="P291" s="75"/>
      <c r="Q291" s="75"/>
      <c r="R291" s="75"/>
      <c r="S291" s="75"/>
      <c r="T291" s="75"/>
      <c r="U291" s="75"/>
      <c r="V291" s="75"/>
      <c r="W291" s="75"/>
      <c r="X291" s="75"/>
      <c r="Y291" s="75"/>
      <c r="Z291" s="75"/>
      <c r="AA291" s="75"/>
      <c r="AB291" s="75"/>
    </row>
    <row r="292" ht="12.75" customHeight="1">
      <c r="A292" s="106">
        <v>43627</v>
      </c>
      <c r="B292" s="124">
        <v>15727</v>
      </c>
      <c r="C292" t="s" s="115">
        <v>276</v>
      </c>
      <c r="D292" t="s" s="109">
        <v>331</v>
      </c>
      <c r="E292" s="110"/>
      <c r="F292" s="111"/>
      <c r="G292" s="112">
        <v>703.9299999999999</v>
      </c>
      <c r="H292" s="113" cm="1">
        <f t="array" ref="H292">G292/I292</f>
        <v>15.6428888888889</v>
      </c>
      <c r="I292" s="114">
        <v>45</v>
      </c>
      <c r="J292" s="105"/>
      <c r="K292" s="101"/>
      <c r="L292" s="96"/>
      <c r="M292" s="75"/>
      <c r="N292" s="75"/>
      <c r="O292" s="75"/>
      <c r="P292" s="75"/>
      <c r="Q292" s="75"/>
      <c r="R292" s="75"/>
      <c r="S292" s="75"/>
      <c r="T292" s="75"/>
      <c r="U292" s="75"/>
      <c r="V292" s="75"/>
      <c r="W292" s="75"/>
      <c r="X292" s="75"/>
      <c r="Y292" s="75"/>
      <c r="Z292" s="75"/>
      <c r="AA292" s="75"/>
      <c r="AB292" s="75"/>
    </row>
    <row r="293" ht="12.75" customHeight="1">
      <c r="A293" s="97">
        <v>43629</v>
      </c>
      <c r="B293" s="121">
        <v>63</v>
      </c>
      <c r="C293" t="s" s="116">
        <v>278</v>
      </c>
      <c r="D293" t="s" s="79">
        <v>332</v>
      </c>
      <c r="E293" s="100"/>
      <c r="F293" s="101"/>
      <c r="G293" s="102">
        <v>1620</v>
      </c>
      <c r="H293" s="103" cm="1">
        <f t="array" ref="H293">G293/I293</f>
        <v>36</v>
      </c>
      <c r="I293" s="104" cm="1">
        <f t="array" ref="I293">I292</f>
        <v>45</v>
      </c>
      <c r="J293" s="105"/>
      <c r="K293" s="101"/>
      <c r="L293" s="96"/>
      <c r="M293" s="75"/>
      <c r="N293" s="75"/>
      <c r="O293" s="75"/>
      <c r="P293" s="75"/>
      <c r="Q293" s="75"/>
      <c r="R293" s="75"/>
      <c r="S293" s="75"/>
      <c r="T293" s="75"/>
      <c r="U293" s="75"/>
      <c r="V293" s="75"/>
      <c r="W293" s="75"/>
      <c r="X293" s="75"/>
      <c r="Y293" s="75"/>
      <c r="Z293" s="75"/>
      <c r="AA293" s="75"/>
      <c r="AB293" s="75"/>
    </row>
    <row r="294" ht="12.75" customHeight="1">
      <c r="A294" s="106">
        <v>43629</v>
      </c>
      <c r="B294" s="124">
        <v>69081</v>
      </c>
      <c r="C294" t="s" s="115">
        <v>276</v>
      </c>
      <c r="D294" t="s" s="109">
        <v>333</v>
      </c>
      <c r="E294" s="110"/>
      <c r="F294" s="111"/>
      <c r="G294" s="112">
        <v>1679.95</v>
      </c>
      <c r="H294" s="113">
        <v>38</v>
      </c>
      <c r="I294" s="114" cm="1">
        <f t="array" ref="I294">I293</f>
        <v>45</v>
      </c>
      <c r="J294" s="105"/>
      <c r="K294" s="101"/>
      <c r="L294" s="96"/>
      <c r="M294" s="75"/>
      <c r="N294" s="75"/>
      <c r="O294" s="75"/>
      <c r="P294" s="75"/>
      <c r="Q294" s="75"/>
      <c r="R294" s="75"/>
      <c r="S294" s="75"/>
      <c r="T294" s="75"/>
      <c r="U294" s="75"/>
      <c r="V294" s="75"/>
      <c r="W294" s="75"/>
      <c r="X294" s="75"/>
      <c r="Y294" s="75"/>
      <c r="Z294" s="75"/>
      <c r="AA294" s="75"/>
      <c r="AB294" s="75"/>
    </row>
    <row r="295" ht="12.75" customHeight="1">
      <c r="A295" s="97">
        <v>43630</v>
      </c>
      <c r="B295" s="121">
        <v>5952</v>
      </c>
      <c r="C295" t="s" s="116">
        <v>67</v>
      </c>
      <c r="D295" t="s" s="79">
        <v>334</v>
      </c>
      <c r="E295" s="100"/>
      <c r="F295" s="101"/>
      <c r="G295" s="102">
        <v>849.62</v>
      </c>
      <c r="H295" s="103">
        <v>19</v>
      </c>
      <c r="I295" s="104" cm="1">
        <f t="array" ref="I295">I294</f>
        <v>45</v>
      </c>
      <c r="J295" s="105"/>
      <c r="K295" s="101"/>
      <c r="L295" s="96"/>
      <c r="M295" s="75"/>
      <c r="N295" s="75"/>
      <c r="O295" s="75"/>
      <c r="P295" s="75"/>
      <c r="Q295" s="75"/>
      <c r="R295" s="75"/>
      <c r="S295" s="75"/>
      <c r="T295" s="75"/>
      <c r="U295" s="75"/>
      <c r="V295" s="75"/>
      <c r="W295" s="75"/>
      <c r="X295" s="75"/>
      <c r="Y295" s="75"/>
      <c r="Z295" s="75"/>
      <c r="AA295" s="75"/>
      <c r="AB295" s="75"/>
    </row>
    <row r="296" ht="12.75" customHeight="1">
      <c r="A296" s="106">
        <v>43631</v>
      </c>
      <c r="B296" s="124">
        <v>13470</v>
      </c>
      <c r="C296" t="s" s="115">
        <v>255</v>
      </c>
      <c r="D296" t="s" s="109">
        <v>335</v>
      </c>
      <c r="E296" s="110"/>
      <c r="F296" s="111"/>
      <c r="G296" s="112">
        <v>2498.41</v>
      </c>
      <c r="H296" s="113">
        <v>55</v>
      </c>
      <c r="I296" s="114" cm="1">
        <f t="array" ref="I296">I295</f>
        <v>45</v>
      </c>
      <c r="J296" s="105"/>
      <c r="K296" s="101"/>
      <c r="L296" s="96"/>
      <c r="M296" s="75"/>
      <c r="N296" s="75"/>
      <c r="O296" s="75"/>
      <c r="P296" s="75"/>
      <c r="Q296" s="75"/>
      <c r="R296" s="75"/>
      <c r="S296" s="75"/>
      <c r="T296" s="75"/>
      <c r="U296" s="75"/>
      <c r="V296" s="75"/>
      <c r="W296" s="75"/>
      <c r="X296" s="75"/>
      <c r="Y296" s="75"/>
      <c r="Z296" s="75"/>
      <c r="AA296" s="75"/>
      <c r="AB296" s="75"/>
    </row>
    <row r="297" ht="12.75" customHeight="1">
      <c r="A297" s="97">
        <v>43631</v>
      </c>
      <c r="B297" s="121">
        <v>4583</v>
      </c>
      <c r="C297" t="s" s="116">
        <v>278</v>
      </c>
      <c r="D297" t="s" s="79">
        <v>336</v>
      </c>
      <c r="E297" s="100"/>
      <c r="F297" s="101"/>
      <c r="G297" s="102">
        <v>134.97</v>
      </c>
      <c r="H297" s="103" cm="1">
        <f t="array" ref="H297">G297/I297</f>
        <v>2.99933333333333</v>
      </c>
      <c r="I297" s="104" cm="1">
        <f t="array" ref="I297">I296</f>
        <v>45</v>
      </c>
      <c r="J297" s="105"/>
      <c r="K297" s="101"/>
      <c r="L297" s="96"/>
      <c r="M297" s="75"/>
      <c r="N297" s="75"/>
      <c r="O297" s="75"/>
      <c r="P297" s="75"/>
      <c r="Q297" s="75"/>
      <c r="R297" s="75"/>
      <c r="S297" s="75"/>
      <c r="T297" s="75"/>
      <c r="U297" s="75"/>
      <c r="V297" s="75"/>
      <c r="W297" s="75"/>
      <c r="X297" s="75"/>
      <c r="Y297" s="75"/>
      <c r="Z297" s="75"/>
      <c r="AA297" s="75"/>
      <c r="AB297" s="75"/>
    </row>
    <row r="298" ht="12.75" customHeight="1">
      <c r="A298" s="106">
        <v>43635</v>
      </c>
      <c r="B298" s="124">
        <v>13547</v>
      </c>
      <c r="C298" t="s" s="115">
        <v>255</v>
      </c>
      <c r="D298" t="s" s="109">
        <v>337</v>
      </c>
      <c r="E298" s="110"/>
      <c r="F298" s="111"/>
      <c r="G298" s="112">
        <v>624.2</v>
      </c>
      <c r="H298" s="113">
        <v>14</v>
      </c>
      <c r="I298" s="114" cm="1">
        <f t="array" ref="I298">I297</f>
        <v>45</v>
      </c>
      <c r="J298" s="105"/>
      <c r="K298" s="101"/>
      <c r="L298" s="96"/>
      <c r="M298" s="75"/>
      <c r="N298" s="75"/>
      <c r="O298" s="75"/>
      <c r="P298" s="75"/>
      <c r="Q298" s="75"/>
      <c r="R298" s="75"/>
      <c r="S298" s="75"/>
      <c r="T298" s="75"/>
      <c r="U298" s="75"/>
      <c r="V298" s="75"/>
      <c r="W298" s="75"/>
      <c r="X298" s="75"/>
      <c r="Y298" s="75"/>
      <c r="Z298" s="75"/>
      <c r="AA298" s="75"/>
      <c r="AB298" s="75"/>
    </row>
    <row r="299" ht="12.75" customHeight="1">
      <c r="A299" s="97">
        <v>43635</v>
      </c>
      <c r="B299" s="121">
        <v>13548</v>
      </c>
      <c r="C299" t="s" s="116">
        <v>255</v>
      </c>
      <c r="D299" t="s" s="79">
        <v>338</v>
      </c>
      <c r="E299" s="100"/>
      <c r="F299" s="101"/>
      <c r="G299" s="102">
        <v>288.83</v>
      </c>
      <c r="H299" s="103">
        <v>6.5</v>
      </c>
      <c r="I299" s="104" cm="1">
        <f t="array" ref="I299">I298</f>
        <v>45</v>
      </c>
      <c r="J299" s="105"/>
      <c r="K299" s="101"/>
      <c r="L299" s="96"/>
      <c r="M299" s="75"/>
      <c r="N299" s="75"/>
      <c r="O299" s="75"/>
      <c r="P299" s="75"/>
      <c r="Q299" s="75"/>
      <c r="R299" s="75"/>
      <c r="S299" s="75"/>
      <c r="T299" s="75"/>
      <c r="U299" s="75"/>
      <c r="V299" s="75"/>
      <c r="W299" s="75"/>
      <c r="X299" s="75"/>
      <c r="Y299" s="75"/>
      <c r="Z299" s="75"/>
      <c r="AA299" s="75"/>
      <c r="AB299" s="75"/>
    </row>
    <row r="300" ht="12.75" customHeight="1">
      <c r="A300" s="106">
        <v>43635</v>
      </c>
      <c r="B300" s="107"/>
      <c r="C300" t="s" s="115">
        <v>278</v>
      </c>
      <c r="D300" t="s" s="109">
        <v>339</v>
      </c>
      <c r="E300" s="110"/>
      <c r="F300" s="111"/>
      <c r="G300" s="112">
        <v>2200</v>
      </c>
      <c r="H300" s="113" cm="1">
        <f t="array" ref="H300">G300/I300</f>
        <v>48.8888888888889</v>
      </c>
      <c r="I300" s="114">
        <v>45</v>
      </c>
      <c r="J300" s="105"/>
      <c r="K300" s="101"/>
      <c r="L300" s="96"/>
      <c r="M300" s="75"/>
      <c r="N300" s="75"/>
      <c r="O300" s="75"/>
      <c r="P300" s="75"/>
      <c r="Q300" s="75"/>
      <c r="R300" s="75"/>
      <c r="S300" s="75"/>
      <c r="T300" s="75"/>
      <c r="U300" s="75"/>
      <c r="V300" s="75"/>
      <c r="W300" s="75"/>
      <c r="X300" s="75"/>
      <c r="Y300" s="75"/>
      <c r="Z300" s="75"/>
      <c r="AA300" s="75"/>
      <c r="AB300" s="75"/>
    </row>
    <row r="301" ht="12.75" customHeight="1">
      <c r="A301" s="97">
        <v>43638</v>
      </c>
      <c r="B301" s="121">
        <v>69218</v>
      </c>
      <c r="C301" t="s" s="116">
        <v>276</v>
      </c>
      <c r="D301" t="s" s="79">
        <v>340</v>
      </c>
      <c r="E301" s="100"/>
      <c r="F301" s="101"/>
      <c r="G301" s="102">
        <v>334.81</v>
      </c>
      <c r="H301" s="103">
        <v>8</v>
      </c>
      <c r="I301" s="104">
        <v>45</v>
      </c>
      <c r="J301" t="s" s="116">
        <v>341</v>
      </c>
      <c r="K301" s="101"/>
      <c r="L301" s="96"/>
      <c r="M301" s="75"/>
      <c r="N301" s="75"/>
      <c r="O301" s="75"/>
      <c r="P301" s="75"/>
      <c r="Q301" s="75"/>
      <c r="R301" s="75"/>
      <c r="S301" s="75"/>
      <c r="T301" s="75"/>
      <c r="U301" s="75"/>
      <c r="V301" s="75"/>
      <c r="W301" s="75"/>
      <c r="X301" s="75"/>
      <c r="Y301" s="75"/>
      <c r="Z301" s="75"/>
      <c r="AA301" s="75"/>
      <c r="AB301" s="75"/>
    </row>
    <row r="302" ht="12.75" customHeight="1">
      <c r="A302" s="106">
        <v>43640</v>
      </c>
      <c r="B302" s="124">
        <v>13622</v>
      </c>
      <c r="C302" t="s" s="115">
        <v>255</v>
      </c>
      <c r="D302" t="s" s="109">
        <v>342</v>
      </c>
      <c r="E302" s="110"/>
      <c r="F302" s="111"/>
      <c r="G302" s="112">
        <v>861.47</v>
      </c>
      <c r="H302" s="113">
        <v>20</v>
      </c>
      <c r="I302" s="114">
        <v>43.07</v>
      </c>
      <c r="J302" s="105"/>
      <c r="K302" s="101"/>
      <c r="L302" s="96"/>
      <c r="M302" s="75"/>
      <c r="N302" s="75"/>
      <c r="O302" s="75"/>
      <c r="P302" s="75"/>
      <c r="Q302" s="75"/>
      <c r="R302" s="75"/>
      <c r="S302" s="75"/>
      <c r="T302" s="75"/>
      <c r="U302" s="75"/>
      <c r="V302" s="75"/>
      <c r="W302" s="75"/>
      <c r="X302" s="75"/>
      <c r="Y302" s="75"/>
      <c r="Z302" s="75"/>
      <c r="AA302" s="75"/>
      <c r="AB302" s="75"/>
    </row>
    <row r="303" ht="12.75" customHeight="1">
      <c r="A303" s="97">
        <v>43640</v>
      </c>
      <c r="B303" s="121">
        <v>13623</v>
      </c>
      <c r="C303" t="s" s="116">
        <v>255</v>
      </c>
      <c r="D303" t="s" s="79">
        <v>343</v>
      </c>
      <c r="E303" s="100"/>
      <c r="F303" s="101"/>
      <c r="G303" s="102">
        <v>2941.43</v>
      </c>
      <c r="H303" s="103">
        <v>65</v>
      </c>
      <c r="I303" s="104">
        <v>45.25</v>
      </c>
      <c r="J303" s="105"/>
      <c r="K303" s="101"/>
      <c r="L303" s="96"/>
      <c r="M303" s="75"/>
      <c r="N303" s="75"/>
      <c r="O303" s="75"/>
      <c r="P303" s="75"/>
      <c r="Q303" s="75"/>
      <c r="R303" s="75"/>
      <c r="S303" s="75"/>
      <c r="T303" s="75"/>
      <c r="U303" s="75"/>
      <c r="V303" s="75"/>
      <c r="W303" s="75"/>
      <c r="X303" s="75"/>
      <c r="Y303" s="75"/>
      <c r="Z303" s="75"/>
      <c r="AA303" s="75"/>
      <c r="AB303" s="75"/>
    </row>
    <row r="304" ht="12.75" customHeight="1">
      <c r="A304" s="106">
        <v>43640</v>
      </c>
      <c r="B304" s="124">
        <v>13614</v>
      </c>
      <c r="C304" t="s" s="115">
        <v>255</v>
      </c>
      <c r="D304" t="s" s="109">
        <v>344</v>
      </c>
      <c r="E304" s="110"/>
      <c r="F304" s="111"/>
      <c r="G304" s="112">
        <v>7185.6</v>
      </c>
      <c r="H304" s="113">
        <v>160</v>
      </c>
      <c r="I304" s="114">
        <v>44.91</v>
      </c>
      <c r="J304" s="105"/>
      <c r="K304" s="101"/>
      <c r="L304" s="96"/>
      <c r="M304" s="75"/>
      <c r="N304" s="75"/>
      <c r="O304" s="75"/>
      <c r="P304" s="75"/>
      <c r="Q304" s="75"/>
      <c r="R304" s="75"/>
      <c r="S304" s="75"/>
      <c r="T304" s="75"/>
      <c r="U304" s="75"/>
      <c r="V304" s="75"/>
      <c r="W304" s="75"/>
      <c r="X304" s="75"/>
      <c r="Y304" s="75"/>
      <c r="Z304" s="75"/>
      <c r="AA304" s="75"/>
      <c r="AB304" s="75"/>
    </row>
    <row r="305" ht="12.75" customHeight="1">
      <c r="A305" s="97">
        <v>43640</v>
      </c>
      <c r="B305" s="121">
        <v>13599</v>
      </c>
      <c r="C305" t="s" s="116">
        <v>255</v>
      </c>
      <c r="D305" t="s" s="79">
        <v>345</v>
      </c>
      <c r="E305" s="100"/>
      <c r="F305" s="101"/>
      <c r="G305" s="102">
        <v>186884.64</v>
      </c>
      <c r="H305" s="103">
        <v>4152</v>
      </c>
      <c r="I305" s="104">
        <v>45</v>
      </c>
      <c r="J305" s="105"/>
      <c r="K305" s="101"/>
      <c r="L305" s="96"/>
      <c r="M305" s="75"/>
      <c r="N305" s="75"/>
      <c r="O305" s="75"/>
      <c r="P305" s="75"/>
      <c r="Q305" s="75"/>
      <c r="R305" s="75"/>
      <c r="S305" s="75"/>
      <c r="T305" s="75"/>
      <c r="U305" s="75"/>
      <c r="V305" s="75"/>
      <c r="W305" s="75"/>
      <c r="X305" s="75"/>
      <c r="Y305" s="75"/>
      <c r="Z305" s="75"/>
      <c r="AA305" s="75"/>
      <c r="AB305" s="75"/>
    </row>
    <row r="306" ht="12.75" customHeight="1">
      <c r="A306" s="106">
        <v>43641</v>
      </c>
      <c r="B306" s="124">
        <v>5973</v>
      </c>
      <c r="C306" t="s" s="115">
        <v>67</v>
      </c>
      <c r="D306" t="s" s="109">
        <v>346</v>
      </c>
      <c r="E306" s="110"/>
      <c r="F306" s="111"/>
      <c r="G306" s="112">
        <v>184000.86</v>
      </c>
      <c r="H306" s="113">
        <v>4185</v>
      </c>
      <c r="I306" s="114">
        <v>43.96</v>
      </c>
      <c r="J306" s="105"/>
      <c r="K306" s="101"/>
      <c r="L306" s="96"/>
      <c r="M306" s="75"/>
      <c r="N306" s="75"/>
      <c r="O306" s="75"/>
      <c r="P306" s="75"/>
      <c r="Q306" s="75"/>
      <c r="R306" s="75"/>
      <c r="S306" s="75"/>
      <c r="T306" s="75"/>
      <c r="U306" s="75"/>
      <c r="V306" s="75"/>
      <c r="W306" s="75"/>
      <c r="X306" s="75"/>
      <c r="Y306" s="75"/>
      <c r="Z306" s="75"/>
      <c r="AA306" s="75"/>
      <c r="AB306" s="75"/>
    </row>
    <row r="307" ht="12.75" customHeight="1">
      <c r="A307" s="97">
        <v>43641</v>
      </c>
      <c r="B307" s="121">
        <v>69252</v>
      </c>
      <c r="C307" t="s" s="116">
        <v>276</v>
      </c>
      <c r="D307" t="s" s="79">
        <v>340</v>
      </c>
      <c r="E307" s="100"/>
      <c r="F307" s="101"/>
      <c r="G307" s="102">
        <v>334.81</v>
      </c>
      <c r="H307" s="103">
        <v>8</v>
      </c>
      <c r="I307" s="104">
        <v>42</v>
      </c>
      <c r="J307" s="105"/>
      <c r="K307" s="101"/>
      <c r="L307" s="96"/>
      <c r="M307" s="75"/>
      <c r="N307" s="75"/>
      <c r="O307" s="75"/>
      <c r="P307" s="75"/>
      <c r="Q307" s="75"/>
      <c r="R307" s="75"/>
      <c r="S307" s="75"/>
      <c r="T307" s="75"/>
      <c r="U307" s="75"/>
      <c r="V307" s="75"/>
      <c r="W307" s="75"/>
      <c r="X307" s="75"/>
      <c r="Y307" s="75"/>
      <c r="Z307" s="75"/>
      <c r="AA307" s="75"/>
      <c r="AB307" s="75"/>
    </row>
    <row r="308" ht="12.75" customHeight="1">
      <c r="A308" s="106">
        <v>43647</v>
      </c>
      <c r="B308" s="124">
        <v>69369</v>
      </c>
      <c r="C308" t="s" s="115">
        <v>276</v>
      </c>
      <c r="D308" t="s" s="109">
        <v>340</v>
      </c>
      <c r="E308" s="110"/>
      <c r="F308" s="111"/>
      <c r="G308" s="112">
        <v>334.81</v>
      </c>
      <c r="H308" s="113">
        <v>7.6</v>
      </c>
      <c r="I308" s="114">
        <v>44.05</v>
      </c>
      <c r="J308" s="105"/>
      <c r="K308" s="101"/>
      <c r="L308" s="96"/>
      <c r="M308" s="75"/>
      <c r="N308" s="75"/>
      <c r="O308" s="75"/>
      <c r="P308" s="75"/>
      <c r="Q308" s="75"/>
      <c r="R308" s="75"/>
      <c r="S308" s="75"/>
      <c r="T308" s="75"/>
      <c r="U308" s="75"/>
      <c r="V308" s="75"/>
      <c r="W308" s="75"/>
      <c r="X308" s="75"/>
      <c r="Y308" s="75"/>
      <c r="Z308" s="75"/>
      <c r="AA308" s="75"/>
      <c r="AB308" s="75"/>
    </row>
    <row r="309" ht="12.75" customHeight="1">
      <c r="A309" s="97">
        <v>43649</v>
      </c>
      <c r="B309" s="121">
        <v>306</v>
      </c>
      <c r="C309" t="s" s="116">
        <v>299</v>
      </c>
      <c r="D309" t="s" s="79">
        <v>347</v>
      </c>
      <c r="E309" s="100"/>
      <c r="F309" s="101"/>
      <c r="G309" s="102">
        <v>112589.51</v>
      </c>
      <c r="H309" s="103">
        <v>2560</v>
      </c>
      <c r="I309" s="104">
        <v>43.98</v>
      </c>
      <c r="J309" s="105"/>
      <c r="K309" s="101"/>
      <c r="L309" s="96"/>
      <c r="M309" s="75"/>
      <c r="N309" s="75"/>
      <c r="O309" s="75"/>
      <c r="P309" s="75"/>
      <c r="Q309" s="75"/>
      <c r="R309" s="75"/>
      <c r="S309" s="75"/>
      <c r="T309" s="75"/>
      <c r="U309" s="75"/>
      <c r="V309" s="75"/>
      <c r="W309" s="75"/>
      <c r="X309" s="75"/>
      <c r="Y309" s="75"/>
      <c r="Z309" s="75"/>
      <c r="AA309" s="75"/>
      <c r="AB309" s="75"/>
    </row>
    <row r="310" ht="12.75" customHeight="1">
      <c r="A310" s="106">
        <v>43649</v>
      </c>
      <c r="B310" s="124">
        <v>13776</v>
      </c>
      <c r="C310" t="s" s="115">
        <v>255</v>
      </c>
      <c r="D310" t="s" s="109">
        <v>348</v>
      </c>
      <c r="E310" s="110"/>
      <c r="F310" s="111"/>
      <c r="G310" s="112">
        <v>3550.67</v>
      </c>
      <c r="H310" s="113">
        <v>80</v>
      </c>
      <c r="I310" s="114">
        <v>44.38</v>
      </c>
      <c r="J310" s="105"/>
      <c r="K310" s="101"/>
      <c r="L310" s="96"/>
      <c r="M310" s="75"/>
      <c r="N310" s="75"/>
      <c r="O310" s="75"/>
      <c r="P310" s="75"/>
      <c r="Q310" s="75"/>
      <c r="R310" s="75"/>
      <c r="S310" s="75"/>
      <c r="T310" s="75"/>
      <c r="U310" s="75"/>
      <c r="V310" s="75"/>
      <c r="W310" s="75"/>
      <c r="X310" s="75"/>
      <c r="Y310" s="75"/>
      <c r="Z310" s="75"/>
      <c r="AA310" s="75"/>
      <c r="AB310" s="75"/>
    </row>
    <row r="311" ht="12.75" customHeight="1">
      <c r="A311" s="97">
        <v>43649</v>
      </c>
      <c r="B311" s="121">
        <v>13777</v>
      </c>
      <c r="C311" t="s" s="116">
        <v>255</v>
      </c>
      <c r="D311" t="s" s="79">
        <v>349</v>
      </c>
      <c r="E311" s="100"/>
      <c r="F311" s="101"/>
      <c r="G311" s="102">
        <v>429.97</v>
      </c>
      <c r="H311" s="103">
        <v>10</v>
      </c>
      <c r="I311" s="104">
        <v>42.99</v>
      </c>
      <c r="J311" s="105"/>
      <c r="K311" s="101"/>
      <c r="L311" s="96"/>
      <c r="M311" s="75"/>
      <c r="N311" s="75"/>
      <c r="O311" s="75"/>
      <c r="P311" s="75"/>
      <c r="Q311" s="75"/>
      <c r="R311" s="75"/>
      <c r="S311" s="75"/>
      <c r="T311" s="75"/>
      <c r="U311" s="75"/>
      <c r="V311" s="75"/>
      <c r="W311" s="75"/>
      <c r="X311" s="75"/>
      <c r="Y311" s="75"/>
      <c r="Z311" s="75"/>
      <c r="AA311" s="75"/>
      <c r="AB311" s="75"/>
    </row>
    <row r="312" ht="12.75" customHeight="1">
      <c r="A312" s="106">
        <v>43649</v>
      </c>
      <c r="B312" s="124">
        <v>13778</v>
      </c>
      <c r="C312" t="s" s="115">
        <v>255</v>
      </c>
      <c r="D312" t="s" s="109">
        <v>350</v>
      </c>
      <c r="E312" s="110"/>
      <c r="F312" s="111"/>
      <c r="G312" s="112">
        <v>859.4400000000001</v>
      </c>
      <c r="H312" s="113">
        <v>20</v>
      </c>
      <c r="I312" s="114" cm="1">
        <f t="array" ref="I312">I311</f>
        <v>42.99</v>
      </c>
      <c r="J312" s="105"/>
      <c r="K312" s="101"/>
      <c r="L312" s="96"/>
      <c r="M312" s="75"/>
      <c r="N312" s="75"/>
      <c r="O312" s="75"/>
      <c r="P312" s="75"/>
      <c r="Q312" s="75"/>
      <c r="R312" s="75"/>
      <c r="S312" s="75"/>
      <c r="T312" s="75"/>
      <c r="U312" s="75"/>
      <c r="V312" s="75"/>
      <c r="W312" s="75"/>
      <c r="X312" s="75"/>
      <c r="Y312" s="75"/>
      <c r="Z312" s="75"/>
      <c r="AA312" s="75"/>
      <c r="AB312" s="75"/>
    </row>
    <row r="313" ht="12.75" customHeight="1">
      <c r="A313" s="97">
        <v>43649</v>
      </c>
      <c r="B313" s="121">
        <v>13780</v>
      </c>
      <c r="C313" t="s" s="116">
        <v>255</v>
      </c>
      <c r="D313" t="s" s="79">
        <v>263</v>
      </c>
      <c r="E313" s="100"/>
      <c r="F313" s="101"/>
      <c r="G313" s="102">
        <v>519.13</v>
      </c>
      <c r="H313" s="103">
        <v>12</v>
      </c>
      <c r="I313" s="104">
        <v>43.26</v>
      </c>
      <c r="J313" s="105"/>
      <c r="K313" s="101"/>
      <c r="L313" s="96"/>
      <c r="M313" s="75"/>
      <c r="N313" s="75"/>
      <c r="O313" s="75"/>
      <c r="P313" s="75"/>
      <c r="Q313" s="75"/>
      <c r="R313" s="75"/>
      <c r="S313" s="75"/>
      <c r="T313" s="75"/>
      <c r="U313" s="75"/>
      <c r="V313" s="75"/>
      <c r="W313" s="75"/>
      <c r="X313" s="75"/>
      <c r="Y313" s="75"/>
      <c r="Z313" s="75"/>
      <c r="AA313" s="75"/>
      <c r="AB313" s="75"/>
    </row>
    <row r="314" ht="12.75" customHeight="1">
      <c r="A314" s="106">
        <v>43650</v>
      </c>
      <c r="B314" s="124">
        <v>69461</v>
      </c>
      <c r="C314" t="s" s="115">
        <v>276</v>
      </c>
      <c r="D314" t="s" s="109">
        <v>340</v>
      </c>
      <c r="E314" s="110"/>
      <c r="F314" s="111"/>
      <c r="G314" s="112">
        <v>334.81</v>
      </c>
      <c r="H314" s="113">
        <v>7.8</v>
      </c>
      <c r="I314" s="114">
        <v>43</v>
      </c>
      <c r="J314" s="105"/>
      <c r="K314" s="101"/>
      <c r="L314" s="96"/>
      <c r="M314" s="75"/>
      <c r="N314" s="75"/>
      <c r="O314" s="75"/>
      <c r="P314" s="75"/>
      <c r="Q314" s="75"/>
      <c r="R314" s="75"/>
      <c r="S314" s="75"/>
      <c r="T314" s="75"/>
      <c r="U314" s="75"/>
      <c r="V314" s="75"/>
      <c r="W314" s="75"/>
      <c r="X314" s="75"/>
      <c r="Y314" s="75"/>
      <c r="Z314" s="75"/>
      <c r="AA314" s="75"/>
      <c r="AB314" s="75"/>
    </row>
    <row r="315" ht="12.75" customHeight="1">
      <c r="A315" s="97">
        <v>43651</v>
      </c>
      <c r="B315" s="121">
        <v>13830</v>
      </c>
      <c r="C315" t="s" s="116">
        <v>255</v>
      </c>
      <c r="D315" t="s" s="79">
        <v>351</v>
      </c>
      <c r="E315" s="100"/>
      <c r="F315" s="101"/>
      <c r="G315" s="102">
        <v>526.6</v>
      </c>
      <c r="H315" s="103">
        <v>12</v>
      </c>
      <c r="I315" s="104">
        <v>43.88</v>
      </c>
      <c r="J315" s="105"/>
      <c r="K315" s="101"/>
      <c r="L315" s="96"/>
      <c r="M315" s="75"/>
      <c r="N315" s="75"/>
      <c r="O315" s="75"/>
      <c r="P315" s="75"/>
      <c r="Q315" s="75"/>
      <c r="R315" s="75"/>
      <c r="S315" s="75"/>
      <c r="T315" s="75"/>
      <c r="U315" s="75"/>
      <c r="V315" s="75"/>
      <c r="W315" s="75"/>
      <c r="X315" s="75"/>
      <c r="Y315" s="75"/>
      <c r="Z315" s="75"/>
      <c r="AA315" s="75"/>
      <c r="AB315" s="75"/>
    </row>
    <row r="316" ht="12.75" customHeight="1">
      <c r="A316" s="106">
        <v>43656</v>
      </c>
      <c r="B316" s="124">
        <v>13867</v>
      </c>
      <c r="C316" t="s" s="115">
        <v>255</v>
      </c>
      <c r="D316" t="s" s="109">
        <v>352</v>
      </c>
      <c r="E316" s="110"/>
      <c r="F316" s="111"/>
      <c r="G316" s="112">
        <v>540</v>
      </c>
      <c r="H316" s="113">
        <v>13</v>
      </c>
      <c r="I316" s="114">
        <v>41.53</v>
      </c>
      <c r="J316" s="105"/>
      <c r="K316" s="101"/>
      <c r="L316" s="96"/>
      <c r="M316" s="75"/>
      <c r="N316" s="75"/>
      <c r="O316" s="75"/>
      <c r="P316" s="75"/>
      <c r="Q316" s="75"/>
      <c r="R316" s="75"/>
      <c r="S316" s="75"/>
      <c r="T316" s="75"/>
      <c r="U316" s="75"/>
      <c r="V316" s="75"/>
      <c r="W316" s="75"/>
      <c r="X316" s="75"/>
      <c r="Y316" s="75"/>
      <c r="Z316" s="75"/>
      <c r="AA316" s="75"/>
      <c r="AB316" s="75"/>
    </row>
    <row r="317" ht="12.75" customHeight="1">
      <c r="A317" s="97">
        <v>43656</v>
      </c>
      <c r="B317" s="98"/>
      <c r="C317" t="s" s="116">
        <v>99</v>
      </c>
      <c r="D317" t="s" s="79">
        <v>353</v>
      </c>
      <c r="E317" s="100"/>
      <c r="F317" s="101"/>
      <c r="G317" s="102">
        <v>3861.51</v>
      </c>
      <c r="H317" s="103">
        <v>90</v>
      </c>
      <c r="I317" s="104">
        <v>42.9</v>
      </c>
      <c r="J317" s="105"/>
      <c r="K317" s="101"/>
      <c r="L317" s="96"/>
      <c r="M317" s="75"/>
      <c r="N317" s="75"/>
      <c r="O317" s="75"/>
      <c r="P317" s="75"/>
      <c r="Q317" s="75"/>
      <c r="R317" s="75"/>
      <c r="S317" s="75"/>
      <c r="T317" s="75"/>
      <c r="U317" s="75"/>
      <c r="V317" s="75"/>
      <c r="W317" s="75"/>
      <c r="X317" s="75"/>
      <c r="Y317" s="75"/>
      <c r="Z317" s="75"/>
      <c r="AA317" s="75"/>
      <c r="AB317" s="75"/>
    </row>
    <row r="318" ht="12.75" customHeight="1">
      <c r="A318" s="106">
        <v>43657</v>
      </c>
      <c r="B318" s="124">
        <v>13892</v>
      </c>
      <c r="C318" t="s" s="115">
        <v>255</v>
      </c>
      <c r="D318" t="s" s="109">
        <v>354</v>
      </c>
      <c r="E318" s="110"/>
      <c r="F318" s="111"/>
      <c r="G318" s="112">
        <v>10659.4</v>
      </c>
      <c r="H318" s="113">
        <v>242</v>
      </c>
      <c r="I318" s="114">
        <v>44.04</v>
      </c>
      <c r="J318" s="105"/>
      <c r="K318" s="101"/>
      <c r="L318" s="96"/>
      <c r="M318" s="75"/>
      <c r="N318" s="75"/>
      <c r="O318" s="75"/>
      <c r="P318" s="75"/>
      <c r="Q318" s="75"/>
      <c r="R318" s="75"/>
      <c r="S318" s="75"/>
      <c r="T318" s="75"/>
      <c r="U318" s="75"/>
      <c r="V318" s="75"/>
      <c r="W318" s="75"/>
      <c r="X318" s="75"/>
      <c r="Y318" s="75"/>
      <c r="Z318" s="75"/>
      <c r="AA318" s="75"/>
      <c r="AB318" s="75"/>
    </row>
    <row r="319" ht="12.75" customHeight="1">
      <c r="A319" s="97">
        <v>43657</v>
      </c>
      <c r="B319" s="121">
        <v>13893</v>
      </c>
      <c r="C319" t="s" s="116">
        <v>255</v>
      </c>
      <c r="D319" t="s" s="79">
        <v>355</v>
      </c>
      <c r="E319" s="100"/>
      <c r="F319" s="101"/>
      <c r="G319" s="102">
        <v>50823.85</v>
      </c>
      <c r="H319" s="103">
        <v>1156</v>
      </c>
      <c r="I319" s="104">
        <v>43.96</v>
      </c>
      <c r="J319" s="105"/>
      <c r="K319" s="101"/>
      <c r="L319" s="96"/>
      <c r="M319" s="75"/>
      <c r="N319" s="75"/>
      <c r="O319" s="75"/>
      <c r="P319" s="75"/>
      <c r="Q319" s="75"/>
      <c r="R319" s="75"/>
      <c r="S319" s="75"/>
      <c r="T319" s="75"/>
      <c r="U319" s="75"/>
      <c r="V319" s="75"/>
      <c r="W319" s="75"/>
      <c r="X319" s="75"/>
      <c r="Y319" s="75"/>
      <c r="Z319" s="75"/>
      <c r="AA319" s="75"/>
      <c r="AB319" s="75"/>
    </row>
    <row r="320" ht="12.75" customHeight="1">
      <c r="A320" s="106">
        <v>43657</v>
      </c>
      <c r="B320" s="124">
        <v>13921</v>
      </c>
      <c r="C320" t="s" s="115">
        <v>255</v>
      </c>
      <c r="D320" t="s" s="109">
        <v>356</v>
      </c>
      <c r="E320" s="110"/>
      <c r="F320" s="111"/>
      <c r="G320" s="112">
        <v>680</v>
      </c>
      <c r="H320" s="113">
        <v>15.5</v>
      </c>
      <c r="I320" s="114">
        <v>43.87</v>
      </c>
      <c r="J320" s="105"/>
      <c r="K320" s="101"/>
      <c r="L320" s="96"/>
      <c r="M320" s="75"/>
      <c r="N320" s="75"/>
      <c r="O320" s="75"/>
      <c r="P320" s="75"/>
      <c r="Q320" s="75"/>
      <c r="R320" s="75"/>
      <c r="S320" s="75"/>
      <c r="T320" s="75"/>
      <c r="U320" s="75"/>
      <c r="V320" s="75"/>
      <c r="W320" s="75"/>
      <c r="X320" s="75"/>
      <c r="Y320" s="75"/>
      <c r="Z320" s="75"/>
      <c r="AA320" s="75"/>
      <c r="AB320" s="75"/>
    </row>
    <row r="321" ht="12.75" customHeight="1">
      <c r="A321" s="97">
        <v>43661</v>
      </c>
      <c r="B321" s="121">
        <v>13943</v>
      </c>
      <c r="C321" t="s" s="116">
        <v>255</v>
      </c>
      <c r="D321" t="s" s="79">
        <v>357</v>
      </c>
      <c r="E321" s="100"/>
      <c r="F321" s="101"/>
      <c r="G321" s="102">
        <v>5000</v>
      </c>
      <c r="H321" s="103">
        <v>115</v>
      </c>
      <c r="I321" s="104">
        <v>43.47</v>
      </c>
      <c r="J321" s="105"/>
      <c r="K321" s="101"/>
      <c r="L321" s="96"/>
      <c r="M321" s="75"/>
      <c r="N321" s="75"/>
      <c r="O321" s="75"/>
      <c r="P321" s="75"/>
      <c r="Q321" s="75"/>
      <c r="R321" s="75"/>
      <c r="S321" s="75"/>
      <c r="T321" s="75"/>
      <c r="U321" s="75"/>
      <c r="V321" s="75"/>
      <c r="W321" s="75"/>
      <c r="X321" s="75"/>
      <c r="Y321" s="75"/>
      <c r="Z321" s="75"/>
      <c r="AA321" s="75"/>
      <c r="AB321" s="75"/>
    </row>
    <row r="322" ht="12.75" customHeight="1">
      <c r="A322" s="106">
        <v>43662</v>
      </c>
      <c r="B322" s="124">
        <v>840</v>
      </c>
      <c r="C322" t="s" s="115">
        <v>255</v>
      </c>
      <c r="D322" t="s" s="109">
        <v>343</v>
      </c>
      <c r="E322" s="149"/>
      <c r="F322" s="150"/>
      <c r="G322" s="118">
        <v>1960.96</v>
      </c>
      <c r="H322" s="111">
        <v>45</v>
      </c>
      <c r="I322" s="114" cm="1">
        <f t="array" ref="I322">I321</f>
        <v>43.47</v>
      </c>
      <c r="J322" s="105"/>
      <c r="K322" s="101"/>
      <c r="L322" s="96"/>
      <c r="M322" s="75"/>
      <c r="N322" s="75"/>
      <c r="O322" s="75"/>
      <c r="P322" s="75"/>
      <c r="Q322" s="75"/>
      <c r="R322" s="75"/>
      <c r="S322" s="75"/>
      <c r="T322" s="75"/>
      <c r="U322" s="75"/>
      <c r="V322" s="75"/>
      <c r="W322" s="75"/>
      <c r="X322" s="75"/>
      <c r="Y322" s="75"/>
      <c r="Z322" s="75"/>
      <c r="AA322" s="75"/>
      <c r="AB322" s="75"/>
    </row>
    <row r="323" ht="12.75" customHeight="1">
      <c r="A323" s="97">
        <v>43664</v>
      </c>
      <c r="B323" s="121">
        <v>3853</v>
      </c>
      <c r="C323" t="s" s="116">
        <v>276</v>
      </c>
      <c r="D323" t="s" s="79">
        <v>358</v>
      </c>
      <c r="E323" s="151"/>
      <c r="F323" s="152"/>
      <c r="G323" s="102">
        <v>1991.77</v>
      </c>
      <c r="H323" s="103">
        <v>44</v>
      </c>
      <c r="I323" s="104">
        <v>45.26</v>
      </c>
      <c r="J323" s="105"/>
      <c r="K323" s="101"/>
      <c r="L323" s="96"/>
      <c r="M323" s="75"/>
      <c r="N323" s="75"/>
      <c r="O323" s="75"/>
      <c r="P323" s="75"/>
      <c r="Q323" s="75"/>
      <c r="R323" s="75"/>
      <c r="S323" s="75"/>
      <c r="T323" s="75"/>
      <c r="U323" s="75"/>
      <c r="V323" s="75"/>
      <c r="W323" s="75"/>
      <c r="X323" s="75"/>
      <c r="Y323" s="75"/>
      <c r="Z323" s="75"/>
      <c r="AA323" s="75"/>
      <c r="AB323" s="75"/>
    </row>
    <row r="324" ht="12.75" customHeight="1">
      <c r="A324" s="106">
        <v>43665</v>
      </c>
      <c r="B324" s="107"/>
      <c r="C324" t="s" s="115">
        <v>34</v>
      </c>
      <c r="D324" t="s" s="109">
        <v>359</v>
      </c>
      <c r="E324" s="110"/>
      <c r="F324" s="111"/>
      <c r="G324" s="112">
        <v>1309.3</v>
      </c>
      <c r="H324" s="113">
        <v>25</v>
      </c>
      <c r="I324" s="114">
        <v>42.19</v>
      </c>
      <c r="J324" s="105"/>
      <c r="K324" s="101"/>
      <c r="L324" s="96"/>
      <c r="M324" s="75"/>
      <c r="N324" s="75"/>
      <c r="O324" s="75"/>
      <c r="P324" s="75"/>
      <c r="Q324" s="75"/>
      <c r="R324" s="75"/>
      <c r="S324" s="75"/>
      <c r="T324" s="75"/>
      <c r="U324" s="75"/>
      <c r="V324" s="75"/>
      <c r="W324" s="75"/>
      <c r="X324" s="75"/>
      <c r="Y324" s="75"/>
      <c r="Z324" s="75"/>
      <c r="AA324" s="75"/>
      <c r="AB324" s="75"/>
    </row>
    <row r="325" ht="12.75" customHeight="1">
      <c r="A325" s="97">
        <v>43666</v>
      </c>
      <c r="B325" s="121">
        <v>69735</v>
      </c>
      <c r="C325" t="s" s="116">
        <v>276</v>
      </c>
      <c r="D325" t="s" s="79">
        <v>360</v>
      </c>
      <c r="E325" s="100"/>
      <c r="F325" s="101"/>
      <c r="G325" s="102">
        <v>12817.66</v>
      </c>
      <c r="H325" s="103">
        <v>285</v>
      </c>
      <c r="I325" s="104">
        <v>44.97</v>
      </c>
      <c r="J325" s="105"/>
      <c r="K325" s="101"/>
      <c r="L325" s="96"/>
      <c r="M325" s="75"/>
      <c r="N325" s="75"/>
      <c r="O325" s="75"/>
      <c r="P325" s="75"/>
      <c r="Q325" s="75"/>
      <c r="R325" s="75"/>
      <c r="S325" s="75"/>
      <c r="T325" s="75"/>
      <c r="U325" s="75"/>
      <c r="V325" s="75"/>
      <c r="W325" s="75"/>
      <c r="X325" s="75"/>
      <c r="Y325" s="75"/>
      <c r="Z325" s="75"/>
      <c r="AA325" s="75"/>
      <c r="AB325" s="75"/>
    </row>
    <row r="326" ht="12.75" customHeight="1">
      <c r="A326" t="s" s="145">
        <v>361</v>
      </c>
      <c r="B326" s="124">
        <v>14066</v>
      </c>
      <c r="C326" t="s" s="115">
        <v>255</v>
      </c>
      <c r="D326" t="s" s="109">
        <v>362</v>
      </c>
      <c r="E326" s="110"/>
      <c r="F326" s="111"/>
      <c r="G326" s="112">
        <v>2859.19</v>
      </c>
      <c r="H326" s="113">
        <v>65</v>
      </c>
      <c r="I326" s="114">
        <v>44</v>
      </c>
      <c r="J326" s="105"/>
      <c r="K326" s="101"/>
      <c r="L326" s="96"/>
      <c r="M326" s="75"/>
      <c r="N326" s="75"/>
      <c r="O326" s="75"/>
      <c r="P326" s="75"/>
      <c r="Q326" s="75"/>
      <c r="R326" s="75"/>
      <c r="S326" s="75"/>
      <c r="T326" s="75"/>
      <c r="U326" s="75"/>
      <c r="V326" s="75"/>
      <c r="W326" s="75"/>
      <c r="X326" s="75"/>
      <c r="Y326" s="75"/>
      <c r="Z326" s="75"/>
      <c r="AA326" s="75"/>
      <c r="AB326" s="75"/>
    </row>
    <row r="327" ht="12.75" customHeight="1">
      <c r="A327" t="s" s="78">
        <v>361</v>
      </c>
      <c r="B327" s="121">
        <v>14076</v>
      </c>
      <c r="C327" t="s" s="116">
        <v>255</v>
      </c>
      <c r="D327" t="s" s="79">
        <v>363</v>
      </c>
      <c r="E327" s="100"/>
      <c r="F327" s="101"/>
      <c r="G327" s="102">
        <v>2852.98</v>
      </c>
      <c r="H327" s="103">
        <v>65</v>
      </c>
      <c r="I327" s="104" cm="1">
        <f t="array" ref="I327">I326</f>
        <v>44</v>
      </c>
      <c r="J327" s="105"/>
      <c r="K327" s="101"/>
      <c r="L327" s="96"/>
      <c r="M327" s="75"/>
      <c r="N327" s="75"/>
      <c r="O327" s="75"/>
      <c r="P327" s="75"/>
      <c r="Q327" s="75"/>
      <c r="R327" s="75"/>
      <c r="S327" s="75"/>
      <c r="T327" s="75"/>
      <c r="U327" s="75"/>
      <c r="V327" s="75"/>
      <c r="W327" s="75"/>
      <c r="X327" s="75"/>
      <c r="Y327" s="75"/>
      <c r="Z327" s="75"/>
      <c r="AA327" s="75"/>
      <c r="AB327" s="75"/>
    </row>
    <row r="328" ht="12.75" customHeight="1">
      <c r="A328" s="106">
        <v>43670</v>
      </c>
      <c r="B328" s="124">
        <v>4936</v>
      </c>
      <c r="C328" t="s" s="115">
        <v>276</v>
      </c>
      <c r="D328" t="s" s="109">
        <v>364</v>
      </c>
      <c r="E328" s="110"/>
      <c r="F328" s="111"/>
      <c r="G328" s="112">
        <v>1344.8</v>
      </c>
      <c r="H328" s="113">
        <v>30</v>
      </c>
      <c r="I328" s="114">
        <v>44.82</v>
      </c>
      <c r="J328" s="105"/>
      <c r="K328" s="101"/>
      <c r="L328" s="96"/>
      <c r="M328" s="75"/>
      <c r="N328" s="75"/>
      <c r="O328" s="75"/>
      <c r="P328" s="75"/>
      <c r="Q328" s="75"/>
      <c r="R328" s="75"/>
      <c r="S328" s="75"/>
      <c r="T328" s="75"/>
      <c r="U328" s="75"/>
      <c r="V328" s="75"/>
      <c r="W328" s="75"/>
      <c r="X328" s="75"/>
      <c r="Y328" s="75"/>
      <c r="Z328" s="75"/>
      <c r="AA328" s="75"/>
      <c r="AB328" s="75"/>
    </row>
    <row r="329" ht="12.75" customHeight="1">
      <c r="A329" s="97">
        <v>43676</v>
      </c>
      <c r="B329" s="121">
        <v>14214</v>
      </c>
      <c r="C329" t="s" s="116">
        <v>255</v>
      </c>
      <c r="D329" t="s" s="79">
        <v>365</v>
      </c>
      <c r="E329" s="100"/>
      <c r="F329" s="101"/>
      <c r="G329" s="102">
        <v>2434.76</v>
      </c>
      <c r="H329" s="103">
        <v>54</v>
      </c>
      <c r="I329" s="104">
        <v>45.08</v>
      </c>
      <c r="J329" s="105"/>
      <c r="K329" s="101"/>
      <c r="L329" s="96"/>
      <c r="M329" s="75"/>
      <c r="N329" s="75"/>
      <c r="O329" s="75"/>
      <c r="P329" s="75"/>
      <c r="Q329" s="75"/>
      <c r="R329" s="75"/>
      <c r="S329" s="75"/>
      <c r="T329" s="75"/>
      <c r="U329" s="75"/>
      <c r="V329" s="75"/>
      <c r="W329" s="75"/>
      <c r="X329" s="75"/>
      <c r="Y329" s="75"/>
      <c r="Z329" s="75"/>
      <c r="AA329" s="75"/>
      <c r="AB329" s="75"/>
    </row>
    <row r="330" ht="12.75" customHeight="1">
      <c r="A330" s="106">
        <v>43678</v>
      </c>
      <c r="B330" s="124">
        <v>14712</v>
      </c>
      <c r="C330" t="s" s="115">
        <v>366</v>
      </c>
      <c r="D330" t="s" s="109">
        <v>367</v>
      </c>
      <c r="E330" s="110"/>
      <c r="F330" s="111"/>
      <c r="G330" s="112">
        <v>1608.56</v>
      </c>
      <c r="H330" s="113">
        <v>36</v>
      </c>
      <c r="I330" s="114">
        <v>44.68</v>
      </c>
      <c r="J330" s="105"/>
      <c r="K330" s="101"/>
      <c r="L330" s="96"/>
      <c r="M330" s="75"/>
      <c r="N330" s="75"/>
      <c r="O330" s="75"/>
      <c r="P330" s="75"/>
      <c r="Q330" s="75"/>
      <c r="R330" s="75"/>
      <c r="S330" s="75"/>
      <c r="T330" s="75"/>
      <c r="U330" s="75"/>
      <c r="V330" s="75"/>
      <c r="W330" s="75"/>
      <c r="X330" s="75"/>
      <c r="Y330" s="75"/>
      <c r="Z330" s="75"/>
      <c r="AA330" s="75"/>
      <c r="AB330" s="75"/>
    </row>
    <row r="331" ht="12.75" customHeight="1">
      <c r="A331" s="97">
        <v>43678</v>
      </c>
      <c r="B331" s="121">
        <v>69974</v>
      </c>
      <c r="C331" t="s" s="116">
        <v>276</v>
      </c>
      <c r="D331" t="s" s="79">
        <v>340</v>
      </c>
      <c r="E331" s="100"/>
      <c r="F331" s="101"/>
      <c r="G331" s="102">
        <v>1000.29</v>
      </c>
      <c r="H331" s="103">
        <v>22</v>
      </c>
      <c r="I331" s="104">
        <v>45.46</v>
      </c>
      <c r="J331" s="105"/>
      <c r="K331" s="101"/>
      <c r="L331" s="96"/>
      <c r="M331" s="75"/>
      <c r="N331" s="75"/>
      <c r="O331" s="75"/>
      <c r="P331" s="75"/>
      <c r="Q331" s="75"/>
      <c r="R331" s="75"/>
      <c r="S331" s="75"/>
      <c r="T331" s="75"/>
      <c r="U331" s="75"/>
      <c r="V331" s="75"/>
      <c r="W331" s="75"/>
      <c r="X331" s="75"/>
      <c r="Y331" s="75"/>
      <c r="Z331" s="75"/>
      <c r="AA331" s="75"/>
      <c r="AB331" s="75"/>
    </row>
    <row r="332" ht="12.75" customHeight="1">
      <c r="A332" s="106">
        <v>43678</v>
      </c>
      <c r="B332" s="124">
        <v>26060</v>
      </c>
      <c r="C332" t="s" s="115">
        <v>67</v>
      </c>
      <c r="D332" t="s" s="109">
        <v>368</v>
      </c>
      <c r="E332" s="110"/>
      <c r="F332" s="111"/>
      <c r="G332" s="112">
        <v>6962.81</v>
      </c>
      <c r="H332" s="113">
        <v>155</v>
      </c>
      <c r="I332" s="114">
        <v>44.92</v>
      </c>
      <c r="J332" s="105"/>
      <c r="K332" s="101"/>
      <c r="L332" s="96"/>
      <c r="M332" s="75"/>
      <c r="N332" s="75"/>
      <c r="O332" s="75"/>
      <c r="P332" s="75"/>
      <c r="Q332" s="75"/>
      <c r="R332" s="75"/>
      <c r="S332" s="75"/>
      <c r="T332" s="75"/>
      <c r="U332" s="75"/>
      <c r="V332" s="75"/>
      <c r="W332" s="75"/>
      <c r="X332" s="75"/>
      <c r="Y332" s="75"/>
      <c r="Z332" s="75"/>
      <c r="AA332" s="75"/>
      <c r="AB332" s="75"/>
    </row>
    <row r="333" ht="12.75" customHeight="1">
      <c r="A333" s="97">
        <v>43682</v>
      </c>
      <c r="B333" s="121">
        <v>4785</v>
      </c>
      <c r="C333" t="s" s="116">
        <v>369</v>
      </c>
      <c r="D333" t="s" s="79">
        <v>370</v>
      </c>
      <c r="E333" s="100"/>
      <c r="F333" s="101"/>
      <c r="G333" s="102">
        <v>119.98</v>
      </c>
      <c r="H333" s="103">
        <v>2.5</v>
      </c>
      <c r="I333" s="104">
        <v>48</v>
      </c>
      <c r="J333" s="105"/>
      <c r="K333" s="101"/>
      <c r="L333" s="96"/>
      <c r="M333" s="75"/>
      <c r="N333" s="75"/>
      <c r="O333" s="75"/>
      <c r="P333" s="75"/>
      <c r="Q333" s="75"/>
      <c r="R333" s="75"/>
      <c r="S333" s="75"/>
      <c r="T333" s="75"/>
      <c r="U333" s="75"/>
      <c r="V333" s="75"/>
      <c r="W333" s="75"/>
      <c r="X333" s="75"/>
      <c r="Y333" s="75"/>
      <c r="Z333" s="75"/>
      <c r="AA333" s="75"/>
      <c r="AB333" s="75"/>
    </row>
    <row r="334" ht="12.75" customHeight="1">
      <c r="A334" s="106">
        <v>43684</v>
      </c>
      <c r="B334" s="124">
        <v>14343</v>
      </c>
      <c r="C334" t="s" s="115">
        <v>255</v>
      </c>
      <c r="D334" t="s" s="109">
        <v>371</v>
      </c>
      <c r="E334" s="110"/>
      <c r="F334" s="111"/>
      <c r="G334" s="112">
        <v>818.89</v>
      </c>
      <c r="H334" s="113">
        <v>18</v>
      </c>
      <c r="I334" s="114">
        <v>45.49</v>
      </c>
      <c r="J334" s="105"/>
      <c r="K334" s="101"/>
      <c r="L334" s="96"/>
      <c r="M334" s="75"/>
      <c r="N334" s="75"/>
      <c r="O334" s="75"/>
      <c r="P334" s="75"/>
      <c r="Q334" s="75"/>
      <c r="R334" s="75"/>
      <c r="S334" s="75"/>
      <c r="T334" s="75"/>
      <c r="U334" s="75"/>
      <c r="V334" s="75"/>
      <c r="W334" s="75"/>
      <c r="X334" s="75"/>
      <c r="Y334" s="75"/>
      <c r="Z334" s="75"/>
      <c r="AA334" s="75"/>
      <c r="AB334" s="75"/>
    </row>
    <row r="335" ht="12.75" customHeight="1">
      <c r="A335" s="97">
        <v>43686</v>
      </c>
      <c r="B335" s="121">
        <v>312</v>
      </c>
      <c r="C335" t="s" s="116">
        <v>299</v>
      </c>
      <c r="D335" t="s" s="79">
        <v>372</v>
      </c>
      <c r="E335" s="100"/>
      <c r="F335" s="101"/>
      <c r="G335" s="102">
        <v>83598.48</v>
      </c>
      <c r="H335" s="103">
        <v>1860</v>
      </c>
      <c r="I335" s="104">
        <v>44.94</v>
      </c>
      <c r="J335" s="105"/>
      <c r="K335" s="101"/>
      <c r="L335" s="96"/>
      <c r="M335" s="75"/>
      <c r="N335" s="75"/>
      <c r="O335" s="75"/>
      <c r="P335" s="75"/>
      <c r="Q335" s="75"/>
      <c r="R335" s="75"/>
      <c r="S335" s="75"/>
      <c r="T335" s="75"/>
      <c r="U335" s="75"/>
      <c r="V335" s="75"/>
      <c r="W335" s="75"/>
      <c r="X335" s="75"/>
      <c r="Y335" s="75"/>
      <c r="Z335" s="75"/>
      <c r="AA335" s="75"/>
      <c r="AB335" s="75"/>
    </row>
    <row r="336" ht="12.75" customHeight="1">
      <c r="A336" s="106">
        <v>43686</v>
      </c>
      <c r="B336" s="107"/>
      <c r="C336" t="s" s="115">
        <v>99</v>
      </c>
      <c r="D336" t="s" s="109">
        <v>373</v>
      </c>
      <c r="E336" s="110"/>
      <c r="F336" s="111"/>
      <c r="G336" s="112">
        <v>4459.22</v>
      </c>
      <c r="H336" s="113">
        <v>100</v>
      </c>
      <c r="I336" s="114">
        <v>44.59</v>
      </c>
      <c r="J336" s="105"/>
      <c r="K336" s="101"/>
      <c r="L336" s="96"/>
      <c r="M336" s="75"/>
      <c r="N336" s="75"/>
      <c r="O336" s="75"/>
      <c r="P336" s="75"/>
      <c r="Q336" s="75"/>
      <c r="R336" s="75"/>
      <c r="S336" s="75"/>
      <c r="T336" s="75"/>
      <c r="U336" s="75"/>
      <c r="V336" s="75"/>
      <c r="W336" s="75"/>
      <c r="X336" s="75"/>
      <c r="Y336" s="75"/>
      <c r="Z336" s="75"/>
      <c r="AA336" s="75"/>
      <c r="AB336" s="75"/>
    </row>
    <row r="337" ht="12.75" customHeight="1">
      <c r="A337" t="s" s="78">
        <v>374</v>
      </c>
      <c r="B337" s="121">
        <v>14588</v>
      </c>
      <c r="C337" t="s" s="116">
        <v>255</v>
      </c>
      <c r="D337" t="s" s="79">
        <v>375</v>
      </c>
      <c r="E337" s="100"/>
      <c r="F337" s="101"/>
      <c r="G337" s="102">
        <v>16367.96</v>
      </c>
      <c r="H337" s="103">
        <v>288</v>
      </c>
      <c r="I337" s="104">
        <v>56.83</v>
      </c>
      <c r="J337" s="105"/>
      <c r="K337" s="101"/>
      <c r="L337" s="96"/>
      <c r="M337" s="75"/>
      <c r="N337" s="75"/>
      <c r="O337" s="75"/>
      <c r="P337" s="75"/>
      <c r="Q337" s="75"/>
      <c r="R337" s="75"/>
      <c r="S337" s="75"/>
      <c r="T337" s="75"/>
      <c r="U337" s="75"/>
      <c r="V337" s="75"/>
      <c r="W337" s="75"/>
      <c r="X337" s="75"/>
      <c r="Y337" s="75"/>
      <c r="Z337" s="75"/>
      <c r="AA337" s="75"/>
      <c r="AB337" s="75"/>
    </row>
    <row r="338" ht="12.75" customHeight="1">
      <c r="A338" t="s" s="145">
        <v>376</v>
      </c>
      <c r="B338" s="124">
        <v>481</v>
      </c>
      <c r="C338" t="s" s="115">
        <v>377</v>
      </c>
      <c r="D338" t="s" s="109">
        <v>378</v>
      </c>
      <c r="E338" s="110"/>
      <c r="F338" s="111"/>
      <c r="G338" s="112">
        <v>981600.02</v>
      </c>
      <c r="H338" s="113">
        <v>17221</v>
      </c>
      <c r="I338" s="114">
        <v>57</v>
      </c>
      <c r="J338" s="105"/>
      <c r="K338" s="101"/>
      <c r="L338" s="96"/>
      <c r="M338" s="75"/>
      <c r="N338" s="75"/>
      <c r="O338" s="75"/>
      <c r="P338" s="75"/>
      <c r="Q338" s="75"/>
      <c r="R338" s="75"/>
      <c r="S338" s="75"/>
      <c r="T338" s="75"/>
      <c r="U338" s="75"/>
      <c r="V338" s="75"/>
      <c r="W338" s="75"/>
      <c r="X338" s="75"/>
      <c r="Y338" s="75"/>
      <c r="Z338" s="75"/>
      <c r="AA338" s="75"/>
      <c r="AB338" s="75"/>
    </row>
    <row r="339" ht="12.75" customHeight="1">
      <c r="A339" t="s" s="78">
        <v>379</v>
      </c>
      <c r="B339" s="121">
        <v>14666</v>
      </c>
      <c r="C339" t="s" s="116">
        <v>255</v>
      </c>
      <c r="D339" t="s" s="79">
        <v>380</v>
      </c>
      <c r="E339" s="100"/>
      <c r="F339" s="101"/>
      <c r="G339" s="102">
        <v>112772.78</v>
      </c>
      <c r="H339" s="103">
        <v>1880</v>
      </c>
      <c r="I339" s="104">
        <v>60</v>
      </c>
      <c r="J339" s="105"/>
      <c r="K339" s="101"/>
      <c r="L339" s="96"/>
      <c r="M339" s="75"/>
      <c r="N339" s="75"/>
      <c r="O339" s="75"/>
      <c r="P339" s="75"/>
      <c r="Q339" s="75"/>
      <c r="R339" s="75"/>
      <c r="S339" s="75"/>
      <c r="T339" s="75"/>
      <c r="U339" s="75"/>
      <c r="V339" s="75"/>
      <c r="W339" s="75"/>
      <c r="X339" s="75"/>
      <c r="Y339" s="75"/>
      <c r="Z339" s="75"/>
      <c r="AA339" s="75"/>
      <c r="AB339" s="75"/>
    </row>
    <row r="340" ht="12.75" customHeight="1">
      <c r="A340" t="s" s="145">
        <v>379</v>
      </c>
      <c r="B340" s="124">
        <v>14667</v>
      </c>
      <c r="C340" t="s" s="115">
        <v>255</v>
      </c>
      <c r="D340" t="s" s="109">
        <v>381</v>
      </c>
      <c r="E340" s="110"/>
      <c r="F340" s="111"/>
      <c r="G340" s="112">
        <v>3134.99</v>
      </c>
      <c r="H340" s="113">
        <v>53</v>
      </c>
      <c r="I340" s="114" cm="1">
        <f t="array" ref="I340">I339</f>
        <v>60</v>
      </c>
      <c r="J340" s="105"/>
      <c r="K340" s="101"/>
      <c r="L340" s="96"/>
      <c r="M340" s="75"/>
      <c r="N340" s="75"/>
      <c r="O340" s="75"/>
      <c r="P340" s="75"/>
      <c r="Q340" s="75"/>
      <c r="R340" s="75"/>
      <c r="S340" s="75"/>
      <c r="T340" s="75"/>
      <c r="U340" s="75"/>
      <c r="V340" s="75"/>
      <c r="W340" s="75"/>
      <c r="X340" s="75"/>
      <c r="Y340" s="75"/>
      <c r="Z340" s="75"/>
      <c r="AA340" s="75"/>
      <c r="AB340" s="75"/>
    </row>
    <row r="341" ht="12.75" customHeight="1">
      <c r="A341" t="s" s="78">
        <v>379</v>
      </c>
      <c r="B341" s="98"/>
      <c r="C341" t="s" s="116">
        <v>382</v>
      </c>
      <c r="D341" t="s" s="79">
        <v>383</v>
      </c>
      <c r="E341" s="100"/>
      <c r="F341" s="101"/>
      <c r="G341" s="102">
        <v>3300</v>
      </c>
      <c r="H341" s="103">
        <v>55</v>
      </c>
      <c r="I341" s="104">
        <v>60</v>
      </c>
      <c r="J341" s="105"/>
      <c r="K341" s="101"/>
      <c r="L341" s="153"/>
      <c r="M341" s="154"/>
      <c r="N341" s="154"/>
      <c r="O341" s="154"/>
      <c r="P341" s="154"/>
      <c r="Q341" s="154"/>
      <c r="R341" s="154"/>
      <c r="S341" s="154"/>
      <c r="T341" s="154"/>
      <c r="U341" s="154"/>
      <c r="V341" s="154"/>
      <c r="W341" s="154"/>
      <c r="X341" s="154"/>
      <c r="Y341" s="154"/>
      <c r="Z341" s="154"/>
      <c r="AA341" s="154"/>
      <c r="AB341" s="154"/>
    </row>
    <row r="342" ht="12.75" customHeight="1">
      <c r="A342" s="106">
        <v>43710</v>
      </c>
      <c r="B342" s="124">
        <v>14716</v>
      </c>
      <c r="C342" t="s" s="115">
        <v>255</v>
      </c>
      <c r="D342" t="s" s="109">
        <v>384</v>
      </c>
      <c r="E342" s="110"/>
      <c r="F342" s="111"/>
      <c r="G342" s="112">
        <v>5520</v>
      </c>
      <c r="H342" s="113">
        <v>93</v>
      </c>
      <c r="I342" s="114">
        <v>59.35</v>
      </c>
      <c r="J342" s="105"/>
      <c r="K342" s="101"/>
      <c r="L342" s="155"/>
      <c r="M342" s="156"/>
      <c r="N342" s="156"/>
      <c r="O342" s="156"/>
      <c r="P342" s="156"/>
      <c r="Q342" s="156"/>
      <c r="R342" s="156"/>
      <c r="S342" s="156"/>
      <c r="T342" s="156"/>
      <c r="U342" s="156"/>
      <c r="V342" s="156"/>
      <c r="W342" s="156"/>
      <c r="X342" s="156"/>
      <c r="Y342" s="156"/>
      <c r="Z342" s="156"/>
      <c r="AA342" s="156"/>
      <c r="AB342" s="157"/>
    </row>
    <row r="343" ht="12.75" customHeight="1">
      <c r="A343" s="97">
        <v>43711</v>
      </c>
      <c r="B343" s="121">
        <v>14739</v>
      </c>
      <c r="C343" t="s" s="116">
        <v>255</v>
      </c>
      <c r="D343" t="s" s="79">
        <v>385</v>
      </c>
      <c r="E343" s="100"/>
      <c r="F343" s="101"/>
      <c r="G343" s="102">
        <v>4700</v>
      </c>
      <c r="H343" s="103">
        <v>82</v>
      </c>
      <c r="I343" s="104">
        <v>57.31</v>
      </c>
      <c r="J343" s="158"/>
      <c r="K343" s="159"/>
      <c r="L343" s="160"/>
      <c r="M343" s="161"/>
      <c r="N343" s="161"/>
      <c r="O343" s="161"/>
      <c r="P343" s="161"/>
      <c r="Q343" s="161"/>
      <c r="R343" s="161"/>
      <c r="S343" s="161"/>
      <c r="T343" s="161"/>
      <c r="U343" s="161"/>
      <c r="V343" s="161"/>
      <c r="W343" s="161"/>
      <c r="X343" s="161"/>
      <c r="Y343" s="161"/>
      <c r="Z343" s="161"/>
      <c r="AA343" s="161"/>
      <c r="AB343" s="162"/>
    </row>
    <row r="344" ht="12.75" customHeight="1">
      <c r="A344" s="106">
        <v>43712</v>
      </c>
      <c r="B344" s="124">
        <v>318</v>
      </c>
      <c r="C344" t="s" s="116">
        <v>299</v>
      </c>
      <c r="D344" t="s" s="109">
        <v>386</v>
      </c>
      <c r="E344" s="110"/>
      <c r="F344" s="111"/>
      <c r="G344" s="112">
        <v>83490</v>
      </c>
      <c r="H344" s="113">
        <v>1465</v>
      </c>
      <c r="I344" s="114">
        <v>57</v>
      </c>
      <c r="J344" s="105"/>
      <c r="K344" s="101"/>
      <c r="L344" s="155"/>
      <c r="M344" s="156"/>
      <c r="N344" s="156"/>
      <c r="O344" s="156"/>
      <c r="P344" s="156"/>
      <c r="Q344" s="156"/>
      <c r="R344" s="156"/>
      <c r="S344" s="156"/>
      <c r="T344" s="156"/>
      <c r="U344" s="156"/>
      <c r="V344" s="156"/>
      <c r="W344" s="156"/>
      <c r="X344" s="156"/>
      <c r="Y344" s="156"/>
      <c r="Z344" s="156"/>
      <c r="AA344" s="156"/>
      <c r="AB344" s="157"/>
    </row>
    <row r="345" ht="12.75" customHeight="1">
      <c r="A345" s="97">
        <v>43713</v>
      </c>
      <c r="B345" s="98"/>
      <c r="C345" t="s" s="116">
        <v>108</v>
      </c>
      <c r="D345" t="s" s="79">
        <v>387</v>
      </c>
      <c r="E345" s="100"/>
      <c r="F345" s="101"/>
      <c r="G345" s="102">
        <v>34473.04</v>
      </c>
      <c r="H345" s="103">
        <v>575</v>
      </c>
      <c r="I345" s="104">
        <v>60</v>
      </c>
      <c r="J345" s="163"/>
      <c r="K345" s="111"/>
      <c r="L345" s="164"/>
      <c r="M345" s="165"/>
      <c r="N345" s="165"/>
      <c r="O345" s="165"/>
      <c r="P345" s="165"/>
      <c r="Q345" s="165"/>
      <c r="R345" s="165"/>
      <c r="S345" s="165"/>
      <c r="T345" s="165"/>
      <c r="U345" s="165"/>
      <c r="V345" s="165"/>
      <c r="W345" s="165"/>
      <c r="X345" s="165"/>
      <c r="Y345" s="165"/>
      <c r="Z345" s="165"/>
      <c r="AA345" s="165"/>
      <c r="AB345" s="166"/>
    </row>
    <row r="346" ht="12.75" customHeight="1">
      <c r="A346" s="106">
        <v>43713</v>
      </c>
      <c r="B346" s="124">
        <v>332</v>
      </c>
      <c r="C346" t="s" s="116">
        <v>299</v>
      </c>
      <c r="D346" t="s" s="109">
        <v>388</v>
      </c>
      <c r="E346" s="110"/>
      <c r="F346" s="111"/>
      <c r="G346" s="112">
        <v>134831.3</v>
      </c>
      <c r="H346" s="113">
        <v>2247</v>
      </c>
      <c r="I346" s="114">
        <v>60</v>
      </c>
      <c r="J346" s="105"/>
      <c r="K346" s="101"/>
      <c r="L346" s="167"/>
      <c r="M346" s="168"/>
      <c r="N346" s="168"/>
      <c r="O346" s="168"/>
      <c r="P346" s="168"/>
      <c r="Q346" s="168"/>
      <c r="R346" s="168"/>
      <c r="S346" s="168"/>
      <c r="T346" s="168"/>
      <c r="U346" s="168"/>
      <c r="V346" s="168"/>
      <c r="W346" s="168"/>
      <c r="X346" s="168"/>
      <c r="Y346" s="168"/>
      <c r="Z346" s="168"/>
      <c r="AA346" s="168"/>
      <c r="AB346" s="168"/>
    </row>
    <row r="347" ht="12.75" customHeight="1">
      <c r="A347" s="97">
        <v>43713</v>
      </c>
      <c r="B347" s="121">
        <v>14799</v>
      </c>
      <c r="C347" t="s" s="116">
        <v>255</v>
      </c>
      <c r="D347" t="s" s="79">
        <v>389</v>
      </c>
      <c r="E347" s="100"/>
      <c r="F347" s="101"/>
      <c r="G347" s="102">
        <v>3335</v>
      </c>
      <c r="H347" s="103">
        <v>58</v>
      </c>
      <c r="I347" s="104">
        <v>57.5</v>
      </c>
      <c r="J347" s="105"/>
      <c r="K347" s="101"/>
      <c r="L347" s="96"/>
      <c r="M347" s="75"/>
      <c r="N347" s="75"/>
      <c r="O347" s="75"/>
      <c r="P347" s="75"/>
      <c r="Q347" s="75"/>
      <c r="R347" s="75"/>
      <c r="S347" s="75"/>
      <c r="T347" s="75"/>
      <c r="U347" s="75"/>
      <c r="V347" s="75"/>
      <c r="W347" s="75"/>
      <c r="X347" s="75"/>
      <c r="Y347" s="75"/>
      <c r="Z347" s="75"/>
      <c r="AA347" s="75"/>
      <c r="AB347" s="75"/>
    </row>
    <row r="348" ht="12.75" customHeight="1">
      <c r="A348" s="106">
        <v>43717</v>
      </c>
      <c r="B348" s="124">
        <v>333</v>
      </c>
      <c r="C348" t="s" s="116">
        <v>299</v>
      </c>
      <c r="D348" t="s" s="109">
        <v>390</v>
      </c>
      <c r="E348" s="110"/>
      <c r="F348" s="111"/>
      <c r="G348" s="112">
        <v>35332</v>
      </c>
      <c r="H348" s="113">
        <v>610</v>
      </c>
      <c r="I348" s="114">
        <v>57.92</v>
      </c>
      <c r="J348" s="105"/>
      <c r="K348" s="101"/>
      <c r="L348" s="96"/>
      <c r="M348" s="75"/>
      <c r="N348" s="75"/>
      <c r="O348" s="75"/>
      <c r="P348" s="75"/>
      <c r="Q348" s="75"/>
      <c r="R348" s="75"/>
      <c r="S348" s="75"/>
      <c r="T348" s="75"/>
      <c r="U348" s="75"/>
      <c r="V348" s="75"/>
      <c r="W348" s="75"/>
      <c r="X348" s="75"/>
      <c r="Y348" s="75"/>
      <c r="Z348" s="75"/>
      <c r="AA348" s="75"/>
      <c r="AB348" s="75"/>
    </row>
    <row r="349" ht="12.75" customHeight="1">
      <c r="A349" s="97">
        <v>43717</v>
      </c>
      <c r="B349" s="98"/>
      <c r="C349" t="s" s="116">
        <v>99</v>
      </c>
      <c r="D349" t="s" s="79">
        <v>391</v>
      </c>
      <c r="E349" s="100"/>
      <c r="F349" s="101"/>
      <c r="G349" s="102">
        <v>4467.23</v>
      </c>
      <c r="H349" s="103">
        <v>79</v>
      </c>
      <c r="I349" s="104">
        <v>56</v>
      </c>
      <c r="J349" s="105"/>
      <c r="K349" s="101"/>
      <c r="L349" s="96"/>
      <c r="M349" s="75"/>
      <c r="N349" s="75"/>
      <c r="O349" s="75"/>
      <c r="P349" s="75"/>
      <c r="Q349" s="75"/>
      <c r="R349" s="75"/>
      <c r="S349" s="75"/>
      <c r="T349" s="75"/>
      <c r="U349" s="75"/>
      <c r="V349" s="75"/>
      <c r="W349" s="75"/>
      <c r="X349" s="75"/>
      <c r="Y349" s="75"/>
      <c r="Z349" s="75"/>
      <c r="AA349" s="75"/>
      <c r="AB349" s="75"/>
    </row>
    <row r="350" ht="12.75" customHeight="1">
      <c r="A350" s="106">
        <v>43718</v>
      </c>
      <c r="B350" s="124">
        <v>14885</v>
      </c>
      <c r="C350" t="s" s="115">
        <v>255</v>
      </c>
      <c r="D350" t="s" s="109">
        <v>392</v>
      </c>
      <c r="E350" s="110"/>
      <c r="F350" s="111"/>
      <c r="G350" s="112">
        <v>8130</v>
      </c>
      <c r="H350" s="113">
        <v>136</v>
      </c>
      <c r="I350" s="114">
        <v>59.77</v>
      </c>
      <c r="J350" s="105"/>
      <c r="K350" s="101"/>
      <c r="L350" s="96"/>
      <c r="M350" s="75"/>
      <c r="N350" s="75"/>
      <c r="O350" s="75"/>
      <c r="P350" s="75"/>
      <c r="Q350" s="75"/>
      <c r="R350" s="75"/>
      <c r="S350" s="75"/>
      <c r="T350" s="75"/>
      <c r="U350" s="75"/>
      <c r="V350" s="75"/>
      <c r="W350" s="75"/>
      <c r="X350" s="75"/>
      <c r="Y350" s="75"/>
      <c r="Z350" s="75"/>
      <c r="AA350" s="75"/>
      <c r="AB350" s="75"/>
    </row>
    <row r="351" ht="12.75" customHeight="1">
      <c r="A351" t="s" s="78">
        <v>393</v>
      </c>
      <c r="B351" s="98"/>
      <c r="C351" t="s" s="116">
        <v>34</v>
      </c>
      <c r="D351" t="s" s="79">
        <v>394</v>
      </c>
      <c r="E351" s="100"/>
      <c r="F351" s="101"/>
      <c r="G351" s="102">
        <v>2647.87</v>
      </c>
      <c r="H351" s="103">
        <v>46</v>
      </c>
      <c r="I351" s="104">
        <v>58</v>
      </c>
      <c r="J351" s="105"/>
      <c r="K351" s="101"/>
      <c r="L351" s="96"/>
      <c r="M351" s="75"/>
      <c r="N351" s="75"/>
      <c r="O351" s="75"/>
      <c r="P351" s="75"/>
      <c r="Q351" s="75"/>
      <c r="R351" s="75"/>
      <c r="S351" s="75"/>
      <c r="T351" s="75"/>
      <c r="U351" s="75"/>
      <c r="V351" s="75"/>
      <c r="W351" s="75"/>
      <c r="X351" s="75"/>
      <c r="Y351" s="75"/>
      <c r="Z351" s="75"/>
      <c r="AA351" s="75"/>
      <c r="AB351" s="75"/>
    </row>
    <row r="352" ht="12.75" customHeight="1">
      <c r="A352" t="s" s="145">
        <v>395</v>
      </c>
      <c r="B352" s="107"/>
      <c r="C352" t="s" s="115">
        <v>34</v>
      </c>
      <c r="D352" t="s" s="109">
        <v>396</v>
      </c>
      <c r="E352" s="110"/>
      <c r="F352" s="111"/>
      <c r="G352" s="112">
        <v>1404.93</v>
      </c>
      <c r="H352" s="113">
        <v>25</v>
      </c>
      <c r="I352" s="114">
        <v>56.2</v>
      </c>
      <c r="J352" s="105"/>
      <c r="K352" s="101"/>
      <c r="L352" s="96"/>
      <c r="M352" s="75"/>
      <c r="N352" s="75"/>
      <c r="O352" s="75"/>
      <c r="P352" s="75"/>
      <c r="Q352" s="75"/>
      <c r="R352" s="75"/>
      <c r="S352" s="75"/>
      <c r="T352" s="75"/>
      <c r="U352" s="75"/>
      <c r="V352" s="75"/>
      <c r="W352" s="75"/>
      <c r="X352" s="75"/>
      <c r="Y352" s="75"/>
      <c r="Z352" s="75"/>
      <c r="AA352" s="75"/>
      <c r="AB352" s="75"/>
    </row>
    <row r="353" ht="12.75" customHeight="1">
      <c r="A353" t="s" s="78">
        <v>397</v>
      </c>
      <c r="B353" s="121">
        <v>3081</v>
      </c>
      <c r="C353" t="s" s="116">
        <v>149</v>
      </c>
      <c r="D353" t="s" s="79">
        <v>398</v>
      </c>
      <c r="E353" s="100"/>
      <c r="F353" s="101"/>
      <c r="G353" s="102">
        <v>3600</v>
      </c>
      <c r="H353" s="103">
        <v>57</v>
      </c>
      <c r="I353" s="104">
        <v>63</v>
      </c>
      <c r="J353" s="105"/>
      <c r="K353" s="101"/>
      <c r="L353" s="96"/>
      <c r="M353" s="75"/>
      <c r="N353" s="75"/>
      <c r="O353" s="75"/>
      <c r="P353" s="75"/>
      <c r="Q353" s="75"/>
      <c r="R353" s="75"/>
      <c r="S353" s="75"/>
      <c r="T353" s="75"/>
      <c r="U353" s="75"/>
      <c r="V353" s="75"/>
      <c r="W353" s="75"/>
      <c r="X353" s="75"/>
      <c r="Y353" s="75"/>
      <c r="Z353" s="75"/>
      <c r="AA353" s="75"/>
      <c r="AB353" s="75"/>
    </row>
    <row r="354" ht="12.75" customHeight="1">
      <c r="A354" t="s" s="145">
        <v>397</v>
      </c>
      <c r="B354" s="124">
        <v>15030</v>
      </c>
      <c r="C354" t="s" s="115">
        <v>255</v>
      </c>
      <c r="D354" t="s" s="109">
        <v>399</v>
      </c>
      <c r="E354" s="110"/>
      <c r="F354" s="111"/>
      <c r="G354" s="112">
        <v>24500</v>
      </c>
      <c r="H354" s="113">
        <v>395</v>
      </c>
      <c r="I354" s="114">
        <v>62</v>
      </c>
      <c r="J354" s="105"/>
      <c r="K354" s="101"/>
      <c r="L354" s="96"/>
      <c r="M354" s="75"/>
      <c r="N354" s="75"/>
      <c r="O354" s="75"/>
      <c r="P354" s="75"/>
      <c r="Q354" s="75"/>
      <c r="R354" s="75"/>
      <c r="S354" s="75"/>
      <c r="T354" s="75"/>
      <c r="U354" s="75"/>
      <c r="V354" s="75"/>
      <c r="W354" s="75"/>
      <c r="X354" s="75"/>
      <c r="Y354" s="75"/>
      <c r="Z354" s="75"/>
      <c r="AA354" s="75"/>
      <c r="AB354" s="75"/>
    </row>
    <row r="355" ht="12.75" customHeight="1">
      <c r="A355" t="s" s="78">
        <v>397</v>
      </c>
      <c r="B355" s="121">
        <v>15109</v>
      </c>
      <c r="C355" t="s" s="116">
        <v>255</v>
      </c>
      <c r="D355" t="s" s="79">
        <v>400</v>
      </c>
      <c r="E355" s="100"/>
      <c r="F355" s="101"/>
      <c r="G355" s="102">
        <v>954.5700000000001</v>
      </c>
      <c r="H355" s="103">
        <v>16</v>
      </c>
      <c r="I355" s="104">
        <v>60</v>
      </c>
      <c r="J355" s="105"/>
      <c r="K355" s="101"/>
      <c r="L355" s="96"/>
      <c r="M355" s="75"/>
      <c r="N355" s="75"/>
      <c r="O355" s="75"/>
      <c r="P355" s="75"/>
      <c r="Q355" s="75"/>
      <c r="R355" s="75"/>
      <c r="S355" s="75"/>
      <c r="T355" s="75"/>
      <c r="U355" s="75"/>
      <c r="V355" s="75"/>
      <c r="W355" s="75"/>
      <c r="X355" s="75"/>
      <c r="Y355" s="75"/>
      <c r="Z355" s="75"/>
      <c r="AA355" s="75"/>
      <c r="AB355" s="75"/>
    </row>
    <row r="356" ht="12.75" customHeight="1">
      <c r="A356" t="s" s="145">
        <v>397</v>
      </c>
      <c r="B356" s="124">
        <v>15106</v>
      </c>
      <c r="C356" t="s" s="115">
        <v>255</v>
      </c>
      <c r="D356" t="s" s="109">
        <v>401</v>
      </c>
      <c r="E356" s="110"/>
      <c r="F356" s="111"/>
      <c r="G356" s="112">
        <v>13155</v>
      </c>
      <c r="H356" s="113">
        <v>213</v>
      </c>
      <c r="I356" s="114">
        <v>62</v>
      </c>
      <c r="J356" s="105"/>
      <c r="K356" s="101"/>
      <c r="L356" s="96"/>
      <c r="M356" s="75"/>
      <c r="N356" s="75"/>
      <c r="O356" s="75"/>
      <c r="P356" s="75"/>
      <c r="Q356" s="75"/>
      <c r="R356" s="75"/>
      <c r="S356" s="75"/>
      <c r="T356" s="75"/>
      <c r="U356" s="75"/>
      <c r="V356" s="75"/>
      <c r="W356" s="75"/>
      <c r="X356" s="75"/>
      <c r="Y356" s="75"/>
      <c r="Z356" s="75"/>
      <c r="AA356" s="75"/>
      <c r="AB356" s="75"/>
    </row>
    <row r="357" ht="12.75" customHeight="1">
      <c r="A357" t="s" s="78">
        <v>397</v>
      </c>
      <c r="B357" s="121">
        <v>589</v>
      </c>
      <c r="C357" t="s" s="116">
        <v>101</v>
      </c>
      <c r="D357" t="s" s="79">
        <v>402</v>
      </c>
      <c r="E357" s="100"/>
      <c r="F357" s="101"/>
      <c r="G357" s="102">
        <v>247875.57</v>
      </c>
      <c r="H357" s="103">
        <v>3935</v>
      </c>
      <c r="I357" s="104">
        <v>63</v>
      </c>
      <c r="J357" s="105"/>
      <c r="K357" s="101"/>
      <c r="L357" s="153"/>
      <c r="M357" s="154"/>
      <c r="N357" s="154"/>
      <c r="O357" s="154"/>
      <c r="P357" s="154"/>
      <c r="Q357" s="154"/>
      <c r="R357" s="154"/>
      <c r="S357" s="154"/>
      <c r="T357" s="154"/>
      <c r="U357" s="154"/>
      <c r="V357" s="154"/>
      <c r="W357" s="154"/>
      <c r="X357" s="154"/>
      <c r="Y357" s="154"/>
      <c r="Z357" s="154"/>
      <c r="AA357" s="154"/>
      <c r="AB357" s="154"/>
    </row>
    <row r="358" ht="12.75" customHeight="1">
      <c r="A358" t="s" s="145">
        <v>403</v>
      </c>
      <c r="B358" s="124">
        <v>15140</v>
      </c>
      <c r="C358" t="s" s="115">
        <v>255</v>
      </c>
      <c r="D358" t="s" s="109">
        <v>404</v>
      </c>
      <c r="E358" s="110"/>
      <c r="F358" s="111"/>
      <c r="G358" s="112">
        <v>9517.42</v>
      </c>
      <c r="H358" s="113">
        <v>154</v>
      </c>
      <c r="I358" s="114" cm="1">
        <f t="array" ref="I358">I356</f>
        <v>62</v>
      </c>
      <c r="J358" s="105"/>
      <c r="K358" s="101"/>
      <c r="L358" s="155"/>
      <c r="M358" s="156"/>
      <c r="N358" s="156"/>
      <c r="O358" s="156"/>
      <c r="P358" s="156"/>
      <c r="Q358" s="156"/>
      <c r="R358" s="156"/>
      <c r="S358" s="156"/>
      <c r="T358" s="156"/>
      <c r="U358" s="156"/>
      <c r="V358" s="156"/>
      <c r="W358" s="156"/>
      <c r="X358" s="156"/>
      <c r="Y358" s="156"/>
      <c r="Z358" s="156"/>
      <c r="AA358" s="156"/>
      <c r="AB358" s="157"/>
    </row>
    <row r="359" ht="12.75" customHeight="1">
      <c r="A359" t="s" s="78">
        <v>405</v>
      </c>
      <c r="B359" s="121">
        <v>15180</v>
      </c>
      <c r="C359" t="s" s="116">
        <v>255</v>
      </c>
      <c r="D359" t="s" s="79">
        <v>406</v>
      </c>
      <c r="E359" s="100"/>
      <c r="F359" s="101"/>
      <c r="G359" s="102">
        <v>5325</v>
      </c>
      <c r="H359" s="103">
        <v>86</v>
      </c>
      <c r="I359" s="104" cm="1">
        <f t="array" ref="I359">I358</f>
        <v>62</v>
      </c>
      <c r="J359" s="163"/>
      <c r="K359" s="111"/>
      <c r="L359" s="164"/>
      <c r="M359" s="165"/>
      <c r="N359" s="165"/>
      <c r="O359" s="165"/>
      <c r="P359" s="165"/>
      <c r="Q359" s="165"/>
      <c r="R359" s="165"/>
      <c r="S359" s="165"/>
      <c r="T359" s="165"/>
      <c r="U359" s="165"/>
      <c r="V359" s="165"/>
      <c r="W359" s="165"/>
      <c r="X359" s="165"/>
      <c r="Y359" s="165"/>
      <c r="Z359" s="165"/>
      <c r="AA359" s="165"/>
      <c r="AB359" s="166"/>
    </row>
    <row r="360" ht="12.75" customHeight="1">
      <c r="A360" t="s" s="145">
        <v>405</v>
      </c>
      <c r="B360" s="124">
        <v>15185</v>
      </c>
      <c r="C360" t="s" s="115">
        <v>255</v>
      </c>
      <c r="D360" t="s" s="109">
        <v>407</v>
      </c>
      <c r="E360" s="110"/>
      <c r="F360" s="111"/>
      <c r="G360" s="112">
        <v>300247.93</v>
      </c>
      <c r="H360" s="113">
        <v>4843</v>
      </c>
      <c r="I360" s="114" cm="1">
        <f t="array" ref="I360">I359</f>
        <v>62</v>
      </c>
      <c r="J360" s="105"/>
      <c r="K360" s="101"/>
      <c r="L360" s="155"/>
      <c r="M360" s="156"/>
      <c r="N360" s="156"/>
      <c r="O360" s="156"/>
      <c r="P360" s="156"/>
      <c r="Q360" s="156"/>
      <c r="R360" s="156"/>
      <c r="S360" s="156"/>
      <c r="T360" s="156"/>
      <c r="U360" s="156"/>
      <c r="V360" s="156"/>
      <c r="W360" s="156"/>
      <c r="X360" s="156"/>
      <c r="Y360" s="156"/>
      <c r="Z360" s="156"/>
      <c r="AA360" s="156"/>
      <c r="AB360" s="157"/>
    </row>
    <row r="361" ht="12.75" customHeight="1">
      <c r="A361" t="s" s="78">
        <v>405</v>
      </c>
      <c r="B361" s="121">
        <v>8320</v>
      </c>
      <c r="C361" t="s" s="116">
        <v>122</v>
      </c>
      <c r="D361" t="s" s="79">
        <v>408</v>
      </c>
      <c r="E361" s="100"/>
      <c r="F361" s="101"/>
      <c r="G361" s="102">
        <v>197653.37</v>
      </c>
      <c r="H361" s="103">
        <v>3187</v>
      </c>
      <c r="I361" s="104" cm="1">
        <f t="array" ref="I361">I360</f>
        <v>62</v>
      </c>
      <c r="J361" s="163"/>
      <c r="K361" s="111"/>
      <c r="L361" s="164"/>
      <c r="M361" s="165"/>
      <c r="N361" s="165"/>
      <c r="O361" s="165"/>
      <c r="P361" s="165"/>
      <c r="Q361" s="165"/>
      <c r="R361" s="165"/>
      <c r="S361" s="165"/>
      <c r="T361" s="165"/>
      <c r="U361" s="165"/>
      <c r="V361" s="165"/>
      <c r="W361" s="165"/>
      <c r="X361" s="165"/>
      <c r="Y361" s="165"/>
      <c r="Z361" s="165"/>
      <c r="AA361" s="165"/>
      <c r="AB361" s="166"/>
    </row>
    <row r="362" ht="12.75" customHeight="1">
      <c r="A362" t="s" s="145">
        <v>409</v>
      </c>
      <c r="B362" s="124">
        <v>2285</v>
      </c>
      <c r="C362" t="s" s="115">
        <v>382</v>
      </c>
      <c r="D362" t="s" s="109">
        <v>410</v>
      </c>
      <c r="E362" s="110"/>
      <c r="F362" s="111"/>
      <c r="G362" s="112">
        <v>3300</v>
      </c>
      <c r="H362" s="113">
        <v>55</v>
      </c>
      <c r="I362" s="114">
        <v>60</v>
      </c>
      <c r="J362" s="105"/>
      <c r="K362" s="101"/>
      <c r="L362" s="155"/>
      <c r="M362" s="156"/>
      <c r="N362" s="156"/>
      <c r="O362" s="156"/>
      <c r="P362" s="156"/>
      <c r="Q362" s="156"/>
      <c r="R362" s="156"/>
      <c r="S362" s="156"/>
      <c r="T362" s="156"/>
      <c r="U362" s="156"/>
      <c r="V362" s="156"/>
      <c r="W362" s="156"/>
      <c r="X362" s="156"/>
      <c r="Y362" s="156"/>
      <c r="Z362" s="156"/>
      <c r="AA362" s="156"/>
      <c r="AB362" s="157"/>
    </row>
    <row r="363" ht="12.75" customHeight="1">
      <c r="A363" s="97">
        <v>43740</v>
      </c>
      <c r="B363" s="121">
        <v>3924</v>
      </c>
      <c r="C363" t="s" s="116">
        <v>411</v>
      </c>
      <c r="D363" t="s" s="79">
        <v>412</v>
      </c>
      <c r="E363" s="100"/>
      <c r="F363" s="101"/>
      <c r="G363" s="102">
        <v>326700</v>
      </c>
      <c r="H363" s="103">
        <v>5270</v>
      </c>
      <c r="I363" s="104">
        <v>62</v>
      </c>
      <c r="J363" s="105"/>
      <c r="K363" s="101"/>
      <c r="L363" s="167"/>
      <c r="M363" s="168"/>
      <c r="N363" s="168"/>
      <c r="O363" s="168"/>
      <c r="P363" s="168"/>
      <c r="Q363" s="168"/>
      <c r="R363" s="168"/>
      <c r="S363" s="168"/>
      <c r="T363" s="168"/>
      <c r="U363" s="168"/>
      <c r="V363" s="168"/>
      <c r="W363" s="168"/>
      <c r="X363" s="168"/>
      <c r="Y363" s="168"/>
      <c r="Z363" s="168"/>
      <c r="AA363" s="168"/>
      <c r="AB363" s="168"/>
    </row>
    <row r="364" ht="12.75" customHeight="1">
      <c r="A364" s="106">
        <v>43747</v>
      </c>
      <c r="B364" s="107"/>
      <c r="C364" t="s" s="115">
        <v>99</v>
      </c>
      <c r="D364" t="s" s="109">
        <v>413</v>
      </c>
      <c r="E364" s="110"/>
      <c r="F364" s="111"/>
      <c r="G364" s="112">
        <v>4941.91</v>
      </c>
      <c r="H364" s="113">
        <v>81</v>
      </c>
      <c r="I364" s="114">
        <v>61</v>
      </c>
      <c r="J364" s="105"/>
      <c r="K364" s="101"/>
      <c r="L364" s="96"/>
      <c r="M364" s="75"/>
      <c r="N364" s="75"/>
      <c r="O364" s="75"/>
      <c r="P364" s="75"/>
      <c r="Q364" s="75"/>
      <c r="R364" s="75"/>
      <c r="S364" s="75"/>
      <c r="T364" s="75"/>
      <c r="U364" s="75"/>
      <c r="V364" s="75"/>
      <c r="W364" s="75"/>
      <c r="X364" s="75"/>
      <c r="Y364" s="75"/>
      <c r="Z364" s="75"/>
      <c r="AA364" s="75"/>
      <c r="AB364" s="75"/>
    </row>
    <row r="365" ht="12.75" customHeight="1">
      <c r="A365" t="s" s="78">
        <v>414</v>
      </c>
      <c r="B365" s="121">
        <v>15504</v>
      </c>
      <c r="C365" t="s" s="116">
        <v>255</v>
      </c>
      <c r="D365" t="s" s="79">
        <v>415</v>
      </c>
      <c r="E365" s="100"/>
      <c r="F365" s="101"/>
      <c r="G365" s="102">
        <v>15925</v>
      </c>
      <c r="H365" s="103">
        <v>257</v>
      </c>
      <c r="I365" s="104">
        <v>62</v>
      </c>
      <c r="J365" s="105"/>
      <c r="K365" s="101"/>
      <c r="L365" s="96"/>
      <c r="M365" s="75"/>
      <c r="N365" s="75"/>
      <c r="O365" s="75"/>
      <c r="P365" s="75"/>
      <c r="Q365" s="75"/>
      <c r="R365" s="75"/>
      <c r="S365" s="75"/>
      <c r="T365" s="75"/>
      <c r="U365" s="75"/>
      <c r="V365" s="75"/>
      <c r="W365" s="75"/>
      <c r="X365" s="75"/>
      <c r="Y365" s="75"/>
      <c r="Z365" s="75"/>
      <c r="AA365" s="75"/>
      <c r="AB365" s="75"/>
    </row>
    <row r="366" ht="12.75" customHeight="1">
      <c r="A366" t="s" s="145">
        <v>416</v>
      </c>
      <c r="B366" s="124">
        <v>265</v>
      </c>
      <c r="C366" t="s" s="115">
        <v>417</v>
      </c>
      <c r="D366" t="s" s="109">
        <v>418</v>
      </c>
      <c r="E366" s="110"/>
      <c r="F366" s="111"/>
      <c r="G366" s="112">
        <v>487630</v>
      </c>
      <c r="H366" s="113" cm="1">
        <f t="array" ref="H366">G366/I366</f>
        <v>7865</v>
      </c>
      <c r="I366" s="114" cm="1">
        <f t="array" ref="I366">I365</f>
        <v>62</v>
      </c>
      <c r="J366" s="105"/>
      <c r="K366" s="101"/>
      <c r="L366" s="96"/>
      <c r="M366" s="75"/>
      <c r="N366" s="75"/>
      <c r="O366" s="75"/>
      <c r="P366" s="75"/>
      <c r="Q366" s="75"/>
      <c r="R366" s="75"/>
      <c r="S366" s="75"/>
      <c r="T366" s="75"/>
      <c r="U366" s="75"/>
      <c r="V366" s="75"/>
      <c r="W366" s="75"/>
      <c r="X366" s="75"/>
      <c r="Y366" s="75"/>
      <c r="Z366" s="75"/>
      <c r="AA366" s="75"/>
      <c r="AB366" s="75"/>
    </row>
    <row r="367" ht="12.75" customHeight="1">
      <c r="A367" t="s" s="78">
        <v>416</v>
      </c>
      <c r="B367" s="121">
        <v>343</v>
      </c>
      <c r="C367" t="s" s="116">
        <v>299</v>
      </c>
      <c r="D367" t="s" s="79">
        <v>419</v>
      </c>
      <c r="E367" s="100"/>
      <c r="F367" s="101"/>
      <c r="G367" s="102">
        <v>119185.35</v>
      </c>
      <c r="H367" s="103">
        <v>1923</v>
      </c>
      <c r="I367" s="104" cm="1">
        <f t="array" ref="I367">I366</f>
        <v>62</v>
      </c>
      <c r="J367" s="105"/>
      <c r="K367" s="101"/>
      <c r="L367" s="96"/>
      <c r="M367" s="75"/>
      <c r="N367" s="75"/>
      <c r="O367" s="75"/>
      <c r="P367" s="75"/>
      <c r="Q367" s="75"/>
      <c r="R367" s="75"/>
      <c r="S367" s="75"/>
      <c r="T367" s="75"/>
      <c r="U367" s="75"/>
      <c r="V367" s="75"/>
      <c r="W367" s="75"/>
      <c r="X367" s="75"/>
      <c r="Y367" s="75"/>
      <c r="Z367" s="75"/>
      <c r="AA367" s="75"/>
      <c r="AB367" s="75"/>
    </row>
    <row r="368" ht="12.75" customHeight="1">
      <c r="A368" t="s" s="145">
        <v>420</v>
      </c>
      <c r="B368" s="124">
        <v>594</v>
      </c>
      <c r="C368" t="s" s="115">
        <v>101</v>
      </c>
      <c r="D368" t="s" s="109">
        <v>421</v>
      </c>
      <c r="E368" s="110"/>
      <c r="F368" s="111"/>
      <c r="G368" s="112">
        <v>267209.87</v>
      </c>
      <c r="H368" s="113">
        <v>4110</v>
      </c>
      <c r="I368" s="114">
        <v>65</v>
      </c>
      <c r="J368" s="105"/>
      <c r="K368" s="101"/>
      <c r="L368" s="96"/>
      <c r="M368" s="75"/>
      <c r="N368" s="75"/>
      <c r="O368" s="75"/>
      <c r="P368" s="75"/>
      <c r="Q368" s="75"/>
      <c r="R368" s="75"/>
      <c r="S368" s="75"/>
      <c r="T368" s="75"/>
      <c r="U368" s="75"/>
      <c r="V368" s="75"/>
      <c r="W368" s="75"/>
      <c r="X368" s="75"/>
      <c r="Y368" s="75"/>
      <c r="Z368" s="75"/>
      <c r="AA368" s="75"/>
      <c r="AB368" s="75"/>
    </row>
    <row r="369" ht="12.75" customHeight="1">
      <c r="A369" t="s" s="78">
        <v>422</v>
      </c>
      <c r="B369" s="121">
        <v>710</v>
      </c>
      <c r="C369" t="s" s="116">
        <v>377</v>
      </c>
      <c r="D369" t="s" s="79">
        <v>423</v>
      </c>
      <c r="E369" s="100"/>
      <c r="F369" s="101"/>
      <c r="G369" s="102">
        <v>981600</v>
      </c>
      <c r="H369" s="103">
        <v>13633</v>
      </c>
      <c r="I369" s="104">
        <v>72</v>
      </c>
      <c r="J369" s="105"/>
      <c r="K369" s="101"/>
      <c r="L369" s="96"/>
      <c r="M369" s="75"/>
      <c r="N369" s="75"/>
      <c r="O369" s="75"/>
      <c r="P369" s="75"/>
      <c r="Q369" s="75"/>
      <c r="R369" s="75"/>
      <c r="S369" s="75"/>
      <c r="T369" s="75"/>
      <c r="U369" s="75"/>
      <c r="V369" s="75"/>
      <c r="W369" s="75"/>
      <c r="X369" s="75"/>
      <c r="Y369" s="75"/>
      <c r="Z369" s="75"/>
      <c r="AA369" s="75"/>
      <c r="AB369" s="75"/>
    </row>
    <row r="370" ht="12.75" customHeight="1">
      <c r="A370" t="s" s="145">
        <v>424</v>
      </c>
      <c r="B370" s="124">
        <v>331</v>
      </c>
      <c r="C370" t="s" s="115">
        <v>299</v>
      </c>
      <c r="D370" t="s" s="109">
        <v>419</v>
      </c>
      <c r="E370" s="110"/>
      <c r="F370" s="111"/>
      <c r="G370" s="112">
        <v>24858.68</v>
      </c>
      <c r="H370" s="113">
        <v>331</v>
      </c>
      <c r="I370" s="114">
        <v>75</v>
      </c>
      <c r="J370" s="105"/>
      <c r="K370" s="101"/>
      <c r="L370" s="153"/>
      <c r="M370" s="154"/>
      <c r="N370" s="154"/>
      <c r="O370" s="154"/>
      <c r="P370" s="154"/>
      <c r="Q370" s="154"/>
      <c r="R370" s="154"/>
      <c r="S370" s="154"/>
      <c r="T370" s="154"/>
      <c r="U370" s="154"/>
      <c r="V370" s="154"/>
      <c r="W370" s="154"/>
      <c r="X370" s="154"/>
      <c r="Y370" s="154"/>
      <c r="Z370" s="154"/>
      <c r="AA370" s="154"/>
      <c r="AB370" s="154"/>
    </row>
    <row r="371" ht="12.75" customHeight="1">
      <c r="A371" s="97">
        <v>43770</v>
      </c>
      <c r="B371" s="121">
        <v>5824</v>
      </c>
      <c r="C371" t="s" s="116">
        <v>276</v>
      </c>
      <c r="D371" t="s" s="79">
        <v>425</v>
      </c>
      <c r="E371" s="100"/>
      <c r="F371" s="101"/>
      <c r="G371" s="102">
        <v>25575.58</v>
      </c>
      <c r="H371" s="103">
        <v>405</v>
      </c>
      <c r="I371" s="104">
        <v>63</v>
      </c>
      <c r="J371" s="105"/>
      <c r="K371" s="101"/>
      <c r="L371" s="164"/>
      <c r="M371" s="165"/>
      <c r="N371" s="165"/>
      <c r="O371" s="165"/>
      <c r="P371" s="165"/>
      <c r="Q371" s="165"/>
      <c r="R371" s="165"/>
      <c r="S371" s="165"/>
      <c r="T371" s="165"/>
      <c r="U371" s="165"/>
      <c r="V371" s="165"/>
      <c r="W371" s="165"/>
      <c r="X371" s="165"/>
      <c r="Y371" s="165"/>
      <c r="Z371" s="165"/>
      <c r="AA371" s="165"/>
      <c r="AB371" s="166"/>
    </row>
    <row r="372" ht="12.75" customHeight="1">
      <c r="A372" t="s" s="145">
        <v>424</v>
      </c>
      <c r="B372" s="107"/>
      <c r="C372" t="s" s="115">
        <v>278</v>
      </c>
      <c r="D372" t="s" s="109">
        <v>426</v>
      </c>
      <c r="E372" s="110"/>
      <c r="F372" s="111"/>
      <c r="G372" s="112">
        <v>2076.77</v>
      </c>
      <c r="H372" s="113">
        <v>30</v>
      </c>
      <c r="I372" s="114" cm="1">
        <f t="array" ref="I372">G372/H372</f>
        <v>69.2256666666667</v>
      </c>
      <c r="J372" s="105"/>
      <c r="K372" s="101"/>
      <c r="L372" s="155"/>
      <c r="M372" s="156"/>
      <c r="N372" s="156"/>
      <c r="O372" s="156"/>
      <c r="P372" s="156"/>
      <c r="Q372" s="156"/>
      <c r="R372" s="156"/>
      <c r="S372" s="156"/>
      <c r="T372" s="156"/>
      <c r="U372" s="156"/>
      <c r="V372" s="156"/>
      <c r="W372" s="156"/>
      <c r="X372" s="156"/>
      <c r="Y372" s="156"/>
      <c r="Z372" s="156"/>
      <c r="AA372" s="156"/>
      <c r="AB372" s="157"/>
    </row>
    <row r="373" ht="12.75" customHeight="1">
      <c r="A373" s="97">
        <v>43770</v>
      </c>
      <c r="B373" s="98"/>
      <c r="C373" t="s" s="116">
        <v>278</v>
      </c>
      <c r="D373" t="s" s="79">
        <v>427</v>
      </c>
      <c r="E373" s="100"/>
      <c r="F373" s="101"/>
      <c r="G373" s="102">
        <v>1399.99</v>
      </c>
      <c r="H373" s="103">
        <v>20</v>
      </c>
      <c r="I373" s="104" cm="1">
        <f t="array" ref="I373">G373/H373</f>
        <v>69.9995</v>
      </c>
      <c r="J373" s="105"/>
      <c r="K373" s="101"/>
      <c r="L373" s="155"/>
      <c r="M373" s="156"/>
      <c r="N373" s="156"/>
      <c r="O373" s="156"/>
      <c r="P373" s="156"/>
      <c r="Q373" s="156"/>
      <c r="R373" s="156"/>
      <c r="S373" s="156"/>
      <c r="T373" s="156"/>
      <c r="U373" s="156"/>
      <c r="V373" s="156"/>
      <c r="W373" s="156"/>
      <c r="X373" s="156"/>
      <c r="Y373" s="156"/>
      <c r="Z373" s="156"/>
      <c r="AA373" s="156"/>
      <c r="AB373" s="157"/>
    </row>
    <row r="374" ht="12.75" customHeight="1">
      <c r="A374" s="106">
        <v>43770</v>
      </c>
      <c r="B374" s="107"/>
      <c r="C374" t="s" s="115">
        <v>278</v>
      </c>
      <c r="D374" t="s" s="109">
        <v>428</v>
      </c>
      <c r="E374" s="110"/>
      <c r="F374" s="111"/>
      <c r="G374" s="112">
        <v>247.99</v>
      </c>
      <c r="H374" s="113">
        <v>3</v>
      </c>
      <c r="I374" s="114" cm="1">
        <f t="array" ref="I374">G374/H374</f>
        <v>82.6633333333333</v>
      </c>
      <c r="J374" s="105"/>
      <c r="K374" s="101"/>
      <c r="L374" s="155"/>
      <c r="M374" s="156"/>
      <c r="N374" s="156"/>
      <c r="O374" s="156"/>
      <c r="P374" s="156"/>
      <c r="Q374" s="156"/>
      <c r="R374" s="156"/>
      <c r="S374" s="156"/>
      <c r="T374" s="156"/>
      <c r="U374" s="156"/>
      <c r="V374" s="156"/>
      <c r="W374" s="156"/>
      <c r="X374" s="156"/>
      <c r="Y374" s="156"/>
      <c r="Z374" s="156"/>
      <c r="AA374" s="156"/>
      <c r="AB374" s="157"/>
    </row>
    <row r="375" ht="12.75" customHeight="1">
      <c r="A375" s="97">
        <v>43773</v>
      </c>
      <c r="B375" s="121">
        <v>15836</v>
      </c>
      <c r="C375" t="s" s="116">
        <v>255</v>
      </c>
      <c r="D375" t="s" s="79">
        <v>429</v>
      </c>
      <c r="E375" s="100"/>
      <c r="F375" s="101"/>
      <c r="G375" s="102">
        <v>30390</v>
      </c>
      <c r="H375" s="103">
        <v>466</v>
      </c>
      <c r="I375" s="104">
        <v>65</v>
      </c>
      <c r="J375" s="105"/>
      <c r="K375" s="101"/>
      <c r="L375" s="155"/>
      <c r="M375" s="156"/>
      <c r="N375" s="156"/>
      <c r="O375" s="156"/>
      <c r="P375" s="156"/>
      <c r="Q375" s="156"/>
      <c r="R375" s="156"/>
      <c r="S375" s="156"/>
      <c r="T375" s="156"/>
      <c r="U375" s="156"/>
      <c r="V375" s="156"/>
      <c r="W375" s="156"/>
      <c r="X375" s="156"/>
      <c r="Y375" s="156"/>
      <c r="Z375" s="156"/>
      <c r="AA375" s="156"/>
      <c r="AB375" s="157"/>
    </row>
    <row r="376" ht="12.75" customHeight="1">
      <c r="A376" s="106">
        <v>43773</v>
      </c>
      <c r="B376" s="124">
        <v>4509</v>
      </c>
      <c r="C376" t="s" s="115">
        <v>220</v>
      </c>
      <c r="D376" t="s" s="109">
        <v>430</v>
      </c>
      <c r="E376" s="110"/>
      <c r="F376" s="111"/>
      <c r="G376" s="112">
        <v>1129.82</v>
      </c>
      <c r="H376" s="113">
        <v>18</v>
      </c>
      <c r="I376" s="114">
        <v>63</v>
      </c>
      <c r="J376" s="105"/>
      <c r="K376" s="101"/>
      <c r="L376" s="164"/>
      <c r="M376" s="165"/>
      <c r="N376" s="165"/>
      <c r="O376" s="165"/>
      <c r="P376" s="165"/>
      <c r="Q376" s="165"/>
      <c r="R376" s="165"/>
      <c r="S376" s="165"/>
      <c r="T376" s="165"/>
      <c r="U376" s="165"/>
      <c r="V376" s="165"/>
      <c r="W376" s="165"/>
      <c r="X376" s="165"/>
      <c r="Y376" s="165"/>
      <c r="Z376" s="165"/>
      <c r="AA376" s="165"/>
      <c r="AB376" s="166"/>
    </row>
    <row r="377" ht="12.75" customHeight="1">
      <c r="A377" s="97">
        <v>43773</v>
      </c>
      <c r="B377" s="121">
        <v>597</v>
      </c>
      <c r="C377" t="s" s="116">
        <v>101</v>
      </c>
      <c r="D377" t="s" s="79">
        <v>431</v>
      </c>
      <c r="E377" s="100"/>
      <c r="F377" s="101"/>
      <c r="G377" s="102">
        <v>283242.45</v>
      </c>
      <c r="H377" s="103">
        <v>4360</v>
      </c>
      <c r="I377" s="104">
        <v>65</v>
      </c>
      <c r="J377" s="105"/>
      <c r="K377" s="101"/>
      <c r="L377" s="155"/>
      <c r="M377" s="156"/>
      <c r="N377" s="156"/>
      <c r="O377" s="156"/>
      <c r="P377" s="156"/>
      <c r="Q377" s="156"/>
      <c r="R377" s="156"/>
      <c r="S377" s="156"/>
      <c r="T377" s="156"/>
      <c r="U377" s="156"/>
      <c r="V377" s="156"/>
      <c r="W377" s="156"/>
      <c r="X377" s="156"/>
      <c r="Y377" s="156"/>
      <c r="Z377" s="156"/>
      <c r="AA377" s="156"/>
      <c r="AB377" s="157"/>
    </row>
    <row r="378" ht="12.75" customHeight="1">
      <c r="A378" s="106">
        <v>43774</v>
      </c>
      <c r="B378" s="124">
        <v>15860</v>
      </c>
      <c r="C378" t="s" s="115">
        <v>255</v>
      </c>
      <c r="D378" t="s" s="109">
        <v>432</v>
      </c>
      <c r="E378" s="110"/>
      <c r="F378" s="111"/>
      <c r="G378" s="112">
        <v>7300</v>
      </c>
      <c r="H378" s="113">
        <v>116</v>
      </c>
      <c r="I378" s="114">
        <v>63</v>
      </c>
      <c r="J378" s="105"/>
      <c r="K378" s="101"/>
      <c r="L378" s="164"/>
      <c r="M378" s="165"/>
      <c r="N378" s="165"/>
      <c r="O378" s="165"/>
      <c r="P378" s="165"/>
      <c r="Q378" s="165"/>
      <c r="R378" s="165"/>
      <c r="S378" s="165"/>
      <c r="T378" s="165"/>
      <c r="U378" s="165"/>
      <c r="V378" s="165"/>
      <c r="W378" s="165"/>
      <c r="X378" s="165"/>
      <c r="Y378" s="165"/>
      <c r="Z378" s="165"/>
      <c r="AA378" s="165"/>
      <c r="AB378" s="166"/>
    </row>
    <row r="379" ht="12.75" customHeight="1">
      <c r="A379" s="97">
        <v>43775</v>
      </c>
      <c r="B379" s="121">
        <v>754</v>
      </c>
      <c r="C379" t="s" s="116">
        <v>377</v>
      </c>
      <c r="D379" t="s" s="79">
        <v>433</v>
      </c>
      <c r="E379" s="100"/>
      <c r="F379" s="101"/>
      <c r="G379" s="102">
        <v>981600.01</v>
      </c>
      <c r="H379" s="103">
        <v>15100</v>
      </c>
      <c r="I379" s="104">
        <v>65</v>
      </c>
      <c r="J379" s="105"/>
      <c r="K379" s="101"/>
      <c r="L379" s="155"/>
      <c r="M379" s="156"/>
      <c r="N379" s="156"/>
      <c r="O379" s="156"/>
      <c r="P379" s="156"/>
      <c r="Q379" s="156"/>
      <c r="R379" s="156"/>
      <c r="S379" s="156"/>
      <c r="T379" s="156"/>
      <c r="U379" s="156"/>
      <c r="V379" s="156"/>
      <c r="W379" s="156"/>
      <c r="X379" s="156"/>
      <c r="Y379" s="156"/>
      <c r="Z379" s="156"/>
      <c r="AA379" s="156"/>
      <c r="AB379" s="157"/>
    </row>
    <row r="380" ht="12.75" customHeight="1">
      <c r="A380" s="106">
        <v>43775</v>
      </c>
      <c r="B380" s="124">
        <v>753</v>
      </c>
      <c r="C380" t="s" s="115">
        <v>377</v>
      </c>
      <c r="D380" t="s" s="109">
        <v>434</v>
      </c>
      <c r="E380" s="110"/>
      <c r="F380" s="111"/>
      <c r="G380" s="112">
        <v>497000</v>
      </c>
      <c r="H380" s="113">
        <v>7646</v>
      </c>
      <c r="I380" s="114" cm="1">
        <f t="array" ref="I380">I379</f>
        <v>65</v>
      </c>
      <c r="J380" t="s" s="116">
        <v>435</v>
      </c>
      <c r="K380" s="101"/>
      <c r="L380" s="164"/>
      <c r="M380" s="165"/>
      <c r="N380" s="165"/>
      <c r="O380" s="165"/>
      <c r="P380" s="165"/>
      <c r="Q380" s="165"/>
      <c r="R380" s="165"/>
      <c r="S380" s="165"/>
      <c r="T380" s="165"/>
      <c r="U380" s="165"/>
      <c r="V380" s="165"/>
      <c r="W380" s="165"/>
      <c r="X380" s="165"/>
      <c r="Y380" s="165"/>
      <c r="Z380" s="165"/>
      <c r="AA380" s="165"/>
      <c r="AB380" s="166"/>
    </row>
    <row r="381" ht="12.75" customHeight="1">
      <c r="A381" s="97">
        <v>43776</v>
      </c>
      <c r="B381" s="121">
        <v>346</v>
      </c>
      <c r="C381" t="s" s="116">
        <v>299</v>
      </c>
      <c r="D381" t="s" s="79">
        <v>436</v>
      </c>
      <c r="E381" s="100"/>
      <c r="F381" s="101"/>
      <c r="G381" s="102">
        <v>119338.74</v>
      </c>
      <c r="H381" s="103">
        <v>1836</v>
      </c>
      <c r="I381" s="104" cm="1">
        <f t="array" ref="I381">I380</f>
        <v>65</v>
      </c>
      <c r="J381" s="105"/>
      <c r="K381" s="101"/>
      <c r="L381" s="155"/>
      <c r="M381" s="156"/>
      <c r="N381" s="156"/>
      <c r="O381" s="156"/>
      <c r="P381" s="156"/>
      <c r="Q381" s="156"/>
      <c r="R381" s="156"/>
      <c r="S381" s="156"/>
      <c r="T381" s="156"/>
      <c r="U381" s="156"/>
      <c r="V381" s="156"/>
      <c r="W381" s="156"/>
      <c r="X381" s="156"/>
      <c r="Y381" s="156"/>
      <c r="Z381" s="156"/>
      <c r="AA381" s="156"/>
      <c r="AB381" s="157"/>
    </row>
    <row r="382" ht="12.75" customHeight="1">
      <c r="A382" s="106">
        <v>43777</v>
      </c>
      <c r="B382" s="107"/>
      <c r="C382" t="s" s="115">
        <v>99</v>
      </c>
      <c r="D382" t="s" s="109">
        <v>437</v>
      </c>
      <c r="E382" s="110"/>
      <c r="F382" s="111"/>
      <c r="G382" s="112">
        <v>4941.91</v>
      </c>
      <c r="H382" s="113">
        <v>76</v>
      </c>
      <c r="I382" s="114" cm="1">
        <f t="array" ref="I382">I381</f>
        <v>65</v>
      </c>
      <c r="J382" s="105"/>
      <c r="K382" s="101"/>
      <c r="L382" s="164"/>
      <c r="M382" s="165"/>
      <c r="N382" s="165"/>
      <c r="O382" s="165"/>
      <c r="P382" s="165"/>
      <c r="Q382" s="165"/>
      <c r="R382" s="165"/>
      <c r="S382" s="165"/>
      <c r="T382" s="165"/>
      <c r="U382" s="165"/>
      <c r="V382" s="165"/>
      <c r="W382" s="165"/>
      <c r="X382" s="165"/>
      <c r="Y382" s="165"/>
      <c r="Z382" s="165"/>
      <c r="AA382" s="165"/>
      <c r="AB382" s="166"/>
    </row>
    <row r="383" ht="12.75" customHeight="1">
      <c r="A383" t="s" s="78">
        <v>438</v>
      </c>
      <c r="B383" s="98"/>
      <c r="C383" t="s" s="116">
        <v>34</v>
      </c>
      <c r="D383" t="s" s="79">
        <v>439</v>
      </c>
      <c r="E383" s="100"/>
      <c r="F383" s="101"/>
      <c r="G383" s="102">
        <v>1303.19</v>
      </c>
      <c r="H383" s="103">
        <v>22</v>
      </c>
      <c r="I383" s="104">
        <v>60</v>
      </c>
      <c r="J383" s="105"/>
      <c r="K383" s="101"/>
      <c r="L383" s="155"/>
      <c r="M383" s="156"/>
      <c r="N383" s="156"/>
      <c r="O383" s="156"/>
      <c r="P383" s="156"/>
      <c r="Q383" s="156"/>
      <c r="R383" s="156"/>
      <c r="S383" s="156"/>
      <c r="T383" s="156"/>
      <c r="U383" s="156"/>
      <c r="V383" s="156"/>
      <c r="W383" s="156"/>
      <c r="X383" s="156"/>
      <c r="Y383" s="156"/>
      <c r="Z383" s="156"/>
      <c r="AA383" s="156"/>
      <c r="AB383" s="157"/>
    </row>
    <row r="384" ht="12.75" customHeight="1">
      <c r="A384" s="106">
        <v>43803</v>
      </c>
      <c r="B384" s="124">
        <v>253</v>
      </c>
      <c r="C384" t="s" s="115">
        <v>255</v>
      </c>
      <c r="D384" t="s" s="109">
        <v>440</v>
      </c>
      <c r="E384" s="110"/>
      <c r="F384" s="111"/>
      <c r="G384" s="112">
        <v>1848.29</v>
      </c>
      <c r="H384" s="113">
        <v>27</v>
      </c>
      <c r="I384" s="114" cm="1">
        <f t="array" ref="I384">G384/H384</f>
        <v>68.4551851851852</v>
      </c>
      <c r="J384" s="105"/>
      <c r="K384" s="101"/>
      <c r="L384" s="167"/>
      <c r="M384" s="168"/>
      <c r="N384" s="168"/>
      <c r="O384" s="168"/>
      <c r="P384" s="168"/>
      <c r="Q384" s="168"/>
      <c r="R384" s="168"/>
      <c r="S384" s="168"/>
      <c r="T384" s="168"/>
      <c r="U384" s="168"/>
      <c r="V384" s="168"/>
      <c r="W384" s="168"/>
      <c r="X384" s="168"/>
      <c r="Y384" s="168"/>
      <c r="Z384" s="168"/>
      <c r="AA384" s="168"/>
      <c r="AB384" s="168"/>
    </row>
    <row r="385" ht="12.75" customHeight="1">
      <c r="A385" s="97">
        <v>43803</v>
      </c>
      <c r="B385" s="121">
        <v>254</v>
      </c>
      <c r="C385" t="s" s="116">
        <v>255</v>
      </c>
      <c r="D385" t="s" s="79">
        <v>441</v>
      </c>
      <c r="E385" s="100"/>
      <c r="F385" s="101"/>
      <c r="G385" s="102">
        <v>2635.54</v>
      </c>
      <c r="H385" s="103">
        <v>38</v>
      </c>
      <c r="I385" s="104" cm="1">
        <f t="array" ref="I385">G385/H385</f>
        <v>69.3563157894737</v>
      </c>
      <c r="J385" s="105"/>
      <c r="K385" s="101"/>
      <c r="L385" s="96"/>
      <c r="M385" s="75"/>
      <c r="N385" s="75"/>
      <c r="O385" s="75"/>
      <c r="P385" s="75"/>
      <c r="Q385" s="75"/>
      <c r="R385" s="75"/>
      <c r="S385" s="75"/>
      <c r="T385" s="75"/>
      <c r="U385" s="75"/>
      <c r="V385" s="75"/>
      <c r="W385" s="75"/>
      <c r="X385" s="75"/>
      <c r="Y385" s="75"/>
      <c r="Z385" s="75"/>
      <c r="AA385" s="75"/>
      <c r="AB385" s="75"/>
    </row>
    <row r="386" ht="12.75" customHeight="1">
      <c r="A386" s="106">
        <v>43803</v>
      </c>
      <c r="B386" s="124">
        <v>255</v>
      </c>
      <c r="C386" t="s" s="115">
        <v>255</v>
      </c>
      <c r="D386" t="s" s="109">
        <v>263</v>
      </c>
      <c r="E386" s="110"/>
      <c r="F386" s="111"/>
      <c r="G386" s="112">
        <v>19686.22</v>
      </c>
      <c r="H386" s="113">
        <v>282</v>
      </c>
      <c r="I386" s="114" cm="1">
        <f t="array" ref="I386">I385</f>
        <v>69.3563157894737</v>
      </c>
      <c r="J386" s="105"/>
      <c r="K386" s="101"/>
      <c r="L386" s="96"/>
      <c r="M386" s="75"/>
      <c r="N386" s="75"/>
      <c r="O386" s="75"/>
      <c r="P386" s="75"/>
      <c r="Q386" s="75"/>
      <c r="R386" s="75"/>
      <c r="S386" s="75"/>
      <c r="T386" s="75"/>
      <c r="U386" s="75"/>
      <c r="V386" s="75"/>
      <c r="W386" s="75"/>
      <c r="X386" s="75"/>
      <c r="Y386" s="75"/>
      <c r="Z386" s="75"/>
      <c r="AA386" s="75"/>
      <c r="AB386" s="75"/>
    </row>
    <row r="387" ht="12.75" customHeight="1">
      <c r="A387" s="97">
        <v>43803</v>
      </c>
      <c r="B387" s="121">
        <v>256</v>
      </c>
      <c r="C387" t="s" s="116">
        <v>255</v>
      </c>
      <c r="D387" t="s" s="79">
        <v>263</v>
      </c>
      <c r="E387" s="100"/>
      <c r="F387" s="101"/>
      <c r="G387" s="102">
        <v>9711.379999999999</v>
      </c>
      <c r="H387" s="103">
        <v>138</v>
      </c>
      <c r="I387" s="104" cm="1">
        <f t="array" ref="I387">G387/H387</f>
        <v>70.37231884057969</v>
      </c>
      <c r="J387" s="105"/>
      <c r="K387" s="101"/>
      <c r="L387" s="96"/>
      <c r="M387" s="75"/>
      <c r="N387" s="75"/>
      <c r="O387" s="75"/>
      <c r="P387" s="75"/>
      <c r="Q387" s="75"/>
      <c r="R387" s="75"/>
      <c r="S387" s="75"/>
      <c r="T387" s="75"/>
      <c r="U387" s="75"/>
      <c r="V387" s="75"/>
      <c r="W387" s="75"/>
      <c r="X387" s="75"/>
      <c r="Y387" s="75"/>
      <c r="Z387" s="75"/>
      <c r="AA387" s="75"/>
      <c r="AB387" s="75"/>
    </row>
    <row r="388" ht="12.75" customHeight="1">
      <c r="A388" s="106">
        <v>43803</v>
      </c>
      <c r="B388" s="124">
        <v>257</v>
      </c>
      <c r="C388" t="s" s="115">
        <v>255</v>
      </c>
      <c r="D388" t="s" s="109">
        <v>263</v>
      </c>
      <c r="E388" s="110"/>
      <c r="F388" s="111"/>
      <c r="G388" s="112">
        <v>3570.04</v>
      </c>
      <c r="H388" s="113">
        <v>51</v>
      </c>
      <c r="I388" s="114" cm="1">
        <f t="array" ref="I388">G388/H388</f>
        <v>70.0007843137255</v>
      </c>
      <c r="J388" s="105"/>
      <c r="K388" s="101"/>
      <c r="L388" s="96"/>
      <c r="M388" s="75"/>
      <c r="N388" s="75"/>
      <c r="O388" s="75"/>
      <c r="P388" s="75"/>
      <c r="Q388" s="75"/>
      <c r="R388" s="75"/>
      <c r="S388" s="75"/>
      <c r="T388" s="75"/>
      <c r="U388" s="75"/>
      <c r="V388" s="75"/>
      <c r="W388" s="75"/>
      <c r="X388" s="75"/>
      <c r="Y388" s="75"/>
      <c r="Z388" s="75"/>
      <c r="AA388" s="75"/>
      <c r="AB388" s="75"/>
    </row>
    <row r="389" ht="12.75" customHeight="1">
      <c r="A389" s="97">
        <v>43803</v>
      </c>
      <c r="B389" s="121">
        <v>259</v>
      </c>
      <c r="C389" t="s" s="116">
        <v>255</v>
      </c>
      <c r="D389" t="s" s="79">
        <v>263</v>
      </c>
      <c r="E389" s="100"/>
      <c r="F389" s="101"/>
      <c r="G389" s="102">
        <v>2444.7</v>
      </c>
      <c r="H389" s="103">
        <v>35</v>
      </c>
      <c r="I389" s="104" cm="1">
        <f t="array" ref="I389">I388</f>
        <v>70.0007843137255</v>
      </c>
      <c r="J389" s="105"/>
      <c r="K389" s="101"/>
      <c r="L389" s="96"/>
      <c r="M389" s="75"/>
      <c r="N389" s="75"/>
      <c r="O389" s="75"/>
      <c r="P389" s="75"/>
      <c r="Q389" s="75"/>
      <c r="R389" s="75"/>
      <c r="S389" s="75"/>
      <c r="T389" s="75"/>
      <c r="U389" s="75"/>
      <c r="V389" s="75"/>
      <c r="W389" s="75"/>
      <c r="X389" s="75"/>
      <c r="Y389" s="75"/>
      <c r="Z389" s="75"/>
      <c r="AA389" s="75"/>
      <c r="AB389" s="75"/>
    </row>
    <row r="390" ht="12.75" customHeight="1">
      <c r="A390" s="106">
        <v>43803</v>
      </c>
      <c r="B390" s="124">
        <v>260</v>
      </c>
      <c r="C390" t="s" s="115">
        <v>255</v>
      </c>
      <c r="D390" t="s" s="109">
        <v>442</v>
      </c>
      <c r="E390" s="110"/>
      <c r="F390" s="111"/>
      <c r="G390" s="112">
        <v>1667.77</v>
      </c>
      <c r="H390" s="113">
        <v>24</v>
      </c>
      <c r="I390" s="114" cm="1">
        <f t="array" ref="I390">I389</f>
        <v>70.0007843137255</v>
      </c>
      <c r="J390" s="105"/>
      <c r="K390" s="101"/>
      <c r="L390" s="96"/>
      <c r="M390" s="75"/>
      <c r="N390" s="75"/>
      <c r="O390" s="75"/>
      <c r="P390" s="75"/>
      <c r="Q390" s="75"/>
      <c r="R390" s="75"/>
      <c r="S390" s="75"/>
      <c r="T390" s="75"/>
      <c r="U390" s="75"/>
      <c r="V390" s="75"/>
      <c r="W390" s="75"/>
      <c r="X390" s="75"/>
      <c r="Y390" s="75"/>
      <c r="Z390" s="75"/>
      <c r="AA390" s="75"/>
      <c r="AB390" s="75"/>
    </row>
    <row r="391" ht="12.75" customHeight="1">
      <c r="A391" s="97">
        <v>43803</v>
      </c>
      <c r="B391" s="121">
        <v>261</v>
      </c>
      <c r="C391" t="s" s="116">
        <v>255</v>
      </c>
      <c r="D391" t="s" s="79">
        <v>443</v>
      </c>
      <c r="E391" s="100"/>
      <c r="F391" s="101"/>
      <c r="G391" s="102">
        <v>1050.07</v>
      </c>
      <c r="H391" s="103" cm="1">
        <f t="array" ref="H391">G391/I391</f>
        <v>15.0008319234518</v>
      </c>
      <c r="I391" s="104" cm="1">
        <f t="array" ref="I391">I390</f>
        <v>70.0007843137255</v>
      </c>
      <c r="J391" s="105"/>
      <c r="K391" s="101"/>
      <c r="L391" s="96"/>
      <c r="M391" s="75"/>
      <c r="N391" s="75"/>
      <c r="O391" s="75"/>
      <c r="P391" s="75"/>
      <c r="Q391" s="75"/>
      <c r="R391" s="75"/>
      <c r="S391" s="75"/>
      <c r="T391" s="75"/>
      <c r="U391" s="75"/>
      <c r="V391" s="75"/>
      <c r="W391" s="75"/>
      <c r="X391" s="75"/>
      <c r="Y391" s="75"/>
      <c r="Z391" s="75"/>
      <c r="AA391" s="75"/>
      <c r="AB391" s="75"/>
    </row>
    <row r="392" ht="12.75" customHeight="1">
      <c r="A392" s="106">
        <v>43803</v>
      </c>
      <c r="B392" s="124">
        <v>131345</v>
      </c>
      <c r="C392" t="s" s="115">
        <v>67</v>
      </c>
      <c r="D392" t="s" s="109">
        <v>444</v>
      </c>
      <c r="E392" s="110"/>
      <c r="F392" s="111"/>
      <c r="G392" s="112">
        <v>230000</v>
      </c>
      <c r="H392" s="113">
        <v>3290</v>
      </c>
      <c r="I392" s="114" cm="1">
        <f t="array" ref="I392">I391</f>
        <v>70.0007843137255</v>
      </c>
      <c r="J392" s="105"/>
      <c r="K392" s="101"/>
      <c r="L392" s="96"/>
      <c r="M392" s="75"/>
      <c r="N392" s="75"/>
      <c r="O392" s="75"/>
      <c r="P392" s="75"/>
      <c r="Q392" s="75"/>
      <c r="R392" s="75"/>
      <c r="S392" s="75"/>
      <c r="T392" s="75"/>
      <c r="U392" s="75"/>
      <c r="V392" s="75"/>
      <c r="W392" s="75"/>
      <c r="X392" s="75"/>
      <c r="Y392" s="75"/>
      <c r="Z392" s="75"/>
      <c r="AA392" s="75"/>
      <c r="AB392" s="75"/>
    </row>
    <row r="393" ht="12.75" customHeight="1">
      <c r="A393" s="97">
        <v>43597</v>
      </c>
      <c r="B393" s="121">
        <v>13147</v>
      </c>
      <c r="C393" t="s" s="116">
        <v>67</v>
      </c>
      <c r="D393" t="s" s="79">
        <v>445</v>
      </c>
      <c r="E393" s="100"/>
      <c r="F393" s="101"/>
      <c r="G393" s="102">
        <v>76200</v>
      </c>
      <c r="H393" s="103" cm="1">
        <f t="array" ref="H393">G393/I393</f>
        <v>1088.559231829340</v>
      </c>
      <c r="I393" s="104" cm="1">
        <f t="array" ref="I393">I392</f>
        <v>70.0007843137255</v>
      </c>
      <c r="J393" s="105"/>
      <c r="K393" s="101"/>
      <c r="L393" s="96"/>
      <c r="M393" s="75"/>
      <c r="N393" s="75"/>
      <c r="O393" s="75"/>
      <c r="P393" s="75"/>
      <c r="Q393" s="75"/>
      <c r="R393" s="75"/>
      <c r="S393" s="75"/>
      <c r="T393" s="75"/>
      <c r="U393" s="75"/>
      <c r="V393" s="75"/>
      <c r="W393" s="75"/>
      <c r="X393" s="75"/>
      <c r="Y393" s="75"/>
      <c r="Z393" s="75"/>
      <c r="AA393" s="75"/>
      <c r="AB393" s="75"/>
    </row>
    <row r="394" ht="12.75" customHeight="1">
      <c r="A394" s="106">
        <v>43597</v>
      </c>
      <c r="B394" s="124">
        <v>2328</v>
      </c>
      <c r="C394" t="s" s="115">
        <v>198</v>
      </c>
      <c r="D394" t="s" s="109">
        <v>87</v>
      </c>
      <c r="E394" s="110"/>
      <c r="F394" s="111"/>
      <c r="G394" s="112">
        <v>500000.04</v>
      </c>
      <c r="H394" s="113">
        <v>7143</v>
      </c>
      <c r="I394" s="114" cm="1">
        <f t="array" ref="I394">I393</f>
        <v>70.0007843137255</v>
      </c>
      <c r="J394" s="105"/>
      <c r="K394" s="101"/>
      <c r="L394" s="96"/>
      <c r="M394" s="75"/>
      <c r="N394" s="75"/>
      <c r="O394" s="75"/>
      <c r="P394" s="75"/>
      <c r="Q394" s="75"/>
      <c r="R394" s="75"/>
      <c r="S394" s="75"/>
      <c r="T394" s="75"/>
      <c r="U394" s="75"/>
      <c r="V394" s="75"/>
      <c r="W394" s="75"/>
      <c r="X394" s="75"/>
      <c r="Y394" s="75"/>
      <c r="Z394" s="75"/>
      <c r="AA394" s="75"/>
      <c r="AB394" s="75"/>
    </row>
    <row r="395" ht="12.75" customHeight="1">
      <c r="A395" s="97">
        <v>43597</v>
      </c>
      <c r="B395" s="121">
        <v>6072</v>
      </c>
      <c r="C395" t="s" s="116">
        <v>276</v>
      </c>
      <c r="D395" t="s" s="79">
        <v>446</v>
      </c>
      <c r="E395" s="100"/>
      <c r="F395" s="101"/>
      <c r="G395" s="102">
        <v>1592.49</v>
      </c>
      <c r="H395" s="103">
        <v>23</v>
      </c>
      <c r="I395" s="104" cm="1">
        <f t="array" ref="I395">I394</f>
        <v>70.0007843137255</v>
      </c>
      <c r="J395" s="105"/>
      <c r="K395" s="101"/>
      <c r="L395" s="96"/>
      <c r="M395" s="75"/>
      <c r="N395" s="75"/>
      <c r="O395" s="75"/>
      <c r="P395" s="75"/>
      <c r="Q395" s="75"/>
      <c r="R395" s="75"/>
      <c r="S395" s="75"/>
      <c r="T395" s="75"/>
      <c r="U395" s="75"/>
      <c r="V395" s="75"/>
      <c r="W395" s="75"/>
      <c r="X395" s="75"/>
      <c r="Y395" s="75"/>
      <c r="Z395" s="75"/>
      <c r="AA395" s="75"/>
      <c r="AB395" s="75"/>
    </row>
    <row r="396" ht="12.75" customHeight="1">
      <c r="A396" s="106">
        <v>43597</v>
      </c>
      <c r="B396" s="124">
        <v>604</v>
      </c>
      <c r="C396" t="s" s="115">
        <v>101</v>
      </c>
      <c r="D396" t="s" s="109">
        <v>447</v>
      </c>
      <c r="E396" s="110"/>
      <c r="F396" s="111"/>
      <c r="G396" s="112">
        <v>283242.45</v>
      </c>
      <c r="H396" s="113">
        <v>4165</v>
      </c>
      <c r="I396" s="114" cm="1">
        <f t="array" ref="I396">G396/H396</f>
        <v>68.0053901560624</v>
      </c>
      <c r="J396" s="105"/>
      <c r="K396" s="101"/>
      <c r="L396" s="96"/>
      <c r="M396" s="75"/>
      <c r="N396" s="75"/>
      <c r="O396" s="75"/>
      <c r="P396" s="75"/>
      <c r="Q396" s="75"/>
      <c r="R396" s="75"/>
      <c r="S396" s="75"/>
      <c r="T396" s="75"/>
      <c r="U396" s="75"/>
      <c r="V396" s="75"/>
      <c r="W396" s="75"/>
      <c r="X396" s="75"/>
      <c r="Y396" s="75"/>
      <c r="Z396" s="75"/>
      <c r="AA396" s="75"/>
      <c r="AB396" s="75"/>
    </row>
    <row r="397" ht="12.75" customHeight="1">
      <c r="A397" s="97">
        <v>43720</v>
      </c>
      <c r="B397" s="98"/>
      <c r="C397" t="s" s="116">
        <v>34</v>
      </c>
      <c r="D397" t="s" s="79">
        <v>448</v>
      </c>
      <c r="E397" s="100"/>
      <c r="F397" s="101"/>
      <c r="G397" s="102">
        <v>1525.73</v>
      </c>
      <c r="H397" s="103" cm="1">
        <f t="array" ref="H397">G397/I397</f>
        <v>22.4354274933012</v>
      </c>
      <c r="I397" s="104" cm="1">
        <f t="array" ref="I397">I396</f>
        <v>68.0053901560624</v>
      </c>
      <c r="J397" s="105"/>
      <c r="K397" s="101"/>
      <c r="L397" s="96"/>
      <c r="M397" s="75"/>
      <c r="N397" s="75"/>
      <c r="O397" s="75"/>
      <c r="P397" s="75"/>
      <c r="Q397" s="75"/>
      <c r="R397" s="75"/>
      <c r="S397" s="75"/>
      <c r="T397" s="75"/>
      <c r="U397" s="75"/>
      <c r="V397" s="75"/>
      <c r="W397" s="75"/>
      <c r="X397" s="75"/>
      <c r="Y397" s="75"/>
      <c r="Z397" s="75"/>
      <c r="AA397" s="75"/>
      <c r="AB397" s="75"/>
    </row>
    <row r="398" ht="12.75" customHeight="1">
      <c r="A398" t="s" s="145">
        <v>449</v>
      </c>
      <c r="B398" s="107"/>
      <c r="C398" t="s" s="115">
        <v>278</v>
      </c>
      <c r="D398" t="s" s="109">
        <v>450</v>
      </c>
      <c r="E398" s="110"/>
      <c r="F398" s="111"/>
      <c r="G398" s="112">
        <v>9400</v>
      </c>
      <c r="H398" s="113" cm="1">
        <f t="array" ref="H398">G398/I398</f>
        <v>138.224337488960</v>
      </c>
      <c r="I398" s="114" cm="1">
        <f t="array" ref="I398">I397</f>
        <v>68.0053901560624</v>
      </c>
      <c r="J398" s="105"/>
      <c r="K398" s="101"/>
      <c r="L398" s="96"/>
      <c r="M398" s="75"/>
      <c r="N398" s="75"/>
      <c r="O398" s="75"/>
      <c r="P398" s="75"/>
      <c r="Q398" s="75"/>
      <c r="R398" s="75"/>
      <c r="S398" s="75"/>
      <c r="T398" s="75"/>
      <c r="U398" s="75"/>
      <c r="V398" s="75"/>
      <c r="W398" s="75"/>
      <c r="X398" s="75"/>
      <c r="Y398" s="75"/>
      <c r="Z398" s="75"/>
      <c r="AA398" s="75"/>
      <c r="AB398" s="75"/>
    </row>
    <row r="399" ht="12.75" customHeight="1">
      <c r="A399" t="s" s="78">
        <v>451</v>
      </c>
      <c r="B399" s="121">
        <v>905</v>
      </c>
      <c r="C399" t="s" s="116">
        <v>377</v>
      </c>
      <c r="D399" t="s" s="79">
        <v>452</v>
      </c>
      <c r="E399" s="100"/>
      <c r="F399" s="101"/>
      <c r="G399" s="102">
        <v>250000</v>
      </c>
      <c r="H399" s="103">
        <v>3570</v>
      </c>
      <c r="I399" s="104" cm="1">
        <f t="array" ref="I399">G399/H399</f>
        <v>70.0280112044818</v>
      </c>
      <c r="J399" s="105"/>
      <c r="K399" s="101"/>
      <c r="L399" s="96"/>
      <c r="M399" s="75"/>
      <c r="N399" s="75"/>
      <c r="O399" s="75"/>
      <c r="P399" s="75"/>
      <c r="Q399" s="75"/>
      <c r="R399" s="75"/>
      <c r="S399" s="75"/>
      <c r="T399" s="75"/>
      <c r="U399" s="75"/>
      <c r="V399" s="75"/>
      <c r="W399" s="75"/>
      <c r="X399" s="75"/>
      <c r="Y399" s="75"/>
      <c r="Z399" s="75"/>
      <c r="AA399" s="75"/>
      <c r="AB399" s="75"/>
    </row>
    <row r="400" ht="12.75" customHeight="1">
      <c r="A400" t="s" s="145">
        <v>453</v>
      </c>
      <c r="B400" s="124">
        <v>2982</v>
      </c>
      <c r="C400" t="s" s="115">
        <v>308</v>
      </c>
      <c r="D400" t="s" s="109">
        <v>454</v>
      </c>
      <c r="E400" s="110"/>
      <c r="F400" s="111"/>
      <c r="G400" s="112">
        <v>11432.27</v>
      </c>
      <c r="H400" s="113">
        <v>158</v>
      </c>
      <c r="I400" s="114" cm="1">
        <f t="array" ref="I400">G400/H400</f>
        <v>72.35613924050629</v>
      </c>
      <c r="J400" s="105"/>
      <c r="K400" s="101"/>
      <c r="L400" s="96"/>
      <c r="M400" s="75"/>
      <c r="N400" s="75"/>
      <c r="O400" s="75"/>
      <c r="P400" s="75"/>
      <c r="Q400" s="75"/>
      <c r="R400" s="75"/>
      <c r="S400" s="75"/>
      <c r="T400" s="75"/>
      <c r="U400" s="75"/>
      <c r="V400" s="75"/>
      <c r="W400" s="75"/>
      <c r="X400" s="75"/>
      <c r="Y400" s="75"/>
      <c r="Z400" s="75"/>
      <c r="AA400" s="75"/>
      <c r="AB400" s="75"/>
    </row>
    <row r="401" ht="12.75" customHeight="1">
      <c r="A401" t="s" s="78">
        <v>455</v>
      </c>
      <c r="B401" s="121">
        <v>15104</v>
      </c>
      <c r="C401" t="s" s="116">
        <v>330</v>
      </c>
      <c r="D401" t="s" s="79">
        <v>456</v>
      </c>
      <c r="E401" s="100"/>
      <c r="F401" s="101"/>
      <c r="G401" s="102">
        <v>14500</v>
      </c>
      <c r="H401" s="103" cm="1">
        <f t="array" ref="H401">G401/I401</f>
        <v>193.333333333333</v>
      </c>
      <c r="I401" s="104">
        <v>75</v>
      </c>
      <c r="J401" s="105"/>
      <c r="K401" s="101"/>
      <c r="L401" s="96"/>
      <c r="M401" s="75"/>
      <c r="N401" s="75"/>
      <c r="O401" s="75"/>
      <c r="P401" s="75"/>
      <c r="Q401" s="75"/>
      <c r="R401" s="75"/>
      <c r="S401" s="75"/>
      <c r="T401" s="75"/>
      <c r="U401" s="75"/>
      <c r="V401" s="75"/>
      <c r="W401" s="75"/>
      <c r="X401" s="75"/>
      <c r="Y401" s="75"/>
      <c r="Z401" s="75"/>
      <c r="AA401" s="75"/>
      <c r="AB401" s="75"/>
    </row>
    <row r="402" ht="12.75" customHeight="1">
      <c r="A402" t="s" s="145">
        <v>457</v>
      </c>
      <c r="B402" t="s" s="145">
        <v>458</v>
      </c>
      <c r="C402" t="s" s="115">
        <v>255</v>
      </c>
      <c r="D402" t="s" s="109">
        <v>459</v>
      </c>
      <c r="E402" s="110"/>
      <c r="F402" s="111"/>
      <c r="G402" s="112">
        <v>44537.32</v>
      </c>
      <c r="H402" s="113">
        <v>594</v>
      </c>
      <c r="I402" s="114" cm="1">
        <f t="array" ref="I402">G402/H402</f>
        <v>74.97865319865321</v>
      </c>
      <c r="J402" s="105"/>
      <c r="K402" s="101"/>
      <c r="L402" s="96"/>
      <c r="M402" s="75"/>
      <c r="N402" s="75"/>
      <c r="O402" s="75"/>
      <c r="P402" s="75"/>
      <c r="Q402" s="75"/>
      <c r="R402" s="75"/>
      <c r="S402" s="75"/>
      <c r="T402" s="75"/>
      <c r="U402" s="75"/>
      <c r="V402" s="75"/>
      <c r="W402" s="75"/>
      <c r="X402" s="75"/>
      <c r="Y402" s="75"/>
      <c r="Z402" s="75"/>
      <c r="AA402" s="75"/>
      <c r="AB402" s="75"/>
    </row>
    <row r="403" ht="12.75" customHeight="1">
      <c r="A403" s="169">
        <v>43983</v>
      </c>
      <c r="B403" s="98"/>
      <c r="C403" t="s" s="116">
        <v>299</v>
      </c>
      <c r="D403" t="s" s="79">
        <v>460</v>
      </c>
      <c r="E403" s="100"/>
      <c r="F403" s="101"/>
      <c r="G403" s="102">
        <v>36429.18</v>
      </c>
      <c r="H403" s="103" cm="1">
        <f t="array" ref="H403">G403/I403</f>
        <v>473.106233766234</v>
      </c>
      <c r="I403" s="104">
        <v>77</v>
      </c>
      <c r="J403" s="105"/>
      <c r="K403" s="101"/>
      <c r="L403" s="96"/>
      <c r="M403" s="75"/>
      <c r="N403" s="75"/>
      <c r="O403" s="75"/>
      <c r="P403" s="75"/>
      <c r="Q403" s="75"/>
      <c r="R403" s="75"/>
      <c r="S403" s="75"/>
      <c r="T403" s="75"/>
      <c r="U403" s="75"/>
      <c r="V403" s="75"/>
      <c r="W403" s="75"/>
      <c r="X403" s="75"/>
      <c r="Y403" s="75"/>
      <c r="Z403" s="75"/>
      <c r="AA403" s="75"/>
      <c r="AB403" s="75"/>
    </row>
    <row r="404" ht="12.75" customHeight="1">
      <c r="A404" s="170">
        <v>44013</v>
      </c>
      <c r="B404" s="107"/>
      <c r="C404" t="s" s="115">
        <v>101</v>
      </c>
      <c r="D404" t="s" s="109">
        <v>461</v>
      </c>
      <c r="E404" s="110"/>
      <c r="F404" s="111"/>
      <c r="G404" s="112">
        <v>300548.57</v>
      </c>
      <c r="H404" s="113" cm="1">
        <f t="array" ref="H404">G404/I404</f>
        <v>4007.314266666670</v>
      </c>
      <c r="I404" s="114">
        <v>75</v>
      </c>
      <c r="J404" s="105"/>
      <c r="K404" s="101"/>
      <c r="L404" s="96"/>
      <c r="M404" s="75"/>
      <c r="N404" s="75"/>
      <c r="O404" s="75"/>
      <c r="P404" s="75"/>
      <c r="Q404" s="75"/>
      <c r="R404" s="75"/>
      <c r="S404" s="75"/>
      <c r="T404" s="75"/>
      <c r="U404" s="75"/>
      <c r="V404" s="75"/>
      <c r="W404" s="75"/>
      <c r="X404" s="75"/>
      <c r="Y404" s="75"/>
      <c r="Z404" s="75"/>
      <c r="AA404" s="75"/>
      <c r="AB404" s="75"/>
    </row>
    <row r="405" ht="12.75" customHeight="1">
      <c r="A405" s="169">
        <v>44105</v>
      </c>
      <c r="B405" s="121">
        <v>9013</v>
      </c>
      <c r="C405" t="s" s="116">
        <v>122</v>
      </c>
      <c r="D405" t="s" s="79">
        <v>331</v>
      </c>
      <c r="E405" s="100"/>
      <c r="F405" s="101"/>
      <c r="G405" s="102">
        <v>14750.08</v>
      </c>
      <c r="H405" s="103">
        <v>197</v>
      </c>
      <c r="I405" s="104" cm="1">
        <f t="array" ref="I405">G405/H405</f>
        <v>74.87350253807109</v>
      </c>
      <c r="J405" s="105"/>
      <c r="K405" s="101"/>
      <c r="L405" s="96"/>
      <c r="M405" s="75"/>
      <c r="N405" s="75"/>
      <c r="O405" s="75"/>
      <c r="P405" s="75"/>
      <c r="Q405" s="75"/>
      <c r="R405" s="75"/>
      <c r="S405" s="75"/>
      <c r="T405" s="75"/>
      <c r="U405" s="75"/>
      <c r="V405" s="75"/>
      <c r="W405" s="75"/>
      <c r="X405" s="75"/>
      <c r="Y405" s="75"/>
      <c r="Z405" s="75"/>
      <c r="AA405" s="75"/>
      <c r="AB405" s="75"/>
    </row>
    <row r="406" ht="12.75" customHeight="1">
      <c r="A406" s="170">
        <v>44105</v>
      </c>
      <c r="B406" s="124">
        <v>707</v>
      </c>
      <c r="C406" t="s" s="115">
        <v>255</v>
      </c>
      <c r="D406" t="s" s="109">
        <v>462</v>
      </c>
      <c r="E406" s="110"/>
      <c r="F406" s="111"/>
      <c r="G406" s="112">
        <v>5645.7</v>
      </c>
      <c r="H406" s="113" cm="1">
        <f t="array" ref="H406">G406/I406</f>
        <v>75.4031774742916</v>
      </c>
      <c r="I406" s="114" cm="1">
        <f t="array" ref="I406">I405</f>
        <v>74.87350253807109</v>
      </c>
      <c r="J406" s="105"/>
      <c r="K406" s="101"/>
      <c r="L406" s="96"/>
      <c r="M406" s="75"/>
      <c r="N406" s="75"/>
      <c r="O406" s="75"/>
      <c r="P406" s="75"/>
      <c r="Q406" s="75"/>
      <c r="R406" s="75"/>
      <c r="S406" s="75"/>
      <c r="T406" s="75"/>
      <c r="U406" s="75"/>
      <c r="V406" s="75"/>
      <c r="W406" s="75"/>
      <c r="X406" s="75"/>
      <c r="Y406" s="75"/>
      <c r="Z406" s="75"/>
      <c r="AA406" s="75"/>
      <c r="AB406" s="75"/>
    </row>
    <row r="407" ht="12.75" customHeight="1">
      <c r="A407" s="169">
        <v>44105</v>
      </c>
      <c r="B407" s="121">
        <v>2542</v>
      </c>
      <c r="C407" t="s" s="116">
        <v>198</v>
      </c>
      <c r="D407" t="s" s="79">
        <v>463</v>
      </c>
      <c r="E407" s="100"/>
      <c r="F407" s="101"/>
      <c r="G407" s="102">
        <v>38791.85</v>
      </c>
      <c r="H407" s="103" cm="1">
        <f t="array" ref="H407">G407/I407</f>
        <v>518.0985086182581</v>
      </c>
      <c r="I407" s="104" cm="1">
        <f t="array" ref="I407">I406</f>
        <v>74.87350253807109</v>
      </c>
      <c r="J407" s="105"/>
      <c r="K407" s="101"/>
      <c r="L407" s="96"/>
      <c r="M407" s="75"/>
      <c r="N407" s="75"/>
      <c r="O407" s="75"/>
      <c r="P407" s="75"/>
      <c r="Q407" s="75"/>
      <c r="R407" s="75"/>
      <c r="S407" s="75"/>
      <c r="T407" s="75"/>
      <c r="U407" s="75"/>
      <c r="V407" s="75"/>
      <c r="W407" s="75"/>
      <c r="X407" s="75"/>
      <c r="Y407" s="75"/>
      <c r="Z407" s="75"/>
      <c r="AA407" s="75"/>
      <c r="AB407" s="75"/>
    </row>
    <row r="408" ht="12.75" customHeight="1">
      <c r="A408" t="s" s="145">
        <v>464</v>
      </c>
      <c r="B408" s="124">
        <v>951</v>
      </c>
      <c r="C408" t="s" s="115">
        <v>377</v>
      </c>
      <c r="D408" s="171"/>
      <c r="E408" s="110"/>
      <c r="F408" s="111"/>
      <c r="G408" s="112">
        <v>250000</v>
      </c>
      <c r="H408" s="113">
        <v>3333</v>
      </c>
      <c r="I408" s="114" cm="1">
        <f t="array" ref="I408">G408/H408</f>
        <v>75.007500750075</v>
      </c>
      <c r="J408" s="105"/>
      <c r="K408" s="101"/>
      <c r="L408" s="96"/>
      <c r="M408" s="75"/>
      <c r="N408" s="75"/>
      <c r="O408" s="75"/>
      <c r="P408" s="75"/>
      <c r="Q408" s="75"/>
      <c r="R408" s="75"/>
      <c r="S408" s="75"/>
      <c r="T408" s="75"/>
      <c r="U408" s="75"/>
      <c r="V408" s="75"/>
      <c r="W408" s="75"/>
      <c r="X408" s="75"/>
      <c r="Y408" s="75"/>
      <c r="Z408" s="75"/>
      <c r="AA408" s="75"/>
      <c r="AB408" s="75"/>
    </row>
    <row r="409" ht="12.75" customHeight="1">
      <c r="A409" t="s" s="78">
        <v>465</v>
      </c>
      <c r="B409" s="98"/>
      <c r="C409" t="s" s="116">
        <v>34</v>
      </c>
      <c r="D409" t="s" s="79">
        <v>466</v>
      </c>
      <c r="E409" s="100"/>
      <c r="F409" s="101"/>
      <c r="G409" s="102">
        <v>1427.19</v>
      </c>
      <c r="H409" s="103" cm="1">
        <f t="array" ref="H409">G409/I409</f>
        <v>19.1059306451613</v>
      </c>
      <c r="I409" s="104" cm="1">
        <f t="array" ref="I409">I410</f>
        <v>74.6987951807229</v>
      </c>
      <c r="J409" s="105"/>
      <c r="K409" s="101"/>
      <c r="L409" s="96"/>
      <c r="M409" s="75"/>
      <c r="N409" s="75"/>
      <c r="O409" s="75"/>
      <c r="P409" s="75"/>
      <c r="Q409" s="75"/>
      <c r="R409" s="75"/>
      <c r="S409" s="75"/>
      <c r="T409" s="75"/>
      <c r="U409" s="75"/>
      <c r="V409" s="75"/>
      <c r="W409" s="75"/>
      <c r="X409" s="75"/>
      <c r="Y409" s="75"/>
      <c r="Z409" s="75"/>
      <c r="AA409" s="75"/>
      <c r="AB409" s="75"/>
    </row>
    <row r="410" ht="12.75" customHeight="1">
      <c r="A410" t="s" s="145">
        <v>467</v>
      </c>
      <c r="B410" s="107"/>
      <c r="C410" t="s" s="115">
        <v>149</v>
      </c>
      <c r="D410" t="s" s="109">
        <v>468</v>
      </c>
      <c r="E410" s="110"/>
      <c r="F410" s="111"/>
      <c r="G410" s="112">
        <v>6200</v>
      </c>
      <c r="H410" s="113">
        <v>83</v>
      </c>
      <c r="I410" s="114" cm="1">
        <f t="array" ref="I410">G410/H410</f>
        <v>74.6987951807229</v>
      </c>
      <c r="J410" s="105"/>
      <c r="K410" s="101"/>
      <c r="L410" s="96"/>
      <c r="M410" s="75"/>
      <c r="N410" s="75"/>
      <c r="O410" s="75"/>
      <c r="P410" s="75"/>
      <c r="Q410" s="75"/>
      <c r="R410" s="75"/>
      <c r="S410" s="75"/>
      <c r="T410" s="75"/>
      <c r="U410" s="75"/>
      <c r="V410" s="75"/>
      <c r="W410" s="75"/>
      <c r="X410" s="75"/>
      <c r="Y410" s="75"/>
      <c r="Z410" s="75"/>
      <c r="AA410" s="75"/>
      <c r="AB410" s="75"/>
    </row>
    <row r="411" ht="12.75" customHeight="1">
      <c r="A411" t="s" s="78">
        <v>469</v>
      </c>
      <c r="B411" s="121">
        <v>1056</v>
      </c>
      <c r="C411" t="s" s="116">
        <v>255</v>
      </c>
      <c r="D411" t="s" s="79">
        <v>470</v>
      </c>
      <c r="E411" s="100"/>
      <c r="F411" s="101"/>
      <c r="G411" s="102">
        <v>20290.69</v>
      </c>
      <c r="H411" s="103">
        <v>260</v>
      </c>
      <c r="I411" s="104" cm="1">
        <f t="array" ref="I411">G411/H411</f>
        <v>78.0411153846154</v>
      </c>
      <c r="J411" s="105"/>
      <c r="K411" s="101"/>
      <c r="L411" s="96"/>
      <c r="M411" s="75"/>
      <c r="N411" s="75"/>
      <c r="O411" s="75"/>
      <c r="P411" s="75"/>
      <c r="Q411" s="75"/>
      <c r="R411" s="75"/>
      <c r="S411" s="75"/>
      <c r="T411" s="75"/>
      <c r="U411" s="75"/>
      <c r="V411" s="75"/>
      <c r="W411" s="75"/>
      <c r="X411" s="75"/>
      <c r="Y411" s="75"/>
      <c r="Z411" s="75"/>
      <c r="AA411" s="75"/>
      <c r="AB411" s="75"/>
    </row>
    <row r="412" ht="12.75" customHeight="1">
      <c r="A412" t="s" s="145">
        <v>469</v>
      </c>
      <c r="B412" s="124">
        <v>1057</v>
      </c>
      <c r="C412" t="s" s="115">
        <v>255</v>
      </c>
      <c r="D412" t="s" s="109">
        <v>471</v>
      </c>
      <c r="E412" s="110"/>
      <c r="F412" s="111"/>
      <c r="G412" s="112">
        <v>2604.45</v>
      </c>
      <c r="H412" s="113">
        <v>34</v>
      </c>
      <c r="I412" s="114" cm="1">
        <f t="array" ref="I412">G412/H412</f>
        <v>76.6014705882353</v>
      </c>
      <c r="J412" s="105"/>
      <c r="K412" s="101"/>
      <c r="L412" s="96"/>
      <c r="M412" s="75"/>
      <c r="N412" s="75"/>
      <c r="O412" s="75"/>
      <c r="P412" s="75"/>
      <c r="Q412" s="75"/>
      <c r="R412" s="75"/>
      <c r="S412" s="75"/>
      <c r="T412" s="75"/>
      <c r="U412" s="75"/>
      <c r="V412" s="75"/>
      <c r="W412" s="75"/>
      <c r="X412" s="75"/>
      <c r="Y412" s="75"/>
      <c r="Z412" s="75"/>
      <c r="AA412" s="75"/>
      <c r="AB412" s="75"/>
    </row>
    <row r="413" ht="12.75" customHeight="1">
      <c r="A413" t="s" s="78">
        <v>469</v>
      </c>
      <c r="B413" s="121">
        <v>1101</v>
      </c>
      <c r="C413" t="s" s="116">
        <v>255</v>
      </c>
      <c r="D413" t="s" s="79">
        <v>472</v>
      </c>
      <c r="E413" s="100"/>
      <c r="F413" s="101"/>
      <c r="G413" s="102">
        <v>2328759.5</v>
      </c>
      <c r="H413" s="103">
        <v>29000</v>
      </c>
      <c r="I413" s="104">
        <v>80</v>
      </c>
      <c r="J413" s="105"/>
      <c r="K413" s="101"/>
      <c r="L413" s="96"/>
      <c r="M413" s="75"/>
      <c r="N413" s="75"/>
      <c r="O413" s="75"/>
      <c r="P413" s="75"/>
      <c r="Q413" s="75"/>
      <c r="R413" s="75"/>
      <c r="S413" s="75"/>
      <c r="T413" s="75"/>
      <c r="U413" s="75"/>
      <c r="V413" s="75"/>
      <c r="W413" s="75"/>
      <c r="X413" s="75"/>
      <c r="Y413" s="75"/>
      <c r="Z413" s="75"/>
      <c r="AA413" s="75"/>
      <c r="AB413" s="75"/>
    </row>
    <row r="414" ht="12.75" customHeight="1">
      <c r="A414" t="s" s="145">
        <v>469</v>
      </c>
      <c r="B414" s="124">
        <v>275</v>
      </c>
      <c r="C414" t="s" s="115">
        <v>417</v>
      </c>
      <c r="D414" t="s" s="109">
        <v>473</v>
      </c>
      <c r="E414" s="110"/>
      <c r="F414" s="111"/>
      <c r="G414" s="112">
        <v>762300</v>
      </c>
      <c r="H414" s="113">
        <v>9773</v>
      </c>
      <c r="I414" s="114" cm="1">
        <f t="array" ref="I414">G414/H414</f>
        <v>78.00061393635529</v>
      </c>
      <c r="J414" s="105"/>
      <c r="K414" s="101"/>
      <c r="L414" s="96"/>
      <c r="M414" s="75"/>
      <c r="N414" s="75"/>
      <c r="O414" s="75"/>
      <c r="P414" s="75"/>
      <c r="Q414" s="75"/>
      <c r="R414" s="75"/>
      <c r="S414" s="75"/>
      <c r="T414" s="75"/>
      <c r="U414" s="75"/>
      <c r="V414" s="75"/>
      <c r="W414" s="75"/>
      <c r="X414" s="75"/>
      <c r="Y414" s="75"/>
      <c r="Z414" s="75"/>
      <c r="AA414" s="75"/>
      <c r="AB414" s="75"/>
    </row>
    <row r="415" ht="12.75" customHeight="1">
      <c r="A415" s="97">
        <v>43892</v>
      </c>
      <c r="B415" s="121">
        <v>367</v>
      </c>
      <c r="C415" t="s" s="116">
        <v>299</v>
      </c>
      <c r="D415" t="s" s="79">
        <v>474</v>
      </c>
      <c r="E415" s="100"/>
      <c r="F415" s="101"/>
      <c r="G415" s="102">
        <v>106914.01</v>
      </c>
      <c r="H415" s="103">
        <v>1354</v>
      </c>
      <c r="I415" s="104" cm="1">
        <f t="array" ref="I415">G415/H415</f>
        <v>78.96160265878881</v>
      </c>
      <c r="J415" s="105"/>
      <c r="K415" s="101"/>
      <c r="L415" s="96"/>
      <c r="M415" s="75"/>
      <c r="N415" s="75"/>
      <c r="O415" s="75"/>
      <c r="P415" s="75"/>
      <c r="Q415" s="75"/>
      <c r="R415" s="75"/>
      <c r="S415" s="75"/>
      <c r="T415" s="75"/>
      <c r="U415" s="75"/>
      <c r="V415" s="75"/>
      <c r="W415" s="75"/>
      <c r="X415" s="75"/>
      <c r="Y415" s="75"/>
      <c r="Z415" s="75"/>
      <c r="AA415" s="75"/>
      <c r="AB415" s="75"/>
    </row>
    <row r="416" ht="12.75" customHeight="1">
      <c r="A416" s="106">
        <v>43923</v>
      </c>
      <c r="B416" s="107"/>
      <c r="C416" t="s" s="115">
        <v>475</v>
      </c>
      <c r="D416" t="s" s="109">
        <v>476</v>
      </c>
      <c r="E416" s="110"/>
      <c r="F416" s="111"/>
      <c r="G416" s="112">
        <v>6513.6</v>
      </c>
      <c r="H416" s="113" cm="1">
        <f t="array" ref="H416">G416/I416</f>
        <v>82.490726893510</v>
      </c>
      <c r="I416" s="114" cm="1">
        <f t="array" ref="I416">I415</f>
        <v>78.96160265878881</v>
      </c>
      <c r="J416" s="105"/>
      <c r="K416" s="101"/>
      <c r="L416" s="96"/>
      <c r="M416" s="75"/>
      <c r="N416" s="75"/>
      <c r="O416" s="75"/>
      <c r="P416" s="75"/>
      <c r="Q416" s="75"/>
      <c r="R416" s="75"/>
      <c r="S416" s="75"/>
      <c r="T416" s="75"/>
      <c r="U416" s="75"/>
      <c r="V416" s="75"/>
      <c r="W416" s="75"/>
      <c r="X416" s="75"/>
      <c r="Y416" s="75"/>
      <c r="Z416" s="75"/>
      <c r="AA416" s="75"/>
      <c r="AB416" s="75"/>
    </row>
    <row r="417" ht="12.75" customHeight="1">
      <c r="A417" s="97">
        <v>43984</v>
      </c>
      <c r="B417" s="121">
        <v>614</v>
      </c>
      <c r="C417" t="s" s="116">
        <v>101</v>
      </c>
      <c r="D417" t="s" s="79">
        <v>477</v>
      </c>
      <c r="E417" s="100"/>
      <c r="F417" s="101"/>
      <c r="G417" s="102">
        <v>312570.52</v>
      </c>
      <c r="H417" s="103">
        <v>4007</v>
      </c>
      <c r="I417" s="104" cm="1">
        <f t="array" ref="I417">G417/H417</f>
        <v>78.0061192912403</v>
      </c>
      <c r="J417" s="105"/>
      <c r="K417" s="101"/>
      <c r="L417" s="96"/>
      <c r="M417" s="75"/>
      <c r="N417" s="75"/>
      <c r="O417" s="75"/>
      <c r="P417" s="75"/>
      <c r="Q417" s="75"/>
      <c r="R417" s="75"/>
      <c r="S417" s="75"/>
      <c r="T417" s="75"/>
      <c r="U417" s="75"/>
      <c r="V417" s="75"/>
      <c r="W417" s="75"/>
      <c r="X417" s="75"/>
      <c r="Y417" s="75"/>
      <c r="Z417" s="75"/>
      <c r="AA417" s="75"/>
      <c r="AB417" s="75"/>
    </row>
    <row r="418" ht="12.75" customHeight="1">
      <c r="A418" t="s" s="145">
        <v>478</v>
      </c>
      <c r="B418" s="124">
        <v>276</v>
      </c>
      <c r="C418" t="s" s="115">
        <v>417</v>
      </c>
      <c r="D418" t="s" s="109">
        <v>479</v>
      </c>
      <c r="E418" s="110"/>
      <c r="F418" s="111"/>
      <c r="G418" s="112">
        <v>243815</v>
      </c>
      <c r="H418" s="113" cm="1">
        <f t="array" ref="H418">G418/I418</f>
        <v>3125.588123281750</v>
      </c>
      <c r="I418" s="114" cm="1">
        <f t="array" ref="I418">I417</f>
        <v>78.0061192912403</v>
      </c>
      <c r="J418" s="105"/>
      <c r="K418" s="101"/>
      <c r="L418" s="96"/>
      <c r="M418" s="75"/>
      <c r="N418" s="75"/>
      <c r="O418" s="75"/>
      <c r="P418" s="75"/>
      <c r="Q418" s="75"/>
      <c r="R418" s="75"/>
      <c r="S418" s="75"/>
      <c r="T418" s="75"/>
      <c r="U418" s="75"/>
      <c r="V418" s="75"/>
      <c r="W418" s="75"/>
      <c r="X418" s="75"/>
      <c r="Y418" s="75"/>
      <c r="Z418" s="75"/>
      <c r="AA418" s="75"/>
      <c r="AB418" s="75"/>
    </row>
    <row r="419" ht="12.75" customHeight="1">
      <c r="A419" t="s" s="78">
        <v>478</v>
      </c>
      <c r="B419" s="121">
        <v>373</v>
      </c>
      <c r="C419" t="s" s="116">
        <v>299</v>
      </c>
      <c r="D419" t="s" s="79">
        <v>480</v>
      </c>
      <c r="E419" s="100"/>
      <c r="F419" s="101"/>
      <c r="G419" s="102">
        <v>56992.45</v>
      </c>
      <c r="H419" s="103" cm="1">
        <f t="array" ref="H419">G419/I419</f>
        <v>730.615117350159</v>
      </c>
      <c r="I419" s="104" cm="1">
        <f t="array" ref="I419">I418</f>
        <v>78.0061192912403</v>
      </c>
      <c r="J419" s="105"/>
      <c r="K419" s="101"/>
      <c r="L419" s="96"/>
      <c r="M419" s="75"/>
      <c r="N419" s="75"/>
      <c r="O419" s="75"/>
      <c r="P419" s="75"/>
      <c r="Q419" s="75"/>
      <c r="R419" s="75"/>
      <c r="S419" s="75"/>
      <c r="T419" s="75"/>
      <c r="U419" s="75"/>
      <c r="V419" s="75"/>
      <c r="W419" s="75"/>
      <c r="X419" s="75"/>
      <c r="Y419" s="75"/>
      <c r="Z419" s="75"/>
      <c r="AA419" s="75"/>
      <c r="AB419" s="75"/>
    </row>
    <row r="420" ht="12.75" customHeight="1">
      <c r="A420" s="106">
        <v>44167</v>
      </c>
      <c r="B420" s="124">
        <v>2842</v>
      </c>
      <c r="C420" t="s" s="115">
        <v>481</v>
      </c>
      <c r="D420" t="s" s="109">
        <v>482</v>
      </c>
      <c r="E420" s="110"/>
      <c r="F420" s="111"/>
      <c r="G420" s="112">
        <v>14335.47</v>
      </c>
      <c r="H420" s="113">
        <v>171</v>
      </c>
      <c r="I420" s="114" cm="1">
        <f t="array" ref="I420">G420/H420</f>
        <v>83.8331578947368</v>
      </c>
      <c r="J420" s="105"/>
      <c r="K420" s="101"/>
      <c r="L420" s="96"/>
      <c r="M420" s="75"/>
      <c r="N420" s="75"/>
      <c r="O420" s="75"/>
      <c r="P420" s="75"/>
      <c r="Q420" s="75"/>
      <c r="R420" s="75"/>
      <c r="S420" s="75"/>
      <c r="T420" s="75"/>
      <c r="U420" s="75"/>
      <c r="V420" s="75"/>
      <c r="W420" s="75"/>
      <c r="X420" s="75"/>
      <c r="Y420" s="75"/>
      <c r="Z420" s="75"/>
      <c r="AA420" s="75"/>
      <c r="AB420" s="75"/>
    </row>
    <row r="421" ht="12.75" customHeight="1">
      <c r="A421" t="s" s="78">
        <v>483</v>
      </c>
      <c r="B421" s="98"/>
      <c r="C421" t="s" s="116">
        <v>34</v>
      </c>
      <c r="D421" t="s" s="79">
        <v>484</v>
      </c>
      <c r="E421" s="100"/>
      <c r="F421" s="101"/>
      <c r="G421" s="102">
        <v>1427.19</v>
      </c>
      <c r="H421" s="103" cm="1">
        <f t="array" ref="H421">G421/I421</f>
        <v>18.2792807881773</v>
      </c>
      <c r="I421" s="104" cm="1">
        <f t="array" ref="I421">I422</f>
        <v>78.07692307692309</v>
      </c>
      <c r="J421" s="105"/>
      <c r="K421" s="101"/>
      <c r="L421" s="96"/>
      <c r="M421" s="75"/>
      <c r="N421" s="75"/>
      <c r="O421" s="75"/>
      <c r="P421" s="75"/>
      <c r="Q421" s="75"/>
      <c r="R421" s="75"/>
      <c r="S421" s="75"/>
      <c r="T421" s="75"/>
      <c r="U421" s="75"/>
      <c r="V421" s="75"/>
      <c r="W421" s="75"/>
      <c r="X421" s="75"/>
      <c r="Y421" s="75"/>
      <c r="Z421" s="75"/>
      <c r="AA421" s="75"/>
      <c r="AB421" s="75"/>
    </row>
    <row r="422" ht="12.75" customHeight="1">
      <c r="A422" t="s" s="145">
        <v>485</v>
      </c>
      <c r="B422" s="124">
        <v>1356</v>
      </c>
      <c r="C422" t="s" s="115">
        <v>255</v>
      </c>
      <c r="D422" t="s" s="109">
        <v>462</v>
      </c>
      <c r="E422" s="110"/>
      <c r="F422" s="111"/>
      <c r="G422" s="112">
        <v>4060</v>
      </c>
      <c r="H422" s="113">
        <v>52</v>
      </c>
      <c r="I422" s="114" cm="1">
        <f t="array" ref="I422">G422/H422</f>
        <v>78.07692307692309</v>
      </c>
      <c r="J422" s="105"/>
      <c r="K422" s="101"/>
      <c r="L422" s="96"/>
      <c r="M422" s="75"/>
      <c r="N422" s="75"/>
      <c r="O422" s="75"/>
      <c r="P422" s="75"/>
      <c r="Q422" s="75"/>
      <c r="R422" s="75"/>
      <c r="S422" s="75"/>
      <c r="T422" s="75"/>
      <c r="U422" s="75"/>
      <c r="V422" s="75"/>
      <c r="W422" s="75"/>
      <c r="X422" s="75"/>
      <c r="Y422" s="75"/>
      <c r="Z422" s="75"/>
      <c r="AA422" s="75"/>
      <c r="AB422" s="75"/>
    </row>
    <row r="423" ht="12.75" customHeight="1">
      <c r="A423" t="s" s="78">
        <v>485</v>
      </c>
      <c r="B423" s="121">
        <v>1355</v>
      </c>
      <c r="C423" t="s" s="116">
        <v>255</v>
      </c>
      <c r="D423" t="s" s="79">
        <v>462</v>
      </c>
      <c r="E423" s="100"/>
      <c r="F423" s="101"/>
      <c r="G423" s="102">
        <v>2653.24</v>
      </c>
      <c r="H423" s="103">
        <v>34</v>
      </c>
      <c r="I423" s="104" cm="1">
        <f t="array" ref="I423">I422</f>
        <v>78.07692307692309</v>
      </c>
      <c r="J423" s="105"/>
      <c r="K423" s="101"/>
      <c r="L423" s="96"/>
      <c r="M423" s="75"/>
      <c r="N423" s="75"/>
      <c r="O423" s="75"/>
      <c r="P423" s="75"/>
      <c r="Q423" s="75"/>
      <c r="R423" s="75"/>
      <c r="S423" s="75"/>
      <c r="T423" s="75"/>
      <c r="U423" s="75"/>
      <c r="V423" s="75"/>
      <c r="W423" s="75"/>
      <c r="X423" s="75"/>
      <c r="Y423" s="75"/>
      <c r="Z423" s="75"/>
      <c r="AA423" s="75"/>
      <c r="AB423" s="75"/>
    </row>
    <row r="424" ht="12.75" customHeight="1">
      <c r="A424" t="s" s="145">
        <v>486</v>
      </c>
      <c r="B424" s="107"/>
      <c r="C424" t="s" s="115">
        <v>34</v>
      </c>
      <c r="D424" t="s" s="109">
        <v>487</v>
      </c>
      <c r="E424" s="110"/>
      <c r="F424" s="111"/>
      <c r="G424" s="112">
        <v>1349.63</v>
      </c>
      <c r="H424" s="113" cm="1">
        <f t="array" ref="H424">G424/I424</f>
        <v>17.2859014778325</v>
      </c>
      <c r="I424" s="114" cm="1">
        <f t="array" ref="I424">I423</f>
        <v>78.07692307692309</v>
      </c>
      <c r="J424" s="105"/>
      <c r="K424" s="101"/>
      <c r="L424" s="96"/>
      <c r="M424" s="75"/>
      <c r="N424" s="75"/>
      <c r="O424" s="75"/>
      <c r="P424" s="75"/>
      <c r="Q424" s="75"/>
      <c r="R424" s="75"/>
      <c r="S424" s="75"/>
      <c r="T424" s="75"/>
      <c r="U424" s="75"/>
      <c r="V424" s="75"/>
      <c r="W424" s="75"/>
      <c r="X424" s="75"/>
      <c r="Y424" s="75"/>
      <c r="Z424" s="75"/>
      <c r="AA424" s="75"/>
      <c r="AB424" s="75"/>
    </row>
    <row r="425" ht="12.75" customHeight="1">
      <c r="A425" t="s" s="78">
        <v>488</v>
      </c>
      <c r="B425" s="98"/>
      <c r="C425" t="s" s="116">
        <v>149</v>
      </c>
      <c r="D425" t="s" s="79">
        <v>489</v>
      </c>
      <c r="E425" s="100"/>
      <c r="F425" s="101"/>
      <c r="G425" s="102">
        <v>6900</v>
      </c>
      <c r="H425" s="103" cm="1">
        <f t="array" ref="H425">G425/I425</f>
        <v>88.3743842364532</v>
      </c>
      <c r="I425" s="104" cm="1">
        <f t="array" ref="I425">I424</f>
        <v>78.07692307692309</v>
      </c>
      <c r="J425" s="105"/>
      <c r="K425" s="101"/>
      <c r="L425" s="96"/>
      <c r="M425" s="75"/>
      <c r="N425" s="75"/>
      <c r="O425" s="75"/>
      <c r="P425" s="75"/>
      <c r="Q425" s="75"/>
      <c r="R425" s="75"/>
      <c r="S425" s="75"/>
      <c r="T425" s="75"/>
      <c r="U425" s="75"/>
      <c r="V425" s="75"/>
      <c r="W425" s="75"/>
      <c r="X425" s="75"/>
      <c r="Y425" s="75"/>
      <c r="Z425" s="75"/>
      <c r="AA425" s="75"/>
      <c r="AB425" s="75"/>
    </row>
    <row r="426" ht="12.75" customHeight="1">
      <c r="A426" s="170">
        <v>43985</v>
      </c>
      <c r="B426" s="107"/>
      <c r="C426" t="s" s="115">
        <v>32</v>
      </c>
      <c r="D426" t="s" s="109">
        <v>490</v>
      </c>
      <c r="E426" s="110"/>
      <c r="F426" s="111"/>
      <c r="G426" s="112">
        <v>219812.8</v>
      </c>
      <c r="H426" s="113">
        <v>2818</v>
      </c>
      <c r="I426" s="114" cm="1">
        <f t="array" ref="I426">G426/H426</f>
        <v>78.003122782115</v>
      </c>
      <c r="J426" s="105"/>
      <c r="K426" s="101"/>
      <c r="L426" s="96"/>
      <c r="M426" s="75"/>
      <c r="N426" s="75"/>
      <c r="O426" s="75"/>
      <c r="P426" s="75"/>
      <c r="Q426" s="75"/>
      <c r="R426" s="75"/>
      <c r="S426" s="75"/>
      <c r="T426" s="75"/>
      <c r="U426" s="75"/>
      <c r="V426" s="75"/>
      <c r="W426" s="75"/>
      <c r="X426" s="75"/>
      <c r="Y426" s="75"/>
      <c r="Z426" s="75"/>
      <c r="AA426" s="75"/>
      <c r="AB426" s="75"/>
    </row>
    <row r="427" ht="12.75" customHeight="1">
      <c r="A427" s="169">
        <v>44015</v>
      </c>
      <c r="B427" s="98"/>
      <c r="C427" t="s" s="116">
        <v>99</v>
      </c>
      <c r="D427" t="s" s="79">
        <v>491</v>
      </c>
      <c r="E427" s="100"/>
      <c r="F427" s="101"/>
      <c r="G427" s="102">
        <v>6521.47</v>
      </c>
      <c r="H427" s="103" cm="1">
        <f t="array" ref="H427">G427/I427</f>
        <v>83.6052425518441</v>
      </c>
      <c r="I427" s="104" cm="1">
        <f t="array" ref="I427">I426</f>
        <v>78.003122782115</v>
      </c>
      <c r="J427" s="105"/>
      <c r="K427" s="101"/>
      <c r="L427" s="96"/>
      <c r="M427" s="75"/>
      <c r="N427" s="75"/>
      <c r="O427" s="75"/>
      <c r="P427" s="75"/>
      <c r="Q427" s="75"/>
      <c r="R427" s="75"/>
      <c r="S427" s="75"/>
      <c r="T427" s="75"/>
      <c r="U427" s="75"/>
      <c r="V427" s="75"/>
      <c r="W427" s="75"/>
      <c r="X427" s="75"/>
      <c r="Y427" s="75"/>
      <c r="Z427" s="75"/>
      <c r="AA427" s="75"/>
      <c r="AB427" s="75"/>
    </row>
    <row r="428" ht="12.75" customHeight="1">
      <c r="A428" s="170">
        <v>44015</v>
      </c>
      <c r="B428" s="107"/>
      <c r="C428" t="s" s="115">
        <v>41</v>
      </c>
      <c r="D428" t="s" s="109">
        <v>492</v>
      </c>
      <c r="E428" s="110"/>
      <c r="F428" s="111"/>
      <c r="G428" s="112">
        <v>64325.09</v>
      </c>
      <c r="H428" s="113" cm="1">
        <f t="array" ref="H428">G428/I428</f>
        <v>824.647625706965</v>
      </c>
      <c r="I428" s="114" cm="1">
        <f t="array" ref="I428">I427</f>
        <v>78.003122782115</v>
      </c>
      <c r="J428" s="105"/>
      <c r="K428" s="101"/>
      <c r="L428" s="96"/>
      <c r="M428" s="75"/>
      <c r="N428" s="75"/>
      <c r="O428" s="75"/>
      <c r="P428" s="75"/>
      <c r="Q428" s="75"/>
      <c r="R428" s="75"/>
      <c r="S428" s="75"/>
      <c r="T428" s="75"/>
      <c r="U428" s="75"/>
      <c r="V428" s="75"/>
      <c r="W428" s="75"/>
      <c r="X428" s="75"/>
      <c r="Y428" s="75"/>
      <c r="Z428" s="75"/>
      <c r="AA428" s="75"/>
      <c r="AB428" s="75"/>
    </row>
    <row r="429" ht="12.75" customHeight="1">
      <c r="A429" s="169">
        <v>44107</v>
      </c>
      <c r="B429" s="98"/>
      <c r="C429" t="s" s="116">
        <v>101</v>
      </c>
      <c r="D429" t="s" s="79">
        <v>493</v>
      </c>
      <c r="E429" s="100"/>
      <c r="F429" s="101"/>
      <c r="G429" s="102">
        <v>312570.52</v>
      </c>
      <c r="H429" s="103" cm="1">
        <f t="array" ref="H429">G429/I429</f>
        <v>4007.153929889430</v>
      </c>
      <c r="I429" s="104" cm="1">
        <f t="array" ref="I429">I428</f>
        <v>78.003122782115</v>
      </c>
      <c r="J429" s="105"/>
      <c r="K429" s="101"/>
      <c r="L429" s="96"/>
      <c r="M429" s="75"/>
      <c r="N429" s="75"/>
      <c r="O429" s="75"/>
      <c r="P429" s="75"/>
      <c r="Q429" s="75"/>
      <c r="R429" s="75"/>
      <c r="S429" s="75"/>
      <c r="T429" s="75"/>
      <c r="U429" s="75"/>
      <c r="V429" s="75"/>
      <c r="W429" s="75"/>
      <c r="X429" s="75"/>
      <c r="Y429" s="75"/>
      <c r="Z429" s="75"/>
      <c r="AA429" s="75"/>
      <c r="AB429" s="75"/>
    </row>
    <row r="430" ht="12.75" customHeight="1">
      <c r="A430" s="170">
        <v>44107</v>
      </c>
      <c r="B430" s="107"/>
      <c r="C430" t="s" s="115">
        <v>494</v>
      </c>
      <c r="D430" t="s" s="109">
        <v>495</v>
      </c>
      <c r="E430" s="110"/>
      <c r="F430" s="111"/>
      <c r="G430" s="112">
        <v>80000</v>
      </c>
      <c r="H430" s="113">
        <v>1000</v>
      </c>
      <c r="I430" s="114" cm="1">
        <f t="array" ref="I430">G430/H430</f>
        <v>80</v>
      </c>
      <c r="J430" s="105"/>
      <c r="K430" s="101"/>
      <c r="L430" s="96"/>
      <c r="M430" s="75"/>
      <c r="N430" s="75"/>
      <c r="O430" s="75"/>
      <c r="P430" s="75"/>
      <c r="Q430" s="75"/>
      <c r="R430" s="75"/>
      <c r="S430" s="75"/>
      <c r="T430" s="75"/>
      <c r="U430" s="75"/>
      <c r="V430" s="75"/>
      <c r="W430" s="75"/>
      <c r="X430" s="75"/>
      <c r="Y430" s="75"/>
      <c r="Z430" s="75"/>
      <c r="AA430" s="75"/>
      <c r="AB430" s="75"/>
    </row>
    <row r="431" ht="12.75" customHeight="1">
      <c r="A431" t="s" s="78">
        <v>496</v>
      </c>
      <c r="B431" s="98"/>
      <c r="C431" t="s" s="116">
        <v>41</v>
      </c>
      <c r="D431" t="s" s="79">
        <v>497</v>
      </c>
      <c r="E431" s="100"/>
      <c r="F431" s="101"/>
      <c r="G431" s="102">
        <v>89.29000000000001</v>
      </c>
      <c r="H431" s="103" cm="1">
        <f t="array" ref="H431">G431/I431</f>
        <v>1.06297619047619</v>
      </c>
      <c r="I431" s="104">
        <v>84</v>
      </c>
      <c r="J431" s="105"/>
      <c r="K431" s="101"/>
      <c r="L431" s="96"/>
      <c r="M431" s="75"/>
      <c r="N431" s="75"/>
      <c r="O431" s="75"/>
      <c r="P431" s="75"/>
      <c r="Q431" s="75"/>
      <c r="R431" s="75"/>
      <c r="S431" s="75"/>
      <c r="T431" s="75"/>
      <c r="U431" s="75"/>
      <c r="V431" s="75"/>
      <c r="W431" s="75"/>
      <c r="X431" s="75"/>
      <c r="Y431" s="75"/>
      <c r="Z431" s="75"/>
      <c r="AA431" s="75"/>
      <c r="AB431" s="75"/>
    </row>
    <row r="432" ht="12.75" customHeight="1">
      <c r="A432" s="170">
        <v>44016</v>
      </c>
      <c r="B432" s="124">
        <v>1651</v>
      </c>
      <c r="C432" t="s" s="115">
        <v>255</v>
      </c>
      <c r="D432" t="s" s="109">
        <v>498</v>
      </c>
      <c r="E432" s="110"/>
      <c r="F432" s="111"/>
      <c r="G432" s="112">
        <v>323718.66</v>
      </c>
      <c r="H432" s="113">
        <v>2690</v>
      </c>
      <c r="I432" s="114" cm="1">
        <f t="array" ref="I432">G432/H432</f>
        <v>120.341509293680</v>
      </c>
      <c r="J432" s="105"/>
      <c r="K432" s="101"/>
      <c r="L432" s="96"/>
      <c r="M432" s="75"/>
      <c r="N432" s="75"/>
      <c r="O432" s="75"/>
      <c r="P432" s="75"/>
      <c r="Q432" s="75"/>
      <c r="R432" s="75"/>
      <c r="S432" s="75"/>
      <c r="T432" s="75"/>
      <c r="U432" s="75"/>
      <c r="V432" s="75"/>
      <c r="W432" s="75"/>
      <c r="X432" s="75"/>
      <c r="Y432" s="75"/>
      <c r="Z432" s="75"/>
      <c r="AA432" s="75"/>
      <c r="AB432" s="75"/>
    </row>
    <row r="433" ht="12.75" customHeight="1">
      <c r="A433" t="s" s="78">
        <v>499</v>
      </c>
      <c r="B433" s="121">
        <v>626</v>
      </c>
      <c r="C433" t="s" s="116">
        <v>101</v>
      </c>
      <c r="D433" t="s" s="79">
        <v>500</v>
      </c>
      <c r="E433" s="100"/>
      <c r="F433" s="101"/>
      <c r="G433" s="102">
        <v>312570.52</v>
      </c>
      <c r="H433" s="103">
        <v>3722</v>
      </c>
      <c r="I433" s="104" cm="1">
        <f t="array" ref="I433">G433/H433</f>
        <v>83.979183234820</v>
      </c>
      <c r="J433" s="105"/>
      <c r="K433" s="101"/>
      <c r="L433" s="96"/>
      <c r="M433" s="75"/>
      <c r="N433" s="75"/>
      <c r="O433" s="75"/>
      <c r="P433" s="75"/>
      <c r="Q433" s="75"/>
      <c r="R433" s="75"/>
      <c r="S433" s="75"/>
      <c r="T433" s="75"/>
      <c r="U433" s="75"/>
      <c r="V433" s="75"/>
      <c r="W433" s="75"/>
      <c r="X433" s="75"/>
      <c r="Y433" s="75"/>
      <c r="Z433" s="75"/>
      <c r="AA433" s="75"/>
      <c r="AB433" s="75"/>
    </row>
    <row r="434" ht="12.75" customHeight="1">
      <c r="A434" t="s" s="145">
        <v>501</v>
      </c>
      <c r="B434" s="107"/>
      <c r="C434" t="s" s="115">
        <v>99</v>
      </c>
      <c r="D434" t="s" s="109">
        <v>502</v>
      </c>
      <c r="E434" s="110"/>
      <c r="F434" s="111"/>
      <c r="G434" s="112">
        <v>9387.450000000001</v>
      </c>
      <c r="H434" s="113" cm="1">
        <f t="array" ref="H434">G434/I434</f>
        <v>93.8745</v>
      </c>
      <c r="I434" s="114">
        <v>100</v>
      </c>
      <c r="J434" s="105"/>
      <c r="K434" s="101"/>
      <c r="L434" s="96"/>
      <c r="M434" s="75"/>
      <c r="N434" s="75"/>
      <c r="O434" s="75"/>
      <c r="P434" s="75"/>
      <c r="Q434" s="75"/>
      <c r="R434" s="75"/>
      <c r="S434" s="75"/>
      <c r="T434" s="75"/>
      <c r="U434" s="75"/>
      <c r="V434" s="75"/>
      <c r="W434" s="75"/>
      <c r="X434" s="75"/>
      <c r="Y434" s="75"/>
      <c r="Z434" s="75"/>
      <c r="AA434" s="75"/>
      <c r="AB434" s="75"/>
    </row>
    <row r="435" ht="12.75" customHeight="1">
      <c r="A435" s="97">
        <v>43956</v>
      </c>
      <c r="B435" t="s" s="78">
        <v>503</v>
      </c>
      <c r="C435" t="s" s="116">
        <v>255</v>
      </c>
      <c r="D435" t="s" s="79">
        <v>504</v>
      </c>
      <c r="E435" s="100"/>
      <c r="F435" s="101"/>
      <c r="G435" s="102">
        <v>2134770</v>
      </c>
      <c r="H435" s="103" cm="1">
        <f t="array" ref="H435">6052+8235+8235</f>
        <v>22522</v>
      </c>
      <c r="I435" s="104" cm="1">
        <f t="array" ref="I435">G435/H435</f>
        <v>94.78598703489919</v>
      </c>
      <c r="J435" s="105"/>
      <c r="K435" s="101"/>
      <c r="L435" s="96"/>
      <c r="M435" s="75"/>
      <c r="N435" s="75"/>
      <c r="O435" s="75"/>
      <c r="P435" s="75"/>
      <c r="Q435" s="75"/>
      <c r="R435" s="75"/>
      <c r="S435" s="75"/>
      <c r="T435" s="75"/>
      <c r="U435" s="75"/>
      <c r="V435" s="75"/>
      <c r="W435" s="75"/>
      <c r="X435" s="75"/>
      <c r="Y435" s="75"/>
      <c r="Z435" s="75"/>
      <c r="AA435" s="75"/>
      <c r="AB435" s="75"/>
    </row>
    <row r="436" ht="12.75" customHeight="1">
      <c r="A436" s="106">
        <v>43956</v>
      </c>
      <c r="B436" s="124">
        <v>627</v>
      </c>
      <c r="C436" t="s" s="115">
        <v>101</v>
      </c>
      <c r="D436" t="s" s="109">
        <v>505</v>
      </c>
      <c r="E436" s="110"/>
      <c r="F436" s="111"/>
      <c r="G436" s="112">
        <v>312570.52</v>
      </c>
      <c r="H436" s="113">
        <v>2604</v>
      </c>
      <c r="I436" s="114" cm="1">
        <f t="array" ref="I436">G436/H436</f>
        <v>120.034761904762</v>
      </c>
      <c r="J436" s="105"/>
      <c r="K436" s="101"/>
      <c r="L436" s="96"/>
      <c r="M436" s="75"/>
      <c r="N436" s="75"/>
      <c r="O436" s="75"/>
      <c r="P436" s="75"/>
      <c r="Q436" s="75"/>
      <c r="R436" s="75"/>
      <c r="S436" s="75"/>
      <c r="T436" s="75"/>
      <c r="U436" s="75"/>
      <c r="V436" s="75"/>
      <c r="W436" s="75"/>
      <c r="X436" s="75"/>
      <c r="Y436" s="75"/>
      <c r="Z436" s="75"/>
      <c r="AA436" s="75"/>
      <c r="AB436" s="75"/>
    </row>
    <row r="437" ht="12.75" customHeight="1">
      <c r="A437" t="s" s="78">
        <v>506</v>
      </c>
      <c r="B437" s="98"/>
      <c r="C437" t="s" s="116">
        <v>34</v>
      </c>
      <c r="D437" t="s" s="79">
        <v>507</v>
      </c>
      <c r="E437" s="100"/>
      <c r="F437" s="101"/>
      <c r="G437" s="102">
        <v>1837.51</v>
      </c>
      <c r="H437" s="103" cm="1">
        <f t="array" ref="H437">G437/I437</f>
        <v>14.355546875</v>
      </c>
      <c r="I437" s="104">
        <v>128</v>
      </c>
      <c r="J437" s="105"/>
      <c r="K437" s="101"/>
      <c r="L437" t="s" s="172">
        <v>508</v>
      </c>
      <c r="M437" s="75"/>
      <c r="N437" s="75"/>
      <c r="O437" s="75"/>
      <c r="P437" s="75"/>
      <c r="Q437" s="75"/>
      <c r="R437" s="75"/>
      <c r="S437" s="75"/>
      <c r="T437" s="75"/>
      <c r="U437" s="75"/>
      <c r="V437" s="75"/>
      <c r="W437" s="75"/>
      <c r="X437" s="75"/>
      <c r="Y437" s="75"/>
      <c r="Z437" s="75"/>
      <c r="AA437" s="75"/>
      <c r="AB437" s="75"/>
    </row>
    <row r="438" ht="12.75" customHeight="1">
      <c r="A438" t="s" s="145">
        <v>506</v>
      </c>
      <c r="B438" s="124">
        <v>15158</v>
      </c>
      <c r="C438" t="s" s="115">
        <v>278</v>
      </c>
      <c r="D438" t="s" s="109">
        <v>509</v>
      </c>
      <c r="E438" s="110"/>
      <c r="F438" s="111"/>
      <c r="G438" s="112">
        <v>6494.6</v>
      </c>
      <c r="H438" s="113">
        <v>50</v>
      </c>
      <c r="I438" s="114" cm="1">
        <f t="array" ref="I438">G438/H438</f>
        <v>129.892</v>
      </c>
      <c r="J438" s="105"/>
      <c r="K438" s="101"/>
      <c r="L438" s="96"/>
      <c r="M438" s="75"/>
      <c r="N438" s="75"/>
      <c r="O438" s="75"/>
      <c r="P438" s="75"/>
      <c r="Q438" s="75"/>
      <c r="R438" s="75"/>
      <c r="S438" s="75"/>
      <c r="T438" s="75"/>
      <c r="U438" s="75"/>
      <c r="V438" s="75"/>
      <c r="W438" s="75"/>
      <c r="X438" s="75"/>
      <c r="Y438" s="75"/>
      <c r="Z438" s="75"/>
      <c r="AA438" s="75"/>
      <c r="AB438" s="75"/>
    </row>
    <row r="439" ht="12.75" customHeight="1">
      <c r="A439" t="s" s="78">
        <v>506</v>
      </c>
      <c r="B439" s="121">
        <v>15160</v>
      </c>
      <c r="C439" t="s" s="116">
        <v>278</v>
      </c>
      <c r="D439" t="s" s="79">
        <v>509</v>
      </c>
      <c r="E439" s="100"/>
      <c r="F439" s="101"/>
      <c r="G439" s="102">
        <v>1585.31</v>
      </c>
      <c r="H439" s="103">
        <v>12</v>
      </c>
      <c r="I439" s="104" cm="1">
        <f t="array" ref="I439">G439/H439</f>
        <v>132.109166666667</v>
      </c>
      <c r="J439" s="105"/>
      <c r="K439" s="101"/>
      <c r="L439" s="96"/>
      <c r="M439" s="75"/>
      <c r="N439" s="75"/>
      <c r="O439" s="75"/>
      <c r="P439" s="75"/>
      <c r="Q439" s="75"/>
      <c r="R439" s="75"/>
      <c r="S439" s="75"/>
      <c r="T439" s="75"/>
      <c r="U439" s="75"/>
      <c r="V439" s="75"/>
      <c r="W439" s="75"/>
      <c r="X439" s="75"/>
      <c r="Y439" s="75"/>
      <c r="Z439" s="75"/>
      <c r="AA439" s="75"/>
      <c r="AB439" s="75"/>
    </row>
    <row r="440" ht="12.75" customHeight="1">
      <c r="A440" t="s" s="145">
        <v>506</v>
      </c>
      <c r="B440" s="124">
        <v>1894</v>
      </c>
      <c r="C440" t="s" s="115">
        <v>255</v>
      </c>
      <c r="D440" t="s" s="109">
        <v>510</v>
      </c>
      <c r="E440" s="110"/>
      <c r="F440" s="111"/>
      <c r="G440" s="112">
        <v>2170</v>
      </c>
      <c r="H440" s="113">
        <v>17</v>
      </c>
      <c r="I440" s="114" cm="1">
        <f t="array" ref="I440">G440/H440</f>
        <v>127.647058823529</v>
      </c>
      <c r="J440" s="105"/>
      <c r="K440" s="101"/>
      <c r="L440" s="96"/>
      <c r="M440" s="75"/>
      <c r="N440" s="75"/>
      <c r="O440" s="75"/>
      <c r="P440" s="75"/>
      <c r="Q440" s="75"/>
      <c r="R440" s="75"/>
      <c r="S440" s="75"/>
      <c r="T440" s="75"/>
      <c r="U440" s="75"/>
      <c r="V440" s="75"/>
      <c r="W440" s="75"/>
      <c r="X440" s="75"/>
      <c r="Y440" s="75"/>
      <c r="Z440" s="75"/>
      <c r="AA440" s="75"/>
      <c r="AB440" s="75"/>
    </row>
    <row r="441" ht="12.75" customHeight="1">
      <c r="A441" t="s" s="78">
        <v>506</v>
      </c>
      <c r="B441" s="121">
        <v>1898</v>
      </c>
      <c r="C441" t="s" s="116">
        <v>255</v>
      </c>
      <c r="D441" t="s" s="79">
        <v>511</v>
      </c>
      <c r="E441" s="100"/>
      <c r="F441" s="101"/>
      <c r="G441" s="102">
        <v>1900</v>
      </c>
      <c r="H441" s="103">
        <v>15</v>
      </c>
      <c r="I441" s="104" cm="1">
        <f t="array" ref="I441">G441/H441</f>
        <v>126.666666666667</v>
      </c>
      <c r="J441" s="105"/>
      <c r="K441" s="101"/>
      <c r="L441" s="96"/>
      <c r="M441" s="75"/>
      <c r="N441" s="75"/>
      <c r="O441" s="75"/>
      <c r="P441" s="75"/>
      <c r="Q441" s="75"/>
      <c r="R441" s="75"/>
      <c r="S441" s="75"/>
      <c r="T441" s="75"/>
      <c r="U441" s="75"/>
      <c r="V441" s="75"/>
      <c r="W441" s="75"/>
      <c r="X441" s="75"/>
      <c r="Y441" s="75"/>
      <c r="Z441" s="75"/>
      <c r="AA441" s="75"/>
      <c r="AB441" s="75"/>
    </row>
    <row r="442" ht="12.75" customHeight="1">
      <c r="A442" t="s" s="145">
        <v>512</v>
      </c>
      <c r="B442" s="107"/>
      <c r="C442" t="s" s="115">
        <v>99</v>
      </c>
      <c r="D442" t="s" s="109">
        <v>513</v>
      </c>
      <c r="E442" s="110"/>
      <c r="F442" s="111"/>
      <c r="G442" s="112">
        <v>9387.450000000001</v>
      </c>
      <c r="H442" s="113" cm="1">
        <f t="array" ref="H442">G442/I442</f>
        <v>73.33945312500001</v>
      </c>
      <c r="I442" s="114" cm="1">
        <f t="array" ref="I442">I437</f>
        <v>128</v>
      </c>
      <c r="J442" s="105"/>
      <c r="K442" s="101"/>
      <c r="L442" s="96"/>
      <c r="M442" s="75"/>
      <c r="N442" s="75"/>
      <c r="O442" s="75"/>
      <c r="P442" s="75"/>
      <c r="Q442" s="75"/>
      <c r="R442" s="75"/>
      <c r="S442" s="75"/>
      <c r="T442" s="75"/>
      <c r="U442" s="75"/>
      <c r="V442" s="75"/>
      <c r="W442" s="75"/>
      <c r="X442" s="75"/>
      <c r="Y442" s="75"/>
      <c r="Z442" s="75"/>
      <c r="AA442" s="75"/>
      <c r="AB442" s="75"/>
    </row>
    <row r="443" ht="12.75" customHeight="1">
      <c r="A443" t="s" s="78">
        <v>514</v>
      </c>
      <c r="B443" s="121">
        <v>2044</v>
      </c>
      <c r="C443" t="s" s="116">
        <v>255</v>
      </c>
      <c r="D443" t="s" s="79">
        <v>511</v>
      </c>
      <c r="E443" s="100"/>
      <c r="F443" s="101"/>
      <c r="G443" s="102">
        <v>1570</v>
      </c>
      <c r="H443" s="103">
        <v>14</v>
      </c>
      <c r="I443" s="104" cm="1">
        <f t="array" ref="I443">G443/H443</f>
        <v>112.142857142857</v>
      </c>
      <c r="J443" s="105"/>
      <c r="K443" s="101"/>
      <c r="L443" s="96"/>
      <c r="M443" s="75"/>
      <c r="N443" s="75"/>
      <c r="O443" s="75"/>
      <c r="P443" s="75"/>
      <c r="Q443" s="75"/>
      <c r="R443" s="75"/>
      <c r="S443" s="75"/>
      <c r="T443" s="75"/>
      <c r="U443" s="75"/>
      <c r="V443" s="75"/>
      <c r="W443" s="75"/>
      <c r="X443" s="75"/>
      <c r="Y443" s="75"/>
      <c r="Z443" s="75"/>
      <c r="AA443" s="75"/>
      <c r="AB443" s="75"/>
    </row>
    <row r="444" ht="12.75" customHeight="1">
      <c r="A444" t="s" s="145">
        <v>514</v>
      </c>
      <c r="B444" s="107"/>
      <c r="C444" t="s" s="115">
        <v>34</v>
      </c>
      <c r="D444" t="s" s="109">
        <v>515</v>
      </c>
      <c r="E444" s="110"/>
      <c r="F444" s="111"/>
      <c r="G444" s="112">
        <v>2118.78</v>
      </c>
      <c r="H444" s="113" cm="1">
        <f t="array" ref="H444">G444/I444</f>
        <v>18.8935796178344</v>
      </c>
      <c r="I444" s="114" cm="1">
        <f t="array" ref="I444">I443</f>
        <v>112.142857142857</v>
      </c>
      <c r="J444" s="105"/>
      <c r="K444" s="101"/>
      <c r="L444" s="96"/>
      <c r="M444" s="75"/>
      <c r="N444" s="75"/>
      <c r="O444" s="75"/>
      <c r="P444" s="75"/>
      <c r="Q444" s="75"/>
      <c r="R444" s="75"/>
      <c r="S444" s="75"/>
      <c r="T444" s="75"/>
      <c r="U444" s="75"/>
      <c r="V444" s="75"/>
      <c r="W444" s="75"/>
      <c r="X444" s="75"/>
      <c r="Y444" s="75"/>
      <c r="Z444" s="75"/>
      <c r="AA444" s="75"/>
      <c r="AB444" s="75"/>
    </row>
    <row r="445" ht="12.75" customHeight="1">
      <c r="A445" t="s" s="78">
        <v>514</v>
      </c>
      <c r="B445" s="98"/>
      <c r="C445" t="s" s="116">
        <v>34</v>
      </c>
      <c r="D445" t="s" s="79">
        <v>516</v>
      </c>
      <c r="E445" s="100"/>
      <c r="F445" s="101"/>
      <c r="G445" s="102">
        <v>1922.72</v>
      </c>
      <c r="H445" s="103" cm="1">
        <f t="array" ref="H445">G445/I445</f>
        <v>17.1452738853503</v>
      </c>
      <c r="I445" s="104" cm="1">
        <f t="array" ref="I445">I444</f>
        <v>112.142857142857</v>
      </c>
      <c r="J445" s="105"/>
      <c r="K445" s="101"/>
      <c r="L445" s="96"/>
      <c r="M445" s="75"/>
      <c r="N445" s="75"/>
      <c r="O445" s="75"/>
      <c r="P445" s="75"/>
      <c r="Q445" s="75"/>
      <c r="R445" s="75"/>
      <c r="S445" s="75"/>
      <c r="T445" s="75"/>
      <c r="U445" s="75"/>
      <c r="V445" s="75"/>
      <c r="W445" s="75"/>
      <c r="X445" s="75"/>
      <c r="Y445" s="75"/>
      <c r="Z445" s="75"/>
      <c r="AA445" s="75"/>
      <c r="AB445" s="75"/>
    </row>
    <row r="446" ht="12.75" customHeight="1">
      <c r="A446" s="170">
        <v>43867</v>
      </c>
      <c r="B446" s="124">
        <v>8595</v>
      </c>
      <c r="C446" t="s" s="115">
        <v>220</v>
      </c>
      <c r="D446" t="s" s="109">
        <v>517</v>
      </c>
      <c r="E446" s="110"/>
      <c r="F446" s="111"/>
      <c r="G446" s="112">
        <v>529976.84</v>
      </c>
      <c r="H446" s="113">
        <v>4446</v>
      </c>
      <c r="I446" s="114" cm="1">
        <f t="array" ref="I446">I445</f>
        <v>112.142857142857</v>
      </c>
      <c r="J446" s="105"/>
      <c r="K446" s="101"/>
      <c r="L446" s="96"/>
      <c r="M446" s="75"/>
      <c r="N446" s="75"/>
      <c r="O446" s="75"/>
      <c r="P446" s="75"/>
      <c r="Q446" s="75"/>
      <c r="R446" s="75"/>
      <c r="S446" s="75"/>
      <c r="T446" s="75"/>
      <c r="U446" s="75"/>
      <c r="V446" s="75"/>
      <c r="W446" s="75"/>
      <c r="X446" s="75"/>
      <c r="Y446" s="75"/>
      <c r="Z446" s="75"/>
      <c r="AA446" s="75"/>
      <c r="AB446" s="75"/>
    </row>
    <row r="447" ht="12.75" customHeight="1">
      <c r="A447" s="169">
        <v>43896</v>
      </c>
      <c r="B447" s="121">
        <v>2086</v>
      </c>
      <c r="C447" t="s" s="116">
        <v>255</v>
      </c>
      <c r="D447" t="s" s="79">
        <v>518</v>
      </c>
      <c r="E447" s="100"/>
      <c r="F447" s="101"/>
      <c r="G447" s="102">
        <v>1260</v>
      </c>
      <c r="H447" s="103" cm="1">
        <f t="array" ref="H447">G447/I447</f>
        <v>11.2356687898089</v>
      </c>
      <c r="I447" s="104" cm="1">
        <f t="array" ref="I447">I446</f>
        <v>112.142857142857</v>
      </c>
      <c r="J447" s="105"/>
      <c r="K447" s="101"/>
      <c r="L447" s="96"/>
      <c r="M447" s="75"/>
      <c r="N447" s="75"/>
      <c r="O447" s="75"/>
      <c r="P447" s="75"/>
      <c r="Q447" s="75"/>
      <c r="R447" s="75"/>
      <c r="S447" s="75"/>
      <c r="T447" s="75"/>
      <c r="U447" s="75"/>
      <c r="V447" s="75"/>
      <c r="W447" s="75"/>
      <c r="X447" s="75"/>
      <c r="Y447" s="75"/>
      <c r="Z447" s="75"/>
      <c r="AA447" s="75"/>
      <c r="AB447" s="75"/>
    </row>
    <row r="448" ht="12.75" customHeight="1">
      <c r="A448" s="170">
        <v>44049</v>
      </c>
      <c r="B448" s="107"/>
      <c r="C448" t="s" s="115">
        <v>99</v>
      </c>
      <c r="D448" t="s" s="109">
        <v>519</v>
      </c>
      <c r="E448" s="110"/>
      <c r="F448" s="111"/>
      <c r="G448" s="112">
        <v>1786.13</v>
      </c>
      <c r="H448" s="113" cm="1">
        <f t="array" ref="H448">G448/I448</f>
        <v>15.9272738853503</v>
      </c>
      <c r="I448" s="114" cm="1">
        <f t="array" ref="I448">I447</f>
        <v>112.142857142857</v>
      </c>
      <c r="J448" s="105"/>
      <c r="K448" s="101"/>
      <c r="L448" s="96"/>
      <c r="M448" s="75"/>
      <c r="N448" s="75"/>
      <c r="O448" s="75"/>
      <c r="P448" s="75"/>
      <c r="Q448" s="75"/>
      <c r="R448" s="75"/>
      <c r="S448" s="75"/>
      <c r="T448" s="75"/>
      <c r="U448" s="75"/>
      <c r="V448" s="75"/>
      <c r="W448" s="75"/>
      <c r="X448" s="75"/>
      <c r="Y448" s="75"/>
      <c r="Z448" s="75"/>
      <c r="AA448" s="75"/>
      <c r="AB448" s="75"/>
    </row>
    <row r="449" ht="12.75" customHeight="1">
      <c r="A449" s="169">
        <v>44110</v>
      </c>
      <c r="B449" s="98"/>
      <c r="C449" t="s" s="116">
        <v>41</v>
      </c>
      <c r="D449" t="s" s="79">
        <v>520</v>
      </c>
      <c r="E449" s="100"/>
      <c r="F449" s="101"/>
      <c r="G449" s="102">
        <v>12378.07</v>
      </c>
      <c r="H449" s="103" cm="1">
        <f t="array" ref="H449">G449/I449</f>
        <v>110.377694267516</v>
      </c>
      <c r="I449" s="104" cm="1">
        <f t="array" ref="I449">I448</f>
        <v>112.142857142857</v>
      </c>
      <c r="J449" s="105"/>
      <c r="K449" s="101"/>
      <c r="L449" s="96"/>
      <c r="M449" s="75"/>
      <c r="N449" s="75"/>
      <c r="O449" s="75"/>
      <c r="P449" s="75"/>
      <c r="Q449" s="75"/>
      <c r="R449" s="75"/>
      <c r="S449" s="75"/>
      <c r="T449" s="75"/>
      <c r="U449" s="75"/>
      <c r="V449" s="75"/>
      <c r="W449" s="75"/>
      <c r="X449" s="75"/>
      <c r="Y449" s="75"/>
      <c r="Z449" s="75"/>
      <c r="AA449" s="75"/>
      <c r="AB449" s="75"/>
    </row>
    <row r="450" ht="12.75" customHeight="1">
      <c r="A450" t="s" s="145">
        <v>521</v>
      </c>
      <c r="B450" s="107"/>
      <c r="C450" t="s" s="115">
        <v>278</v>
      </c>
      <c r="D450" t="s" s="109">
        <v>522</v>
      </c>
      <c r="E450" s="110"/>
      <c r="F450" s="111"/>
      <c r="G450" s="112">
        <v>6081.3</v>
      </c>
      <c r="H450" s="113">
        <v>67.5</v>
      </c>
      <c r="I450" s="114" cm="1">
        <f t="array" ref="I450">I449</f>
        <v>112.142857142857</v>
      </c>
      <c r="J450" s="105"/>
      <c r="K450" s="101"/>
      <c r="L450" s="96"/>
      <c r="M450" s="75"/>
      <c r="N450" s="75"/>
      <c r="O450" s="75"/>
      <c r="P450" s="75"/>
      <c r="Q450" s="75"/>
      <c r="R450" s="75"/>
      <c r="S450" s="75"/>
      <c r="T450" s="75"/>
      <c r="U450" s="75"/>
      <c r="V450" s="75"/>
      <c r="W450" s="75"/>
      <c r="X450" s="75"/>
      <c r="Y450" s="75"/>
      <c r="Z450" s="75"/>
      <c r="AA450" s="75"/>
      <c r="AB450" s="75"/>
    </row>
    <row r="451" ht="12.75" customHeight="1">
      <c r="A451" t="s" s="78">
        <v>521</v>
      </c>
      <c r="B451" s="98"/>
      <c r="C451" t="s" s="116">
        <v>278</v>
      </c>
      <c r="D451" t="s" s="79">
        <v>523</v>
      </c>
      <c r="E451" s="100"/>
      <c r="F451" s="101"/>
      <c r="G451" s="102">
        <v>7319.13</v>
      </c>
      <c r="H451" s="103">
        <v>59</v>
      </c>
      <c r="I451" s="104" cm="1">
        <f t="array" ref="I451">I450</f>
        <v>112.142857142857</v>
      </c>
      <c r="J451" s="105"/>
      <c r="K451" s="101"/>
      <c r="L451" s="96"/>
      <c r="M451" s="75"/>
      <c r="N451" s="75"/>
      <c r="O451" s="75"/>
      <c r="P451" s="75"/>
      <c r="Q451" s="75"/>
      <c r="R451" s="75"/>
      <c r="S451" s="75"/>
      <c r="T451" s="75"/>
      <c r="U451" s="75"/>
      <c r="V451" s="75"/>
      <c r="W451" s="75"/>
      <c r="X451" s="75"/>
      <c r="Y451" s="75"/>
      <c r="Z451" s="75"/>
      <c r="AA451" s="75"/>
      <c r="AB451" s="75"/>
    </row>
    <row r="452" ht="12.75" customHeight="1">
      <c r="A452" s="106">
        <v>43983</v>
      </c>
      <c r="B452" s="107"/>
      <c r="C452" t="s" s="115">
        <v>65</v>
      </c>
      <c r="D452" t="s" s="109">
        <v>524</v>
      </c>
      <c r="E452" s="110"/>
      <c r="F452" s="111"/>
      <c r="G452" s="112">
        <v>500000</v>
      </c>
      <c r="H452" s="113">
        <v>5000</v>
      </c>
      <c r="I452" s="114" cm="1">
        <f t="array" ref="I452">G452/H452</f>
        <v>100</v>
      </c>
      <c r="J452" s="105"/>
      <c r="K452" s="101"/>
      <c r="L452" s="96"/>
      <c r="M452" s="75"/>
      <c r="N452" s="75"/>
      <c r="O452" s="75"/>
      <c r="P452" s="75"/>
      <c r="Q452" s="75"/>
      <c r="R452" s="75"/>
      <c r="S452" s="75"/>
      <c r="T452" s="75"/>
      <c r="U452" s="75"/>
      <c r="V452" s="75"/>
      <c r="W452" s="75"/>
      <c r="X452" s="75"/>
      <c r="Y452" s="75"/>
      <c r="Z452" s="75"/>
      <c r="AA452" s="75"/>
      <c r="AB452" s="75"/>
    </row>
    <row r="453" ht="12.75" customHeight="1">
      <c r="A453" t="s" s="78">
        <v>525</v>
      </c>
      <c r="B453" s="98"/>
      <c r="C453" t="s" s="116">
        <v>198</v>
      </c>
      <c r="D453" t="s" s="79">
        <v>526</v>
      </c>
      <c r="E453" s="100"/>
      <c r="F453" s="101"/>
      <c r="G453" s="102">
        <v>9746.719999999999</v>
      </c>
      <c r="H453" s="103">
        <v>78</v>
      </c>
      <c r="I453" s="104" cm="1">
        <f t="array" ref="I453">G453/H453</f>
        <v>124.957948717949</v>
      </c>
      <c r="J453" s="105"/>
      <c r="K453" s="101"/>
      <c r="L453" s="96"/>
      <c r="M453" s="75"/>
      <c r="N453" s="75"/>
      <c r="O453" s="75"/>
      <c r="P453" s="75"/>
      <c r="Q453" s="75"/>
      <c r="R453" s="75"/>
      <c r="S453" s="75"/>
      <c r="T453" s="75"/>
      <c r="U453" s="75"/>
      <c r="V453" s="75"/>
      <c r="W453" s="75"/>
      <c r="X453" s="75"/>
      <c r="Y453" s="75"/>
      <c r="Z453" s="75"/>
      <c r="AA453" s="75"/>
      <c r="AB453" s="75"/>
    </row>
    <row r="454" ht="12.75" customHeight="1">
      <c r="A454" t="s" s="145">
        <v>525</v>
      </c>
      <c r="B454" s="107"/>
      <c r="C454" t="s" s="115">
        <v>198</v>
      </c>
      <c r="D454" t="s" s="109">
        <v>527</v>
      </c>
      <c r="E454" s="110"/>
      <c r="F454" s="111"/>
      <c r="G454" s="112">
        <v>3029.95</v>
      </c>
      <c r="H454" s="113" cm="1">
        <f t="array" ref="H454">G454/I454</f>
        <v>24.247757194215</v>
      </c>
      <c r="I454" s="114" cm="1">
        <f t="array" ref="I454">I453</f>
        <v>124.957948717949</v>
      </c>
      <c r="J454" s="105"/>
      <c r="K454" s="101"/>
      <c r="L454" s="96"/>
      <c r="M454" s="75"/>
      <c r="N454" s="75"/>
      <c r="O454" s="75"/>
      <c r="P454" s="75"/>
      <c r="Q454" s="75"/>
      <c r="R454" s="75"/>
      <c r="S454" s="75"/>
      <c r="T454" s="75"/>
      <c r="U454" s="75"/>
      <c r="V454" s="75"/>
      <c r="W454" s="75"/>
      <c r="X454" s="75"/>
      <c r="Y454" s="75"/>
      <c r="Z454" s="75"/>
      <c r="AA454" s="75"/>
      <c r="AB454" s="75"/>
    </row>
    <row r="455" ht="12.75" customHeight="1">
      <c r="A455" t="s" s="78">
        <v>528</v>
      </c>
      <c r="B455" s="98"/>
      <c r="C455" t="s" s="116">
        <v>198</v>
      </c>
      <c r="D455" t="s" s="79">
        <v>529</v>
      </c>
      <c r="E455" s="100"/>
      <c r="F455" s="101"/>
      <c r="G455" s="102">
        <v>29079.64</v>
      </c>
      <c r="H455" s="103" cm="1">
        <f t="array" ref="H455">G455/I455</f>
        <v>232.715407850025</v>
      </c>
      <c r="I455" s="104" cm="1">
        <f t="array" ref="I455">I454</f>
        <v>124.957948717949</v>
      </c>
      <c r="J455" s="105"/>
      <c r="K455" s="101"/>
      <c r="L455" s="96"/>
      <c r="M455" s="75"/>
      <c r="N455" s="75"/>
      <c r="O455" s="75"/>
      <c r="P455" s="75"/>
      <c r="Q455" s="75"/>
      <c r="R455" s="75"/>
      <c r="S455" s="75"/>
      <c r="T455" s="75"/>
      <c r="U455" s="75"/>
      <c r="V455" s="75"/>
      <c r="W455" s="75"/>
      <c r="X455" s="75"/>
      <c r="Y455" s="75"/>
      <c r="Z455" s="75"/>
      <c r="AA455" s="75"/>
      <c r="AB455" s="75"/>
    </row>
    <row r="456" ht="12.75" customHeight="1">
      <c r="A456" s="170">
        <v>43897</v>
      </c>
      <c r="B456" s="107"/>
      <c r="C456" t="s" s="115">
        <v>530</v>
      </c>
      <c r="D456" t="s" s="109">
        <v>531</v>
      </c>
      <c r="E456" s="110"/>
      <c r="F456" s="111"/>
      <c r="G456" s="112">
        <v>77326.87</v>
      </c>
      <c r="H456" s="113">
        <v>620</v>
      </c>
      <c r="I456" s="114" cm="1">
        <f t="array" ref="I456">G456/H456</f>
        <v>124.720758064516</v>
      </c>
      <c r="J456" s="105"/>
      <c r="K456" s="101"/>
      <c r="L456" s="96"/>
      <c r="M456" s="75"/>
      <c r="N456" s="75"/>
      <c r="O456" s="75"/>
      <c r="P456" s="75"/>
      <c r="Q456" s="75"/>
      <c r="R456" s="75"/>
      <c r="S456" s="75"/>
      <c r="T456" s="75"/>
      <c r="U456" s="75"/>
      <c r="V456" s="75"/>
      <c r="W456" s="75"/>
      <c r="X456" s="75"/>
      <c r="Y456" s="75"/>
      <c r="Z456" s="75"/>
      <c r="AA456" s="75"/>
      <c r="AB456" s="75"/>
    </row>
    <row r="457" ht="12.75" customHeight="1">
      <c r="A457" s="169">
        <v>43989</v>
      </c>
      <c r="B457" s="98"/>
      <c r="C457" t="s" s="116">
        <v>188</v>
      </c>
      <c r="D457" t="s" s="79">
        <v>531</v>
      </c>
      <c r="E457" s="100"/>
      <c r="F457" s="101"/>
      <c r="G457" s="102">
        <v>1317.32</v>
      </c>
      <c r="H457" s="103" cm="1">
        <f t="array" ref="H457">G457/I457</f>
        <v>10.5621551732276</v>
      </c>
      <c r="I457" s="104" cm="1">
        <f t="array" ref="I457">I456</f>
        <v>124.720758064516</v>
      </c>
      <c r="J457" s="105"/>
      <c r="K457" s="101"/>
      <c r="L457" s="96"/>
      <c r="M457" s="75"/>
      <c r="N457" s="75"/>
      <c r="O457" s="75"/>
      <c r="P457" s="75"/>
      <c r="Q457" s="75"/>
      <c r="R457" s="75"/>
      <c r="S457" s="75"/>
      <c r="T457" s="75"/>
      <c r="U457" s="75"/>
      <c r="V457" s="75"/>
      <c r="W457" s="75"/>
      <c r="X457" s="75"/>
      <c r="Y457" s="75"/>
      <c r="Z457" s="75"/>
      <c r="AA457" s="75"/>
      <c r="AB457" s="75"/>
    </row>
    <row r="458" ht="12.75" customHeight="1">
      <c r="A458" s="170">
        <v>44050</v>
      </c>
      <c r="B458" s="107"/>
      <c r="C458" t="s" s="115">
        <v>99</v>
      </c>
      <c r="D458" t="s" s="109">
        <v>532</v>
      </c>
      <c r="E458" s="110"/>
      <c r="F458" s="111"/>
      <c r="G458" s="112">
        <v>1793.91</v>
      </c>
      <c r="H458" s="113" cm="1">
        <f t="array" ref="H458">G458/I458</f>
        <v>14.3834116135827</v>
      </c>
      <c r="I458" s="114" cm="1">
        <f t="array" ref="I458">I457</f>
        <v>124.720758064516</v>
      </c>
      <c r="J458" s="105"/>
      <c r="K458" s="101"/>
      <c r="L458" s="96"/>
      <c r="M458" s="75"/>
      <c r="N458" s="75"/>
      <c r="O458" s="75"/>
      <c r="P458" s="75"/>
      <c r="Q458" s="75"/>
      <c r="R458" s="75"/>
      <c r="S458" s="75"/>
      <c r="T458" s="75"/>
      <c r="U458" s="75"/>
      <c r="V458" s="75"/>
      <c r="W458" s="75"/>
      <c r="X458" s="75"/>
      <c r="Y458" s="75"/>
      <c r="Z458" s="75"/>
      <c r="AA458" s="75"/>
      <c r="AB458" s="75"/>
    </row>
    <row r="459" ht="12.75" customHeight="1">
      <c r="A459" t="s" s="78">
        <v>533</v>
      </c>
      <c r="B459" s="98"/>
      <c r="C459" t="s" s="116">
        <v>41</v>
      </c>
      <c r="D459" t="s" s="79">
        <v>534</v>
      </c>
      <c r="E459" s="100"/>
      <c r="F459" s="101"/>
      <c r="G459" s="102">
        <v>11780.22</v>
      </c>
      <c r="H459" s="103" cm="1">
        <f t="array" ref="H459">G459/I459</f>
        <v>94.4527613751857</v>
      </c>
      <c r="I459" s="104" cm="1">
        <f t="array" ref="I459">I458</f>
        <v>124.720758064516</v>
      </c>
      <c r="J459" s="105"/>
      <c r="K459" s="101"/>
      <c r="L459" s="96"/>
      <c r="M459" s="75"/>
      <c r="N459" s="75"/>
      <c r="O459" s="75"/>
      <c r="P459" s="75"/>
      <c r="Q459" s="75"/>
      <c r="R459" s="75"/>
      <c r="S459" s="75"/>
      <c r="T459" s="75"/>
      <c r="U459" s="75"/>
      <c r="V459" s="75"/>
      <c r="W459" s="75"/>
      <c r="X459" s="75"/>
      <c r="Y459" s="75"/>
      <c r="Z459" s="75"/>
      <c r="AA459" s="75"/>
      <c r="AB459" s="75"/>
    </row>
    <row r="460" ht="12.75" customHeight="1">
      <c r="A460" t="s" s="145">
        <v>535</v>
      </c>
      <c r="B460" s="107"/>
      <c r="C460" t="s" s="115">
        <v>228</v>
      </c>
      <c r="D460" t="s" s="109">
        <v>536</v>
      </c>
      <c r="E460" s="110"/>
      <c r="F460" s="111"/>
      <c r="G460" s="112">
        <v>459.34</v>
      </c>
      <c r="H460" s="113" cm="1">
        <f t="array" ref="H460">G460/I460</f>
        <v>3.68294746703184</v>
      </c>
      <c r="I460" s="114" cm="1">
        <f t="array" ref="I460">I459</f>
        <v>124.720758064516</v>
      </c>
      <c r="J460" s="105"/>
      <c r="K460" s="101"/>
      <c r="L460" s="96"/>
      <c r="M460" s="75"/>
      <c r="N460" s="75"/>
      <c r="O460" s="75"/>
      <c r="P460" s="75"/>
      <c r="Q460" s="75"/>
      <c r="R460" s="75"/>
      <c r="S460" s="75"/>
      <c r="T460" s="75"/>
      <c r="U460" s="75"/>
      <c r="V460" s="75"/>
      <c r="W460" s="75"/>
      <c r="X460" s="75"/>
      <c r="Y460" s="75"/>
      <c r="Z460" s="75"/>
      <c r="AA460" s="75"/>
      <c r="AB460" s="75"/>
    </row>
    <row r="461" ht="12.75" customHeight="1">
      <c r="A461" t="s" s="78">
        <v>535</v>
      </c>
      <c r="B461" s="98"/>
      <c r="C461" t="s" s="116">
        <v>228</v>
      </c>
      <c r="D461" t="s" s="79">
        <v>536</v>
      </c>
      <c r="E461" s="100"/>
      <c r="F461" s="101"/>
      <c r="G461" s="102">
        <v>13109.11</v>
      </c>
      <c r="H461" s="103" cm="1">
        <f t="array" ref="H461">G461/I461</f>
        <v>105.107683784434</v>
      </c>
      <c r="I461" s="104" cm="1">
        <f t="array" ref="I461">I460</f>
        <v>124.720758064516</v>
      </c>
      <c r="J461" s="105"/>
      <c r="K461" s="101"/>
      <c r="L461" s="96"/>
      <c r="M461" s="75"/>
      <c r="N461" s="75"/>
      <c r="O461" s="75"/>
      <c r="P461" s="75"/>
      <c r="Q461" s="75"/>
      <c r="R461" s="75"/>
      <c r="S461" s="75"/>
      <c r="T461" s="75"/>
      <c r="U461" s="75"/>
      <c r="V461" s="75"/>
      <c r="W461" s="75"/>
      <c r="X461" s="75"/>
      <c r="Y461" s="75"/>
      <c r="Z461" s="75"/>
      <c r="AA461" s="75"/>
      <c r="AB461" s="75"/>
    </row>
    <row r="462" ht="12.75" customHeight="1">
      <c r="A462" t="s" s="145">
        <v>537</v>
      </c>
      <c r="B462" s="107"/>
      <c r="C462" t="s" s="115">
        <v>153</v>
      </c>
      <c r="D462" t="s" s="109">
        <v>511</v>
      </c>
      <c r="E462" s="110"/>
      <c r="F462" s="111"/>
      <c r="G462" s="112">
        <v>11260</v>
      </c>
      <c r="H462" s="113">
        <v>87</v>
      </c>
      <c r="I462" s="114" cm="1">
        <f t="array" ref="I462">G462/H462</f>
        <v>129.425287356322</v>
      </c>
      <c r="J462" s="105"/>
      <c r="K462" s="101"/>
      <c r="L462" s="96"/>
      <c r="M462" s="75"/>
      <c r="N462" s="75"/>
      <c r="O462" s="75"/>
      <c r="P462" s="75"/>
      <c r="Q462" s="75"/>
      <c r="R462" s="75"/>
      <c r="S462" s="75"/>
      <c r="T462" s="75"/>
      <c r="U462" s="75"/>
      <c r="V462" s="75"/>
      <c r="W462" s="75"/>
      <c r="X462" s="75"/>
      <c r="Y462" s="75"/>
      <c r="Z462" s="75"/>
      <c r="AA462" s="75"/>
      <c r="AB462" s="75"/>
    </row>
    <row r="463" ht="12.75" customHeight="1">
      <c r="A463" t="s" s="78">
        <v>535</v>
      </c>
      <c r="B463" s="98"/>
      <c r="C463" t="s" s="116">
        <v>278</v>
      </c>
      <c r="D463" t="s" s="79">
        <v>538</v>
      </c>
      <c r="E463" s="100"/>
      <c r="F463" s="101"/>
      <c r="G463" s="102">
        <v>2000.23</v>
      </c>
      <c r="H463" s="103">
        <v>16</v>
      </c>
      <c r="I463" s="104" cm="1">
        <f t="array" ref="I463">G463/H463</f>
        <v>125.014375</v>
      </c>
      <c r="J463" s="105"/>
      <c r="K463" s="101"/>
      <c r="L463" s="96"/>
      <c r="M463" s="75"/>
      <c r="N463" s="75"/>
      <c r="O463" s="75"/>
      <c r="P463" s="75"/>
      <c r="Q463" s="75"/>
      <c r="R463" s="75"/>
      <c r="S463" s="75"/>
      <c r="T463" s="75"/>
      <c r="U463" s="75"/>
      <c r="V463" s="75"/>
      <c r="W463" s="75"/>
      <c r="X463" s="75"/>
      <c r="Y463" s="75"/>
      <c r="Z463" s="75"/>
      <c r="AA463" s="75"/>
      <c r="AB463" s="75"/>
    </row>
    <row r="464" ht="12.75" customHeight="1">
      <c r="A464" t="s" s="145">
        <v>539</v>
      </c>
      <c r="B464" s="107"/>
      <c r="C464" t="s" s="115">
        <v>34</v>
      </c>
      <c r="D464" t="s" s="109">
        <v>540</v>
      </c>
      <c r="E464" s="110"/>
      <c r="F464" s="111"/>
      <c r="G464" s="112">
        <v>2063.58</v>
      </c>
      <c r="H464" s="113" cm="1">
        <f t="array" ref="H464">G464/I464</f>
        <v>16.5067417247017</v>
      </c>
      <c r="I464" s="114" cm="1">
        <f t="array" ref="I464">I463</f>
        <v>125.014375</v>
      </c>
      <c r="J464" s="105"/>
      <c r="K464" s="101"/>
      <c r="L464" s="96"/>
      <c r="M464" s="75"/>
      <c r="N464" s="75"/>
      <c r="O464" s="75"/>
      <c r="P464" s="75"/>
      <c r="Q464" s="75"/>
      <c r="R464" s="75"/>
      <c r="S464" s="75"/>
      <c r="T464" s="75"/>
      <c r="U464" s="75"/>
      <c r="V464" s="75"/>
      <c r="W464" s="75"/>
      <c r="X464" s="75"/>
      <c r="Y464" s="75"/>
      <c r="Z464" s="75"/>
      <c r="AA464" s="75"/>
      <c r="AB464" s="75"/>
    </row>
    <row r="465" ht="12.75" customHeight="1">
      <c r="A465" s="169">
        <v>43898</v>
      </c>
      <c r="B465" s="98"/>
      <c r="C465" t="s" s="116">
        <v>34</v>
      </c>
      <c r="D465" t="s" s="79">
        <v>541</v>
      </c>
      <c r="E465" s="100"/>
      <c r="F465" s="101"/>
      <c r="G465" s="102">
        <v>1972.18</v>
      </c>
      <c r="H465" s="103" cm="1">
        <f t="array" ref="H465">G465/I465</f>
        <v>15.1404391559387</v>
      </c>
      <c r="I465" s="104" cm="1">
        <f t="array" ref="I465">I466</f>
        <v>130.259101449275</v>
      </c>
      <c r="J465" s="105"/>
      <c r="K465" s="101"/>
      <c r="L465" s="96"/>
      <c r="M465" s="75"/>
      <c r="N465" s="75"/>
      <c r="O465" s="75"/>
      <c r="P465" s="75"/>
      <c r="Q465" s="75"/>
      <c r="R465" s="75"/>
      <c r="S465" s="75"/>
      <c r="T465" s="75"/>
      <c r="U465" s="75"/>
      <c r="V465" s="75"/>
      <c r="W465" s="75"/>
      <c r="X465" s="75"/>
      <c r="Y465" s="75"/>
      <c r="Z465" s="75"/>
      <c r="AA465" s="75"/>
      <c r="AB465" s="75"/>
    </row>
    <row r="466" ht="12.75" customHeight="1">
      <c r="A466" s="170">
        <v>43959</v>
      </c>
      <c r="B466" s="124">
        <v>9960</v>
      </c>
      <c r="C466" t="s" s="115">
        <v>220</v>
      </c>
      <c r="D466" t="s" s="109">
        <v>542</v>
      </c>
      <c r="E466" s="110"/>
      <c r="F466" s="111"/>
      <c r="G466" s="112">
        <v>44939.39</v>
      </c>
      <c r="H466" s="113">
        <v>345</v>
      </c>
      <c r="I466" s="114" cm="1">
        <f t="array" ref="I466">G466/H466</f>
        <v>130.259101449275</v>
      </c>
      <c r="J466" s="105"/>
      <c r="K466" s="101"/>
      <c r="L466" s="96"/>
      <c r="M466" s="75"/>
      <c r="N466" s="75"/>
      <c r="O466" s="75"/>
      <c r="P466" s="75"/>
      <c r="Q466" s="75"/>
      <c r="R466" s="75"/>
      <c r="S466" s="75"/>
      <c r="T466" s="75"/>
      <c r="U466" s="75"/>
      <c r="V466" s="75"/>
      <c r="W466" s="75"/>
      <c r="X466" s="75"/>
      <c r="Y466" s="75"/>
      <c r="Z466" s="75"/>
      <c r="AA466" s="75"/>
      <c r="AB466" s="75"/>
    </row>
    <row r="467" ht="12.75" customHeight="1">
      <c r="A467" s="169">
        <v>43959</v>
      </c>
      <c r="B467" s="121">
        <v>11437</v>
      </c>
      <c r="C467" t="s" s="116">
        <v>220</v>
      </c>
      <c r="D467" t="s" s="79">
        <v>543</v>
      </c>
      <c r="E467" s="100"/>
      <c r="F467" s="101"/>
      <c r="G467" s="102">
        <v>315855</v>
      </c>
      <c r="H467" s="103">
        <v>2430</v>
      </c>
      <c r="I467" s="104" cm="1">
        <f t="array" ref="I467">G467/H467</f>
        <v>129.981481481481</v>
      </c>
      <c r="J467" s="105"/>
      <c r="K467" s="101"/>
      <c r="L467" s="96"/>
      <c r="M467" s="75"/>
      <c r="N467" s="75"/>
      <c r="O467" s="75"/>
      <c r="P467" s="75"/>
      <c r="Q467" s="75"/>
      <c r="R467" s="75"/>
      <c r="S467" s="75"/>
      <c r="T467" s="75"/>
      <c r="U467" s="75"/>
      <c r="V467" s="75"/>
      <c r="W467" s="75"/>
      <c r="X467" s="75"/>
      <c r="Y467" s="75"/>
      <c r="Z467" s="75"/>
      <c r="AA467" s="75"/>
      <c r="AB467" s="75"/>
    </row>
    <row r="468" ht="12.75" customHeight="1">
      <c r="A468" s="170">
        <v>43959</v>
      </c>
      <c r="B468" t="s" s="173">
        <v>544</v>
      </c>
      <c r="C468" t="s" s="174">
        <v>255</v>
      </c>
      <c r="D468" t="s" s="175">
        <v>545</v>
      </c>
      <c r="E468" s="176"/>
      <c r="F468" s="159"/>
      <c r="G468" s="112">
        <v>237000</v>
      </c>
      <c r="H468" s="113">
        <v>1825</v>
      </c>
      <c r="I468" s="114" cm="1">
        <f t="array" ref="I468">G468/H468</f>
        <v>129.863013698630</v>
      </c>
      <c r="J468" t="s" s="116">
        <v>546</v>
      </c>
      <c r="K468" s="101"/>
      <c r="L468" s="96"/>
      <c r="M468" s="75"/>
      <c r="N468" s="75"/>
      <c r="O468" s="75"/>
      <c r="P468" s="75"/>
      <c r="Q468" s="75"/>
      <c r="R468" s="75"/>
      <c r="S468" s="75"/>
      <c r="T468" s="75"/>
      <c r="U468" s="75"/>
      <c r="V468" s="75"/>
      <c r="W468" s="75"/>
      <c r="X468" s="75"/>
      <c r="Y468" s="75"/>
      <c r="Z468" s="75"/>
      <c r="AA468" s="75"/>
      <c r="AB468" s="75"/>
    </row>
    <row r="469" ht="12.75" customHeight="1">
      <c r="A469" s="169">
        <v>44020</v>
      </c>
      <c r="B469" s="121">
        <v>2840</v>
      </c>
      <c r="C469" t="s" s="116">
        <v>255</v>
      </c>
      <c r="D469" t="s" s="79">
        <v>547</v>
      </c>
      <c r="E469" s="100"/>
      <c r="F469" s="101"/>
      <c r="G469" s="102">
        <v>980</v>
      </c>
      <c r="H469" s="103">
        <v>8</v>
      </c>
      <c r="I469" s="104" cm="1">
        <f t="array" ref="I469">G469/H469</f>
        <v>122.5</v>
      </c>
      <c r="J469" s="105"/>
      <c r="K469" s="101"/>
      <c r="L469" s="96"/>
      <c r="M469" s="75"/>
      <c r="N469" s="75"/>
      <c r="O469" s="75"/>
      <c r="P469" s="75"/>
      <c r="Q469" s="75"/>
      <c r="R469" s="75"/>
      <c r="S469" s="75"/>
      <c r="T469" s="75"/>
      <c r="U469" s="75"/>
      <c r="V469" s="75"/>
      <c r="W469" s="75"/>
      <c r="X469" s="75"/>
      <c r="Y469" s="75"/>
      <c r="Z469" s="75"/>
      <c r="AA469" s="75"/>
      <c r="AB469" s="75"/>
    </row>
    <row r="470" ht="12.75" customHeight="1">
      <c r="A470" s="170">
        <v>44112</v>
      </c>
      <c r="B470" s="107"/>
      <c r="C470" t="s" s="115">
        <v>41</v>
      </c>
      <c r="D470" t="s" s="79">
        <v>548</v>
      </c>
      <c r="E470" s="110"/>
      <c r="F470" s="111"/>
      <c r="G470" s="112">
        <v>11780.22</v>
      </c>
      <c r="H470" s="113" cm="1">
        <f t="array" ref="H470">G470/I470</f>
        <v>90.61707692307689</v>
      </c>
      <c r="I470" s="114">
        <v>130</v>
      </c>
      <c r="J470" s="105"/>
      <c r="K470" s="101"/>
      <c r="L470" s="96"/>
      <c r="M470" s="75"/>
      <c r="N470" s="75"/>
      <c r="O470" s="75"/>
      <c r="P470" s="75"/>
      <c r="Q470" s="75"/>
      <c r="R470" s="75"/>
      <c r="S470" s="75"/>
      <c r="T470" s="75"/>
      <c r="U470" s="75"/>
      <c r="V470" s="75"/>
      <c r="W470" s="75"/>
      <c r="X470" s="75"/>
      <c r="Y470" s="75"/>
      <c r="Z470" s="75"/>
      <c r="AA470" s="75"/>
      <c r="AB470" s="75"/>
    </row>
    <row r="471" ht="12.75" customHeight="1">
      <c r="A471" s="169">
        <v>44112</v>
      </c>
      <c r="B471" s="98"/>
      <c r="C471" t="s" s="116">
        <v>99</v>
      </c>
      <c r="D471" t="s" s="79">
        <v>549</v>
      </c>
      <c r="E471" s="100"/>
      <c r="F471" s="101"/>
      <c r="G471" s="102">
        <v>4085.57</v>
      </c>
      <c r="H471" s="103" cm="1">
        <f t="array" ref="H471">G471/I471</f>
        <v>31.4274615384615</v>
      </c>
      <c r="I471" s="104" cm="1">
        <f t="array" ref="I471">I470</f>
        <v>130</v>
      </c>
      <c r="J471" s="105"/>
      <c r="K471" s="101"/>
      <c r="L471" s="96"/>
      <c r="M471" s="75"/>
      <c r="N471" s="75"/>
      <c r="O471" s="75"/>
      <c r="P471" s="75"/>
      <c r="Q471" s="75"/>
      <c r="R471" s="75"/>
      <c r="S471" s="75"/>
      <c r="T471" s="75"/>
      <c r="U471" s="75"/>
      <c r="V471" s="75"/>
      <c r="W471" s="75"/>
      <c r="X471" s="75"/>
      <c r="Y471" s="75"/>
      <c r="Z471" s="75"/>
      <c r="AA471" s="75"/>
      <c r="AB471" s="75"/>
    </row>
    <row r="472" ht="12.75" customHeight="1">
      <c r="A472" s="170">
        <v>44112</v>
      </c>
      <c r="B472" s="107"/>
      <c r="C472" t="s" s="115">
        <v>41</v>
      </c>
      <c r="D472" t="s" s="109">
        <v>550</v>
      </c>
      <c r="E472" s="110"/>
      <c r="F472" s="111"/>
      <c r="G472" s="112">
        <v>2939.56</v>
      </c>
      <c r="H472" s="113">
        <v>23</v>
      </c>
      <c r="I472" s="114" cm="1">
        <f t="array" ref="I472">G472/H472</f>
        <v>127.806956521739</v>
      </c>
      <c r="J472" s="105"/>
      <c r="K472" s="101"/>
      <c r="L472" s="96"/>
      <c r="M472" s="75"/>
      <c r="N472" s="75"/>
      <c r="O472" s="75"/>
      <c r="P472" s="75"/>
      <c r="Q472" s="75"/>
      <c r="R472" s="75"/>
      <c r="S472" s="75"/>
      <c r="T472" s="75"/>
      <c r="U472" s="75"/>
      <c r="V472" s="75"/>
      <c r="W472" s="75"/>
      <c r="X472" s="75"/>
      <c r="Y472" s="75"/>
      <c r="Z472" s="75"/>
      <c r="AA472" s="75"/>
      <c r="AB472" t="s" s="148">
        <v>264</v>
      </c>
    </row>
    <row r="473" ht="12.75" customHeight="1">
      <c r="A473" t="s" s="78">
        <v>551</v>
      </c>
      <c r="B473" s="121">
        <v>3966</v>
      </c>
      <c r="C473" t="s" s="116">
        <v>198</v>
      </c>
      <c r="D473" t="s" s="79">
        <v>552</v>
      </c>
      <c r="E473" s="100"/>
      <c r="F473" s="101"/>
      <c r="G473" s="102">
        <v>20327.74</v>
      </c>
      <c r="H473" s="103">
        <v>156</v>
      </c>
      <c r="I473" s="104" cm="1">
        <f t="array" ref="I473">G473/H473</f>
        <v>130.306025641026</v>
      </c>
      <c r="J473" s="105"/>
      <c r="K473" s="101"/>
      <c r="L473" s="96"/>
      <c r="M473" s="75"/>
      <c r="N473" s="75"/>
      <c r="O473" s="75"/>
      <c r="P473" s="75"/>
      <c r="Q473" s="75"/>
      <c r="R473" s="75"/>
      <c r="S473" s="75"/>
      <c r="T473" s="75"/>
      <c r="U473" s="75"/>
      <c r="V473" s="75"/>
      <c r="W473" s="75"/>
      <c r="X473" s="75"/>
      <c r="Y473" s="75"/>
      <c r="Z473" s="75"/>
      <c r="AA473" s="75"/>
      <c r="AB473" s="75"/>
    </row>
    <row r="474" ht="12.75" customHeight="1">
      <c r="A474" t="s" s="145">
        <v>551</v>
      </c>
      <c r="B474" s="124">
        <v>2964</v>
      </c>
      <c r="C474" t="s" s="115">
        <v>255</v>
      </c>
      <c r="D474" t="s" s="109">
        <v>511</v>
      </c>
      <c r="E474" s="110"/>
      <c r="F474" s="111"/>
      <c r="G474" s="112">
        <v>13700</v>
      </c>
      <c r="H474" s="113">
        <v>105</v>
      </c>
      <c r="I474" s="114" cm="1">
        <f t="array" ref="I474">G474/H474</f>
        <v>130.476190476190</v>
      </c>
      <c r="J474" s="105"/>
      <c r="K474" s="101"/>
      <c r="L474" s="96"/>
      <c r="M474" s="75"/>
      <c r="N474" s="75"/>
      <c r="O474" s="75"/>
      <c r="P474" s="75"/>
      <c r="Q474" s="75"/>
      <c r="R474" s="75"/>
      <c r="S474" s="75"/>
      <c r="T474" s="75"/>
      <c r="U474" s="75"/>
      <c r="V474" s="75"/>
      <c r="W474" s="75"/>
      <c r="X474" s="75"/>
      <c r="Y474" s="75"/>
      <c r="Z474" s="75"/>
      <c r="AA474" s="75"/>
      <c r="AB474" s="75"/>
    </row>
    <row r="475" ht="12.75" customHeight="1">
      <c r="A475" t="s" s="78">
        <v>553</v>
      </c>
      <c r="B475" t="s" s="78">
        <v>554</v>
      </c>
      <c r="C475" t="s" s="116">
        <v>530</v>
      </c>
      <c r="D475" t="s" s="79">
        <v>555</v>
      </c>
      <c r="E475" s="100"/>
      <c r="F475" s="101"/>
      <c r="G475" s="102">
        <v>500000</v>
      </c>
      <c r="H475" s="103">
        <v>3703</v>
      </c>
      <c r="I475" s="104" cm="1">
        <f t="array" ref="I475">G475/H475</f>
        <v>135.025654874426</v>
      </c>
      <c r="J475" s="105"/>
      <c r="K475" s="101"/>
      <c r="L475" s="96"/>
      <c r="M475" s="75"/>
      <c r="N475" s="75"/>
      <c r="O475" s="75"/>
      <c r="P475" s="75"/>
      <c r="Q475" s="75"/>
      <c r="R475" s="75"/>
      <c r="S475" s="75"/>
      <c r="T475" s="75"/>
      <c r="U475" s="75"/>
      <c r="V475" s="75"/>
      <c r="W475" s="75"/>
      <c r="X475" s="75"/>
      <c r="Y475" s="75"/>
      <c r="Z475" s="75"/>
      <c r="AA475" s="75"/>
      <c r="AB475" s="75"/>
    </row>
    <row r="476" ht="12.75" customHeight="1">
      <c r="A476" t="s" s="145">
        <v>556</v>
      </c>
      <c r="B476" s="107"/>
      <c r="C476" t="s" s="115">
        <v>34</v>
      </c>
      <c r="D476" t="s" s="109">
        <v>557</v>
      </c>
      <c r="E476" s="110"/>
      <c r="F476" s="111"/>
      <c r="G476" s="112">
        <v>2063.17</v>
      </c>
      <c r="H476" s="113" cm="1">
        <f t="array" ref="H476">G476/I476</f>
        <v>15.2827407407407</v>
      </c>
      <c r="I476" s="114">
        <v>135</v>
      </c>
      <c r="J476" s="105"/>
      <c r="K476" s="101"/>
      <c r="L476" s="96"/>
      <c r="M476" s="75"/>
      <c r="N476" s="75"/>
      <c r="O476" s="75"/>
      <c r="P476" s="75"/>
      <c r="Q476" s="75"/>
      <c r="R476" s="75"/>
      <c r="S476" s="75"/>
      <c r="T476" s="75"/>
      <c r="U476" s="75"/>
      <c r="V476" s="75"/>
      <c r="W476" s="75"/>
      <c r="X476" s="75"/>
      <c r="Y476" s="75"/>
      <c r="Z476" s="75"/>
      <c r="AA476" s="75"/>
      <c r="AB476" s="75"/>
    </row>
    <row r="477" ht="12.75" customHeight="1">
      <c r="A477" t="s" s="78">
        <v>556</v>
      </c>
      <c r="B477" s="121">
        <v>85637</v>
      </c>
      <c r="C477" t="s" s="116">
        <v>67</v>
      </c>
      <c r="D477" t="s" s="79">
        <v>558</v>
      </c>
      <c r="E477" s="100"/>
      <c r="F477" s="101"/>
      <c r="G477" s="102">
        <v>95129.16</v>
      </c>
      <c r="H477" s="103">
        <v>703</v>
      </c>
      <c r="I477" s="104" cm="1">
        <f t="array" ref="I477">G477/H477</f>
        <v>135.318862019915</v>
      </c>
      <c r="J477" s="105"/>
      <c r="K477" s="101"/>
      <c r="L477" s="96"/>
      <c r="M477" s="75"/>
      <c r="N477" s="75"/>
      <c r="O477" s="75"/>
      <c r="P477" s="75"/>
      <c r="Q477" s="75"/>
      <c r="R477" s="75"/>
      <c r="S477" s="75"/>
      <c r="T477" s="75"/>
      <c r="U477" s="75"/>
      <c r="V477" s="75"/>
      <c r="W477" s="75"/>
      <c r="X477" s="75"/>
      <c r="Y477" s="75"/>
      <c r="Z477" s="75"/>
      <c r="AA477" s="75"/>
      <c r="AB477" s="75"/>
    </row>
    <row r="478" ht="12.75" customHeight="1">
      <c r="A478" t="s" s="145">
        <v>559</v>
      </c>
      <c r="B478" s="124">
        <v>3835</v>
      </c>
      <c r="C478" t="s" s="115">
        <v>560</v>
      </c>
      <c r="D478" t="s" s="109">
        <v>561</v>
      </c>
      <c r="E478" s="110"/>
      <c r="F478" s="111"/>
      <c r="G478" s="112">
        <v>20370.18</v>
      </c>
      <c r="H478" s="113">
        <v>150</v>
      </c>
      <c r="I478" s="114" cm="1">
        <f t="array" ref="I478">G478/H478</f>
        <v>135.8012</v>
      </c>
      <c r="J478" s="105"/>
      <c r="K478" s="101"/>
      <c r="L478" s="96"/>
      <c r="M478" s="75"/>
      <c r="N478" s="75"/>
      <c r="O478" s="75"/>
      <c r="P478" s="75"/>
      <c r="Q478" s="75"/>
      <c r="R478" s="75"/>
      <c r="S478" s="75"/>
      <c r="T478" s="75"/>
      <c r="U478" s="75"/>
      <c r="V478" s="75"/>
      <c r="W478" s="75"/>
      <c r="X478" s="75"/>
      <c r="Y478" s="75"/>
      <c r="Z478" s="75"/>
      <c r="AA478" s="75"/>
      <c r="AB478" s="75"/>
    </row>
    <row r="479" ht="12.75" customHeight="1">
      <c r="A479" t="s" s="78">
        <v>562</v>
      </c>
      <c r="B479" s="121">
        <v>10438</v>
      </c>
      <c r="C479" t="s" s="116">
        <v>220</v>
      </c>
      <c r="D479" t="s" s="79">
        <v>561</v>
      </c>
      <c r="E479" s="100"/>
      <c r="F479" s="101"/>
      <c r="G479" s="102">
        <v>108211</v>
      </c>
      <c r="H479" s="103">
        <v>784</v>
      </c>
      <c r="I479" s="104" cm="1">
        <f t="array" ref="I479">G479/H479</f>
        <v>138.024234693878</v>
      </c>
      <c r="J479" s="105"/>
      <c r="K479" s="101"/>
      <c r="L479" s="96"/>
      <c r="M479" s="75"/>
      <c r="N479" s="75"/>
      <c r="O479" s="75"/>
      <c r="P479" s="75"/>
      <c r="Q479" s="75"/>
      <c r="R479" s="75"/>
      <c r="S479" s="75"/>
      <c r="T479" s="75"/>
      <c r="U479" s="75"/>
      <c r="V479" s="75"/>
      <c r="W479" s="75"/>
      <c r="X479" s="75"/>
      <c r="Y479" s="75"/>
      <c r="Z479" s="75"/>
      <c r="AA479" s="75"/>
      <c r="AB479" s="75"/>
    </row>
    <row r="480" ht="12.75" customHeight="1">
      <c r="A480" t="s" s="145">
        <v>563</v>
      </c>
      <c r="B480" s="124">
        <v>129749</v>
      </c>
      <c r="C480" t="s" s="115">
        <v>188</v>
      </c>
      <c r="D480" t="s" s="109">
        <v>564</v>
      </c>
      <c r="E480" s="110"/>
      <c r="F480" s="111"/>
      <c r="G480" s="112">
        <v>9625.77</v>
      </c>
      <c r="H480" s="113">
        <v>71</v>
      </c>
      <c r="I480" s="114" cm="1">
        <f t="array" ref="I480">G480/H480</f>
        <v>135.574225352113</v>
      </c>
      <c r="J480" s="105"/>
      <c r="K480" s="101"/>
      <c r="L480" s="96"/>
      <c r="M480" s="75"/>
      <c r="N480" s="75"/>
      <c r="O480" s="75"/>
      <c r="P480" s="75"/>
      <c r="Q480" s="75"/>
      <c r="R480" s="75"/>
      <c r="S480" s="75"/>
      <c r="T480" s="75"/>
      <c r="U480" s="75"/>
      <c r="V480" s="75"/>
      <c r="W480" s="75"/>
      <c r="X480" s="75"/>
      <c r="Y480" s="75"/>
      <c r="Z480" s="75"/>
      <c r="AA480" s="75"/>
      <c r="AB480" s="75"/>
    </row>
    <row r="481" ht="12.75" customHeight="1">
      <c r="A481" t="s" s="78">
        <v>563</v>
      </c>
      <c r="B481" s="121">
        <v>1607300</v>
      </c>
      <c r="C481" t="s" s="116">
        <v>108</v>
      </c>
      <c r="D481" t="s" s="79">
        <v>565</v>
      </c>
      <c r="E481" s="100"/>
      <c r="F481" s="101"/>
      <c r="G481" s="102">
        <v>45570.73</v>
      </c>
      <c r="H481" s="103">
        <v>345</v>
      </c>
      <c r="I481" s="104" cm="1">
        <f t="array" ref="I481">G481/H481</f>
        <v>132.089072463768</v>
      </c>
      <c r="J481" s="105"/>
      <c r="K481" s="101"/>
      <c r="L481" s="96"/>
      <c r="M481" s="75"/>
      <c r="N481" s="75"/>
      <c r="O481" s="75"/>
      <c r="P481" s="75"/>
      <c r="Q481" s="75"/>
      <c r="R481" s="75"/>
      <c r="S481" s="75"/>
      <c r="T481" s="75"/>
      <c r="U481" s="75"/>
      <c r="V481" s="75"/>
      <c r="W481" s="75"/>
      <c r="X481" s="75"/>
      <c r="Y481" s="75"/>
      <c r="Z481" s="75"/>
      <c r="AA481" s="75"/>
      <c r="AB481" s="75"/>
    </row>
    <row r="482" ht="12.75" customHeight="1">
      <c r="A482" s="170">
        <v>43839</v>
      </c>
      <c r="B482" s="124">
        <v>4105</v>
      </c>
      <c r="C482" t="s" s="115">
        <v>198</v>
      </c>
      <c r="D482" t="s" s="109">
        <v>566</v>
      </c>
      <c r="E482" s="110"/>
      <c r="F482" s="111"/>
      <c r="G482" s="112">
        <v>51515.87</v>
      </c>
      <c r="H482" s="113">
        <v>387</v>
      </c>
      <c r="I482" s="114" cm="1">
        <f t="array" ref="I482">G482/H482</f>
        <v>133.115943152455</v>
      </c>
      <c r="J482" s="105"/>
      <c r="K482" s="101"/>
      <c r="L482" s="96"/>
      <c r="M482" s="75"/>
      <c r="N482" s="75"/>
      <c r="O482" s="75"/>
      <c r="P482" s="75"/>
      <c r="Q482" s="75"/>
      <c r="R482" s="75"/>
      <c r="S482" s="75"/>
      <c r="T482" s="75"/>
      <c r="U482" s="75"/>
      <c r="V482" s="75"/>
      <c r="W482" s="75"/>
      <c r="X482" s="75"/>
      <c r="Y482" s="75"/>
      <c r="Z482" s="75"/>
      <c r="AA482" s="75"/>
      <c r="AB482" s="75"/>
    </row>
    <row r="483" ht="12.75" customHeight="1">
      <c r="A483" s="169">
        <v>43839</v>
      </c>
      <c r="B483" s="121">
        <v>44195</v>
      </c>
      <c r="C483" t="s" s="116">
        <v>276</v>
      </c>
      <c r="D483" t="s" s="79">
        <v>567</v>
      </c>
      <c r="E483" s="100"/>
      <c r="F483" s="101"/>
      <c r="G483" s="102">
        <v>4468.1</v>
      </c>
      <c r="H483" s="103">
        <v>33</v>
      </c>
      <c r="I483" s="104" cm="1">
        <f t="array" ref="I483">G483/H483</f>
        <v>135.396969696970</v>
      </c>
      <c r="J483" s="105"/>
      <c r="K483" s="101"/>
      <c r="L483" s="96"/>
      <c r="M483" s="75"/>
      <c r="N483" s="75"/>
      <c r="O483" s="75"/>
      <c r="P483" s="75"/>
      <c r="Q483" s="75"/>
      <c r="R483" s="75"/>
      <c r="S483" s="75"/>
      <c r="T483" s="75"/>
      <c r="U483" s="75"/>
      <c r="V483" s="75"/>
      <c r="W483" s="75"/>
      <c r="X483" s="75"/>
      <c r="Y483" s="75"/>
      <c r="Z483" s="75"/>
      <c r="AA483" s="75"/>
      <c r="AB483" s="75"/>
    </row>
    <row r="484" ht="12.75" customHeight="1">
      <c r="A484" s="170">
        <v>43899</v>
      </c>
      <c r="B484" s="124">
        <v>221</v>
      </c>
      <c r="C484" t="s" s="115">
        <v>530</v>
      </c>
      <c r="D484" t="s" s="109">
        <v>517</v>
      </c>
      <c r="E484" s="110"/>
      <c r="F484" s="111"/>
      <c r="G484" s="112">
        <v>123805.75</v>
      </c>
      <c r="H484" s="113">
        <v>924</v>
      </c>
      <c r="I484" s="114" cm="1">
        <f t="array" ref="I484">G484/H484</f>
        <v>133.988906926407</v>
      </c>
      <c r="J484" s="105"/>
      <c r="K484" s="101"/>
      <c r="L484" s="96"/>
      <c r="M484" s="75"/>
      <c r="N484" s="75"/>
      <c r="O484" s="75"/>
      <c r="P484" s="75"/>
      <c r="Q484" s="75"/>
      <c r="R484" s="75"/>
      <c r="S484" s="75"/>
      <c r="T484" s="75"/>
      <c r="U484" s="75"/>
      <c r="V484" s="75"/>
      <c r="W484" s="75"/>
      <c r="X484" s="75"/>
      <c r="Y484" s="75"/>
      <c r="Z484" s="75"/>
      <c r="AA484" s="75"/>
      <c r="AB484" s="75"/>
    </row>
    <row r="485" ht="12.75" customHeight="1">
      <c r="A485" s="169">
        <v>43930</v>
      </c>
      <c r="B485" t="s" s="78">
        <v>568</v>
      </c>
      <c r="C485" t="s" s="116">
        <v>530</v>
      </c>
      <c r="D485" t="s" s="79">
        <v>555</v>
      </c>
      <c r="E485" s="100"/>
      <c r="F485" s="101"/>
      <c r="G485" s="102">
        <v>500000</v>
      </c>
      <c r="H485" s="103">
        <v>3676</v>
      </c>
      <c r="I485" s="104" cm="1">
        <f t="array" ref="I485">G485/H485</f>
        <v>136.017410228509</v>
      </c>
      <c r="J485" s="105"/>
      <c r="K485" s="101"/>
      <c r="L485" s="96"/>
      <c r="M485" s="75"/>
      <c r="N485" s="75"/>
      <c r="O485" s="75"/>
      <c r="P485" s="75"/>
      <c r="Q485" s="75"/>
      <c r="R485" s="75"/>
      <c r="S485" s="75"/>
      <c r="T485" s="75"/>
      <c r="U485" s="75"/>
      <c r="V485" s="75"/>
      <c r="W485" s="75"/>
      <c r="X485" s="75"/>
      <c r="Y485" s="75"/>
      <c r="Z485" s="75"/>
      <c r="AA485" s="75"/>
      <c r="AB485" s="75"/>
    </row>
    <row r="486" ht="12.75" customHeight="1">
      <c r="A486" s="177">
        <v>43899</v>
      </c>
      <c r="B486" t="s" s="178">
        <v>569</v>
      </c>
      <c r="C486" t="s" s="174">
        <v>377</v>
      </c>
      <c r="D486" t="s" s="175">
        <v>570</v>
      </c>
      <c r="E486" s="176"/>
      <c r="F486" s="159"/>
      <c r="G486" s="112">
        <v>2779370</v>
      </c>
      <c r="H486" s="179" cm="1">
        <f t="array" ref="H486">G486/I486</f>
        <v>19168.0689655172</v>
      </c>
      <c r="I486" s="180">
        <v>145</v>
      </c>
      <c r="J486" s="105"/>
      <c r="K486" s="101"/>
      <c r="L486" s="96"/>
      <c r="M486" s="75"/>
      <c r="N486" s="75"/>
      <c r="O486" s="75"/>
      <c r="P486" s="75"/>
      <c r="Q486" s="75"/>
      <c r="R486" s="75"/>
      <c r="S486" s="75"/>
      <c r="T486" s="75"/>
      <c r="U486" s="75"/>
      <c r="V486" s="75"/>
      <c r="W486" s="75"/>
      <c r="X486" s="75"/>
      <c r="Y486" s="75"/>
      <c r="Z486" s="75"/>
      <c r="AA486" s="75"/>
      <c r="AB486" s="75"/>
    </row>
    <row r="487" ht="12.75" customHeight="1">
      <c r="A487" s="170">
        <v>43930</v>
      </c>
      <c r="B487" s="181"/>
      <c r="C487" t="s" s="116">
        <v>571</v>
      </c>
      <c r="D487" t="s" s="79">
        <v>572</v>
      </c>
      <c r="E487" s="100"/>
      <c r="F487" s="101"/>
      <c r="G487" s="102">
        <v>10000</v>
      </c>
      <c r="H487" s="103" cm="1">
        <f t="array" ref="H487">G487/I487</f>
        <v>68.9655172413793</v>
      </c>
      <c r="I487" s="114">
        <v>145</v>
      </c>
      <c r="J487" s="105"/>
      <c r="K487" s="101"/>
      <c r="L487" s="96"/>
      <c r="M487" s="75"/>
      <c r="N487" s="75"/>
      <c r="O487" s="75"/>
      <c r="P487" s="75"/>
      <c r="Q487" s="75"/>
      <c r="R487" s="75"/>
      <c r="S487" s="75"/>
      <c r="T487" s="75"/>
      <c r="U487" s="75"/>
      <c r="V487" s="75"/>
      <c r="W487" s="75"/>
      <c r="X487" s="75"/>
      <c r="Y487" s="75"/>
      <c r="Z487" s="75"/>
      <c r="AA487" s="75"/>
      <c r="AB487" s="75"/>
    </row>
    <row r="488" ht="12.75" customHeight="1">
      <c r="A488" s="170">
        <v>44052</v>
      </c>
      <c r="B488" t="s" s="182">
        <v>573</v>
      </c>
      <c r="C488" t="s" s="183">
        <v>377</v>
      </c>
      <c r="D488" t="s" s="184">
        <v>574</v>
      </c>
      <c r="E488" s="110"/>
      <c r="F488" s="111"/>
      <c r="G488" s="112">
        <v>1658440</v>
      </c>
      <c r="H488" s="103" cm="1">
        <f t="array" ref="H488">G488/I488</f>
        <v>11437.5172413793</v>
      </c>
      <c r="I488" s="114">
        <v>145</v>
      </c>
      <c r="J488" s="105"/>
      <c r="K488" s="101"/>
      <c r="L488" s="96"/>
      <c r="M488" s="75"/>
      <c r="N488" s="75"/>
      <c r="O488" s="75"/>
      <c r="P488" s="75"/>
      <c r="Q488" s="75"/>
      <c r="R488" s="75"/>
      <c r="S488" s="75"/>
      <c r="T488" s="75"/>
      <c r="U488" s="75"/>
      <c r="V488" s="75"/>
      <c r="W488" s="75"/>
      <c r="X488" s="75"/>
      <c r="Y488" s="75"/>
      <c r="Z488" s="75"/>
      <c r="AA488" s="75"/>
      <c r="AB488" s="75"/>
    </row>
    <row r="489" ht="12.75" customHeight="1">
      <c r="A489" s="169">
        <v>44083</v>
      </c>
      <c r="B489" s="98"/>
      <c r="C489" t="s" s="116">
        <v>99</v>
      </c>
      <c r="D489" t="s" s="79">
        <v>575</v>
      </c>
      <c r="E489" s="100"/>
      <c r="F489" s="101"/>
      <c r="G489" s="102">
        <v>4085.57</v>
      </c>
      <c r="H489" s="103" cm="1">
        <f t="array" ref="H489">G489/I489</f>
        <v>30.2634814814815</v>
      </c>
      <c r="I489" s="104">
        <v>135</v>
      </c>
      <c r="J489" s="105"/>
      <c r="K489" s="101"/>
      <c r="L489" s="96"/>
      <c r="M489" s="75"/>
      <c r="N489" s="75"/>
      <c r="O489" s="75"/>
      <c r="P489" s="75"/>
      <c r="Q489" s="75"/>
      <c r="R489" s="75"/>
      <c r="S489" s="75"/>
      <c r="T489" s="75"/>
      <c r="U489" s="75"/>
      <c r="V489" s="75"/>
      <c r="W489" s="75"/>
      <c r="X489" s="75"/>
      <c r="Y489" s="75"/>
      <c r="Z489" s="75"/>
      <c r="AA489" s="75"/>
      <c r="AB489" s="75"/>
    </row>
    <row r="490" ht="12.75" customHeight="1">
      <c r="A490" s="170">
        <v>44113</v>
      </c>
      <c r="B490" s="107"/>
      <c r="C490" t="s" s="115">
        <v>41</v>
      </c>
      <c r="D490" t="s" s="79">
        <v>576</v>
      </c>
      <c r="E490" s="110"/>
      <c r="F490" s="111"/>
      <c r="G490" s="112">
        <v>11780.22</v>
      </c>
      <c r="H490" s="113" cm="1">
        <f t="array" ref="H490">G490/I490</f>
        <v>87.2608888888889</v>
      </c>
      <c r="I490" s="114">
        <v>135</v>
      </c>
      <c r="J490" s="105"/>
      <c r="K490" s="101"/>
      <c r="L490" s="96"/>
      <c r="M490" s="75"/>
      <c r="N490" s="75"/>
      <c r="O490" s="75"/>
      <c r="P490" s="75"/>
      <c r="Q490" s="75"/>
      <c r="R490" s="75"/>
      <c r="S490" s="75"/>
      <c r="T490" s="75"/>
      <c r="U490" s="75"/>
      <c r="V490" s="75"/>
      <c r="W490" s="75"/>
      <c r="X490" s="75"/>
      <c r="Y490" s="75"/>
      <c r="Z490" s="75"/>
      <c r="AA490" s="75"/>
      <c r="AB490" s="75"/>
    </row>
    <row r="491" ht="12.75" customHeight="1">
      <c r="A491" t="s" s="78">
        <v>577</v>
      </c>
      <c r="B491" s="121">
        <v>8102</v>
      </c>
      <c r="C491" t="s" s="116">
        <v>278</v>
      </c>
      <c r="D491" t="s" s="79">
        <v>578</v>
      </c>
      <c r="E491" s="100"/>
      <c r="F491" s="101"/>
      <c r="G491" s="102">
        <v>1040</v>
      </c>
      <c r="H491" s="103">
        <v>7</v>
      </c>
      <c r="I491" s="104">
        <v>145</v>
      </c>
      <c r="J491" s="105"/>
      <c r="K491" s="101"/>
      <c r="L491" s="96"/>
      <c r="M491" s="75"/>
      <c r="N491" s="75"/>
      <c r="O491" s="75"/>
      <c r="P491" s="75"/>
      <c r="Q491" s="75"/>
      <c r="R491" s="75"/>
      <c r="S491" s="75"/>
      <c r="T491" s="75"/>
      <c r="U491" s="75"/>
      <c r="V491" s="75"/>
      <c r="W491" s="75"/>
      <c r="X491" s="75"/>
      <c r="Y491" s="75"/>
      <c r="Z491" s="75"/>
      <c r="AA491" s="75"/>
      <c r="AB491" s="75"/>
    </row>
    <row r="492" ht="12.75" customHeight="1">
      <c r="A492" t="s" s="145">
        <v>579</v>
      </c>
      <c r="B492" s="124">
        <v>3325</v>
      </c>
      <c r="C492" t="s" s="115">
        <v>255</v>
      </c>
      <c r="D492" t="s" s="109">
        <v>580</v>
      </c>
      <c r="E492" s="110"/>
      <c r="F492" s="111"/>
      <c r="G492" s="112">
        <v>10650</v>
      </c>
      <c r="H492" s="113">
        <v>76</v>
      </c>
      <c r="I492" s="114" cm="1">
        <f t="array" ref="I492">G492/H492</f>
        <v>140.131578947368</v>
      </c>
      <c r="J492" s="105"/>
      <c r="K492" s="101"/>
      <c r="L492" s="96"/>
      <c r="M492" s="75"/>
      <c r="N492" s="75"/>
      <c r="O492" s="75"/>
      <c r="P492" s="75"/>
      <c r="Q492" s="75"/>
      <c r="R492" s="75"/>
      <c r="S492" s="75"/>
      <c r="T492" s="75"/>
      <c r="U492" s="75"/>
      <c r="V492" s="75"/>
      <c r="W492" s="75"/>
      <c r="X492" s="75"/>
      <c r="Y492" s="75"/>
      <c r="Z492" s="75"/>
      <c r="AA492" s="75"/>
      <c r="AB492" s="75"/>
    </row>
    <row r="493" ht="12.75" customHeight="1">
      <c r="A493" t="s" s="78">
        <v>581</v>
      </c>
      <c r="B493" s="121">
        <v>4232</v>
      </c>
      <c r="C493" t="s" s="116">
        <v>198</v>
      </c>
      <c r="D493" t="s" s="79">
        <v>582</v>
      </c>
      <c r="E493" s="100"/>
      <c r="F493" s="101"/>
      <c r="G493" s="102">
        <v>45269.55</v>
      </c>
      <c r="H493" s="103">
        <v>324</v>
      </c>
      <c r="I493" s="104" cm="1">
        <f t="array" ref="I493">G493/H493</f>
        <v>139.720833333333</v>
      </c>
      <c r="J493" s="105"/>
      <c r="K493" s="101"/>
      <c r="L493" s="96"/>
      <c r="M493" s="75"/>
      <c r="N493" s="75"/>
      <c r="O493" s="75"/>
      <c r="P493" s="75"/>
      <c r="Q493" s="75"/>
      <c r="R493" s="75"/>
      <c r="S493" s="75"/>
      <c r="T493" s="75"/>
      <c r="U493" s="75"/>
      <c r="V493" s="75"/>
      <c r="W493" s="75"/>
      <c r="X493" s="75"/>
      <c r="Y493" s="75"/>
      <c r="Z493" s="75"/>
      <c r="AA493" s="75"/>
      <c r="AB493" s="75"/>
    </row>
    <row r="494" ht="12.75" customHeight="1">
      <c r="A494" t="s" s="145">
        <v>583</v>
      </c>
      <c r="B494" s="124">
        <v>11246</v>
      </c>
      <c r="C494" t="s" s="115">
        <v>220</v>
      </c>
      <c r="D494" t="s" s="109">
        <v>584</v>
      </c>
      <c r="E494" s="110"/>
      <c r="F494" s="111"/>
      <c r="G494" s="112">
        <v>149881</v>
      </c>
      <c r="H494" s="113">
        <v>1033</v>
      </c>
      <c r="I494" s="114" cm="1">
        <f t="array" ref="I494">G494/H494</f>
        <v>145.092933204259</v>
      </c>
      <c r="J494" s="105"/>
      <c r="K494" s="101"/>
      <c r="L494" s="96"/>
      <c r="M494" s="75"/>
      <c r="N494" s="75"/>
      <c r="O494" s="75"/>
      <c r="P494" s="75"/>
      <c r="Q494" s="75"/>
      <c r="R494" s="75"/>
      <c r="S494" s="75"/>
      <c r="T494" s="75"/>
      <c r="U494" s="75"/>
      <c r="V494" s="75"/>
      <c r="W494" s="75"/>
      <c r="X494" s="75"/>
      <c r="Y494" s="75"/>
      <c r="Z494" s="75"/>
      <c r="AA494" s="75"/>
      <c r="AB494" s="75"/>
    </row>
    <row r="495" ht="12.75" customHeight="1">
      <c r="A495" t="s" s="78">
        <v>583</v>
      </c>
      <c r="B495" s="121">
        <v>131394</v>
      </c>
      <c r="C495" t="s" s="116">
        <v>188</v>
      </c>
      <c r="D495" t="s" s="79">
        <v>585</v>
      </c>
      <c r="E495" s="100"/>
      <c r="F495" s="101"/>
      <c r="G495" s="102">
        <v>2061.08</v>
      </c>
      <c r="H495" s="103">
        <v>14</v>
      </c>
      <c r="I495" s="104" cm="1">
        <f t="array" ref="I495">G495/H495</f>
        <v>147.22</v>
      </c>
      <c r="J495" s="105"/>
      <c r="K495" s="101"/>
      <c r="L495" s="96"/>
      <c r="M495" s="75"/>
      <c r="N495" s="75"/>
      <c r="O495" s="75"/>
      <c r="P495" s="75"/>
      <c r="Q495" s="75"/>
      <c r="R495" s="75"/>
      <c r="S495" s="75"/>
      <c r="T495" s="75"/>
      <c r="U495" s="75"/>
      <c r="V495" s="75"/>
      <c r="W495" s="75"/>
      <c r="X495" s="75"/>
      <c r="Y495" s="75"/>
      <c r="Z495" s="75"/>
      <c r="AA495" s="75"/>
      <c r="AB495" s="75"/>
    </row>
    <row r="496" ht="12.75" customHeight="1">
      <c r="A496" t="s" s="145">
        <v>586</v>
      </c>
      <c r="B496" s="124">
        <v>4340</v>
      </c>
      <c r="C496" t="s" s="115">
        <v>198</v>
      </c>
      <c r="D496" t="s" s="109">
        <v>587</v>
      </c>
      <c r="E496" s="110"/>
      <c r="F496" s="111"/>
      <c r="G496" s="112">
        <v>31181.69</v>
      </c>
      <c r="H496" s="113">
        <v>208</v>
      </c>
      <c r="I496" s="114" cm="1">
        <f t="array" ref="I496">G496/H496</f>
        <v>149.911971153846</v>
      </c>
      <c r="J496" s="105"/>
      <c r="K496" s="101"/>
      <c r="L496" s="96"/>
      <c r="M496" s="75"/>
      <c r="N496" s="75"/>
      <c r="O496" s="75"/>
      <c r="P496" s="75"/>
      <c r="Q496" s="75"/>
      <c r="R496" s="75"/>
      <c r="S496" s="75"/>
      <c r="T496" s="75"/>
      <c r="U496" s="75"/>
      <c r="V496" s="75"/>
      <c r="W496" s="75"/>
      <c r="X496" s="75"/>
      <c r="Y496" s="75"/>
      <c r="Z496" s="75"/>
      <c r="AA496" s="75"/>
      <c r="AB496" s="75"/>
    </row>
    <row r="497" ht="12.75" customHeight="1">
      <c r="A497" s="169">
        <v>43992</v>
      </c>
      <c r="B497" s="121">
        <v>4395</v>
      </c>
      <c r="C497" t="s" s="116">
        <v>198</v>
      </c>
      <c r="D497" t="s" s="79">
        <v>588</v>
      </c>
      <c r="E497" s="100"/>
      <c r="F497" s="101"/>
      <c r="G497" s="102">
        <v>42789.05</v>
      </c>
      <c r="H497" s="103">
        <v>294</v>
      </c>
      <c r="I497" s="104" cm="1">
        <f t="array" ref="I497">G497/H497</f>
        <v>145.540986394558</v>
      </c>
      <c r="J497" s="105"/>
      <c r="K497" s="101"/>
      <c r="L497" s="96"/>
      <c r="M497" s="75"/>
      <c r="N497" s="75"/>
      <c r="O497" s="75"/>
      <c r="P497" s="75"/>
      <c r="Q497" s="75"/>
      <c r="R497" s="75"/>
      <c r="S497" s="75"/>
      <c r="T497" s="75"/>
      <c r="U497" s="75"/>
      <c r="V497" s="75"/>
      <c r="W497" s="75"/>
      <c r="X497" s="75"/>
      <c r="Y497" s="75"/>
      <c r="Z497" s="75"/>
      <c r="AA497" s="75"/>
      <c r="AB497" s="75"/>
    </row>
    <row r="498" ht="12.75" customHeight="1">
      <c r="A498" s="170">
        <v>43992</v>
      </c>
      <c r="B498" s="107"/>
      <c r="C498" t="s" s="115">
        <v>278</v>
      </c>
      <c r="D498" t="s" s="109">
        <v>589</v>
      </c>
      <c r="E498" s="110"/>
      <c r="F498" s="111"/>
      <c r="G498" s="112">
        <v>3770</v>
      </c>
      <c r="H498" s="113">
        <v>25</v>
      </c>
      <c r="I498" s="114" cm="1">
        <f t="array" ref="I498">G498/H498</f>
        <v>150.8</v>
      </c>
      <c r="J498" s="105"/>
      <c r="K498" s="101"/>
      <c r="L498" s="96"/>
      <c r="M498" s="75"/>
      <c r="N498" s="75"/>
      <c r="O498" s="75"/>
      <c r="P498" s="75"/>
      <c r="Q498" s="75"/>
      <c r="R498" s="75"/>
      <c r="S498" s="75"/>
      <c r="T498" s="75"/>
      <c r="U498" s="75"/>
      <c r="V498" s="75"/>
      <c r="W498" s="75"/>
      <c r="X498" s="75"/>
      <c r="Y498" s="75"/>
      <c r="Z498" s="75"/>
      <c r="AA498" s="75"/>
      <c r="AB498" s="75"/>
    </row>
    <row r="499" ht="12.75" customHeight="1">
      <c r="A499" s="169">
        <v>44022</v>
      </c>
      <c r="B499" s="121">
        <v>84138995</v>
      </c>
      <c r="C499" t="s" s="116">
        <v>99</v>
      </c>
      <c r="D499" t="s" s="79">
        <v>590</v>
      </c>
      <c r="E499" s="100"/>
      <c r="F499" s="101"/>
      <c r="G499" s="102">
        <v>3774.01</v>
      </c>
      <c r="H499" s="103" cm="1">
        <f t="array" ref="H499">G499/I499</f>
        <v>25.1600666666667</v>
      </c>
      <c r="I499" s="104">
        <v>150</v>
      </c>
      <c r="J499" s="105"/>
      <c r="K499" s="101"/>
      <c r="L499" s="96"/>
      <c r="M499" s="75"/>
      <c r="N499" s="75"/>
      <c r="O499" s="75"/>
      <c r="P499" s="75"/>
      <c r="Q499" s="75"/>
      <c r="R499" s="75"/>
      <c r="S499" s="75"/>
      <c r="T499" s="75"/>
      <c r="U499" s="75"/>
      <c r="V499" s="75"/>
      <c r="W499" s="75"/>
      <c r="X499" s="75"/>
      <c r="Y499" s="75"/>
      <c r="Z499" s="75"/>
      <c r="AA499" s="75"/>
      <c r="AB499" s="75"/>
    </row>
    <row r="500" ht="12.75" customHeight="1">
      <c r="A500" s="170">
        <v>44053</v>
      </c>
      <c r="B500" s="124">
        <v>4425</v>
      </c>
      <c r="C500" t="s" s="115">
        <v>198</v>
      </c>
      <c r="D500" t="s" s="109">
        <v>591</v>
      </c>
      <c r="E500" s="110"/>
      <c r="F500" s="111"/>
      <c r="G500" s="112">
        <v>11804.72</v>
      </c>
      <c r="H500" s="113">
        <v>67</v>
      </c>
      <c r="I500" s="114" cm="1">
        <f t="array" ref="I500">G500/H500</f>
        <v>176.189850746269</v>
      </c>
      <c r="J500" s="105"/>
      <c r="K500" s="101"/>
      <c r="L500" s="96"/>
      <c r="M500" s="75"/>
      <c r="N500" s="75"/>
      <c r="O500" s="75"/>
      <c r="P500" s="75"/>
      <c r="Q500" s="75"/>
      <c r="R500" s="75"/>
      <c r="S500" s="75"/>
      <c r="T500" s="75"/>
      <c r="U500" s="75"/>
      <c r="V500" s="75"/>
      <c r="W500" s="75"/>
      <c r="X500" s="75"/>
      <c r="Y500" s="75"/>
      <c r="Z500" s="75"/>
      <c r="AA500" s="75"/>
      <c r="AB500" s="75"/>
    </row>
    <row r="501" ht="12.75" customHeight="1">
      <c r="A501" t="s" s="78">
        <v>592</v>
      </c>
      <c r="B501" s="98"/>
      <c r="C501" t="s" s="116">
        <v>278</v>
      </c>
      <c r="D501" t="s" s="79">
        <v>523</v>
      </c>
      <c r="E501" s="100"/>
      <c r="F501" s="101"/>
      <c r="G501" s="102">
        <v>7482.35</v>
      </c>
      <c r="H501" s="103">
        <v>45</v>
      </c>
      <c r="I501" s="104" cm="1">
        <f t="array" ref="I501">G501/H501</f>
        <v>166.274444444444</v>
      </c>
      <c r="J501" s="105"/>
      <c r="K501" s="101"/>
      <c r="L501" s="96"/>
      <c r="M501" s="75"/>
      <c r="N501" s="75"/>
      <c r="O501" s="75"/>
      <c r="P501" s="75"/>
      <c r="Q501" s="75"/>
      <c r="R501" s="75"/>
      <c r="S501" s="75"/>
      <c r="T501" s="75"/>
      <c r="U501" s="75"/>
      <c r="V501" s="75"/>
      <c r="W501" s="75"/>
      <c r="X501" s="75"/>
      <c r="Y501" s="75"/>
      <c r="Z501" s="75"/>
      <c r="AA501" s="75"/>
      <c r="AB501" s="75"/>
    </row>
    <row r="502" ht="12.75" customHeight="1">
      <c r="A502" t="s" s="145">
        <v>592</v>
      </c>
      <c r="B502" s="124">
        <v>32343</v>
      </c>
      <c r="C502" t="s" s="115">
        <v>278</v>
      </c>
      <c r="D502" t="s" s="109">
        <v>538</v>
      </c>
      <c r="E502" s="110"/>
      <c r="F502" s="111"/>
      <c r="G502" s="112">
        <v>1000.11</v>
      </c>
      <c r="H502" s="113">
        <v>6.5</v>
      </c>
      <c r="I502" s="114" cm="1">
        <f t="array" ref="I502">G502/H502</f>
        <v>153.863076923077</v>
      </c>
      <c r="J502" s="105"/>
      <c r="K502" s="101"/>
      <c r="L502" s="96"/>
      <c r="M502" s="75"/>
      <c r="N502" s="75"/>
      <c r="O502" s="75"/>
      <c r="P502" s="75"/>
      <c r="Q502" s="75"/>
      <c r="R502" s="75"/>
      <c r="S502" s="75"/>
      <c r="T502" s="75"/>
      <c r="U502" s="75"/>
      <c r="V502" s="75"/>
      <c r="W502" s="75"/>
      <c r="X502" s="75"/>
      <c r="Y502" s="75"/>
      <c r="Z502" s="75"/>
      <c r="AA502" s="75"/>
      <c r="AB502" s="75"/>
    </row>
    <row r="503" ht="12.75" customHeight="1">
      <c r="A503" t="s" s="78">
        <v>592</v>
      </c>
      <c r="B503" s="121">
        <v>956</v>
      </c>
      <c r="C503" t="s" s="116">
        <v>593</v>
      </c>
      <c r="D503" t="s" s="79">
        <v>594</v>
      </c>
      <c r="E503" s="100"/>
      <c r="F503" s="101"/>
      <c r="G503" s="102">
        <v>4899.31</v>
      </c>
      <c r="H503" s="103">
        <v>30</v>
      </c>
      <c r="I503" s="104" cm="1">
        <f t="array" ref="I503">G503/H503</f>
        <v>163.310333333333</v>
      </c>
      <c r="J503" s="105"/>
      <c r="K503" s="101"/>
      <c r="L503" s="153"/>
      <c r="M503" s="154"/>
      <c r="N503" s="154"/>
      <c r="O503" s="154"/>
      <c r="P503" s="154"/>
      <c r="Q503" s="154"/>
      <c r="R503" s="154"/>
      <c r="S503" s="154"/>
      <c r="T503" s="154"/>
      <c r="U503" s="154"/>
      <c r="V503" s="154"/>
      <c r="W503" s="154"/>
      <c r="X503" s="154"/>
      <c r="Y503" s="154"/>
      <c r="Z503" s="154"/>
      <c r="AA503" s="154"/>
      <c r="AB503" s="154"/>
    </row>
    <row r="504" ht="12.75" customHeight="1">
      <c r="A504" t="s" s="145">
        <v>592</v>
      </c>
      <c r="B504" s="107"/>
      <c r="C504" t="s" s="115">
        <v>41</v>
      </c>
      <c r="D504" t="s" s="79">
        <v>595</v>
      </c>
      <c r="E504" s="110"/>
      <c r="F504" s="111"/>
      <c r="G504" s="112">
        <v>16294.04</v>
      </c>
      <c r="H504" s="113" cm="1">
        <f t="array" ref="H504">G504/I504</f>
        <v>95.8472941176471</v>
      </c>
      <c r="I504" s="114">
        <v>170</v>
      </c>
      <c r="J504" s="185"/>
      <c r="K504" s="186"/>
      <c r="L504" s="187"/>
      <c r="M504" s="188"/>
      <c r="N504" s="188"/>
      <c r="O504" s="188"/>
      <c r="P504" s="188"/>
      <c r="Q504" s="188"/>
      <c r="R504" s="188"/>
      <c r="S504" s="188"/>
      <c r="T504" s="188"/>
      <c r="U504" s="188"/>
      <c r="V504" s="188"/>
      <c r="W504" s="188"/>
      <c r="X504" s="188"/>
      <c r="Y504" s="188"/>
      <c r="Z504" s="188"/>
      <c r="AA504" s="188"/>
      <c r="AB504" s="189"/>
    </row>
    <row r="505" ht="12.75" customHeight="1">
      <c r="A505" t="s" s="78">
        <v>596</v>
      </c>
      <c r="B505" s="98"/>
      <c r="C505" t="s" s="116">
        <v>34</v>
      </c>
      <c r="D505" t="s" s="79">
        <v>597</v>
      </c>
      <c r="E505" s="100"/>
      <c r="F505" s="101"/>
      <c r="G505" s="102">
        <v>2129.31</v>
      </c>
      <c r="H505" s="103" cm="1">
        <f t="array" ref="H505">G505/I505</f>
        <v>12.5253529411765</v>
      </c>
      <c r="I505" s="104">
        <v>170</v>
      </c>
      <c r="J505" s="185"/>
      <c r="K505" s="186"/>
      <c r="L505" s="187"/>
      <c r="M505" s="188"/>
      <c r="N505" s="188"/>
      <c r="O505" s="188"/>
      <c r="P505" s="188"/>
      <c r="Q505" s="188"/>
      <c r="R505" s="188"/>
      <c r="S505" s="188"/>
      <c r="T505" s="188"/>
      <c r="U505" s="188"/>
      <c r="V505" s="188"/>
      <c r="W505" s="188"/>
      <c r="X505" s="188"/>
      <c r="Y505" s="188"/>
      <c r="Z505" s="188"/>
      <c r="AA505" s="188"/>
      <c r="AB505" s="189"/>
    </row>
    <row r="506" ht="12.75" customHeight="1">
      <c r="A506" t="s" s="145">
        <v>598</v>
      </c>
      <c r="B506" s="124">
        <v>133138</v>
      </c>
      <c r="C506" t="s" s="115">
        <v>188</v>
      </c>
      <c r="D506" t="s" s="109">
        <v>585</v>
      </c>
      <c r="E506" s="110"/>
      <c r="F506" s="111"/>
      <c r="G506" s="112">
        <v>18749</v>
      </c>
      <c r="H506" s="113">
        <v>105</v>
      </c>
      <c r="I506" s="114" cm="1">
        <f t="array" ref="I506">G506/H506</f>
        <v>178.561904761905</v>
      </c>
      <c r="J506" s="105"/>
      <c r="K506" s="101"/>
      <c r="L506" s="155"/>
      <c r="M506" s="156"/>
      <c r="N506" s="156"/>
      <c r="O506" s="156"/>
      <c r="P506" s="156"/>
      <c r="Q506" s="156"/>
      <c r="R506" s="156"/>
      <c r="S506" s="156"/>
      <c r="T506" s="156"/>
      <c r="U506" s="156"/>
      <c r="V506" s="156"/>
      <c r="W506" s="156"/>
      <c r="X506" s="156"/>
      <c r="Y506" s="156"/>
      <c r="Z506" s="156"/>
      <c r="AA506" s="156"/>
      <c r="AB506" s="157"/>
    </row>
    <row r="507" ht="12.75" customHeight="1">
      <c r="A507" t="s" s="78">
        <v>599</v>
      </c>
      <c r="B507" s="121">
        <v>34725</v>
      </c>
      <c r="C507" t="s" s="116">
        <v>278</v>
      </c>
      <c r="D507" t="s" s="79">
        <v>600</v>
      </c>
      <c r="E507" s="100"/>
      <c r="F507" s="101"/>
      <c r="G507" s="102">
        <v>1359.85</v>
      </c>
      <c r="H507" s="103">
        <v>9.5</v>
      </c>
      <c r="I507" s="104" cm="1">
        <f t="array" ref="I507">G507/H507</f>
        <v>143.142105263158</v>
      </c>
      <c r="J507" s="105"/>
      <c r="K507" s="101"/>
      <c r="L507" s="167"/>
      <c r="M507" s="168"/>
      <c r="N507" s="168"/>
      <c r="O507" s="168"/>
      <c r="P507" s="168"/>
      <c r="Q507" s="168"/>
      <c r="R507" s="168"/>
      <c r="S507" s="168"/>
      <c r="T507" s="168"/>
      <c r="U507" s="168"/>
      <c r="V507" s="168"/>
      <c r="W507" s="168"/>
      <c r="X507" s="168"/>
      <c r="Y507" s="168"/>
      <c r="Z507" s="168"/>
      <c r="AA507" s="168"/>
      <c r="AB507" s="168"/>
    </row>
    <row r="508" ht="12.75" customHeight="1">
      <c r="A508" t="s" s="145">
        <v>601</v>
      </c>
      <c r="B508" s="124">
        <v>1170</v>
      </c>
      <c r="C508" t="s" s="115">
        <v>211</v>
      </c>
      <c r="D508" t="s" s="109">
        <v>602</v>
      </c>
      <c r="E508" s="110"/>
      <c r="F508" s="111"/>
      <c r="G508" s="112">
        <v>1210000</v>
      </c>
      <c r="H508" s="113">
        <v>7114</v>
      </c>
      <c r="I508" s="114" cm="1">
        <f t="array" ref="I508">G508/H508</f>
        <v>170.087152094462</v>
      </c>
      <c r="J508" s="105"/>
      <c r="K508" s="101"/>
      <c r="L508" s="96"/>
      <c r="M508" s="75"/>
      <c r="N508" s="75"/>
      <c r="O508" s="75"/>
      <c r="P508" s="75"/>
      <c r="Q508" s="75"/>
      <c r="R508" s="75"/>
      <c r="S508" s="75"/>
      <c r="T508" s="75"/>
      <c r="U508" s="75"/>
      <c r="V508" s="75"/>
      <c r="W508" s="75"/>
      <c r="X508" s="75"/>
      <c r="Y508" s="75"/>
      <c r="Z508" s="75"/>
      <c r="AA508" s="75"/>
      <c r="AB508" s="75"/>
    </row>
    <row r="509" ht="12.75" customHeight="1">
      <c r="A509" t="s" s="78">
        <v>601</v>
      </c>
      <c r="B509" s="121">
        <v>3596</v>
      </c>
      <c r="C509" t="s" s="116">
        <v>255</v>
      </c>
      <c r="D509" t="s" s="79">
        <v>603</v>
      </c>
      <c r="E509" s="100"/>
      <c r="F509" s="101"/>
      <c r="G509" s="102">
        <v>28060</v>
      </c>
      <c r="H509" s="103">
        <v>165</v>
      </c>
      <c r="I509" s="104" cm="1">
        <f t="array" ref="I509">G509/H509</f>
        <v>170.060606060606</v>
      </c>
      <c r="J509" s="105"/>
      <c r="K509" s="101"/>
      <c r="L509" s="96"/>
      <c r="M509" s="75"/>
      <c r="N509" s="75"/>
      <c r="O509" s="75"/>
      <c r="P509" s="75"/>
      <c r="Q509" s="75"/>
      <c r="R509" s="75"/>
      <c r="S509" s="75"/>
      <c r="T509" s="75"/>
      <c r="U509" s="75"/>
      <c r="V509" s="75"/>
      <c r="W509" s="75"/>
      <c r="X509" s="75"/>
      <c r="Y509" s="75"/>
      <c r="Z509" s="75"/>
      <c r="AA509" s="75"/>
      <c r="AB509" s="75"/>
    </row>
    <row r="510" ht="12.75" customHeight="1">
      <c r="A510" t="s" s="145">
        <v>601</v>
      </c>
      <c r="B510" s="124">
        <v>318</v>
      </c>
      <c r="C510" t="s" s="115">
        <v>417</v>
      </c>
      <c r="D510" t="s" s="109">
        <v>604</v>
      </c>
      <c r="E510" s="110"/>
      <c r="F510" s="111"/>
      <c r="G510" s="112">
        <v>81560</v>
      </c>
      <c r="H510" s="113">
        <v>458</v>
      </c>
      <c r="I510" s="114" cm="1">
        <f t="array" ref="I510">G510/H510</f>
        <v>178.078602620087</v>
      </c>
      <c r="J510" s="105"/>
      <c r="K510" s="101"/>
      <c r="L510" s="96"/>
      <c r="M510" s="75"/>
      <c r="N510" s="75"/>
      <c r="O510" s="75"/>
      <c r="P510" s="75"/>
      <c r="Q510" s="75"/>
      <c r="R510" s="75"/>
      <c r="S510" s="75"/>
      <c r="T510" s="75"/>
      <c r="U510" s="75"/>
      <c r="V510" s="75"/>
      <c r="W510" s="75"/>
      <c r="X510" s="75"/>
      <c r="Y510" s="75"/>
      <c r="Z510" s="75"/>
      <c r="AA510" s="75"/>
      <c r="AB510" s="75"/>
    </row>
    <row r="511" ht="12.75" customHeight="1">
      <c r="A511" t="s" s="78">
        <v>605</v>
      </c>
      <c r="B511" s="121">
        <v>914</v>
      </c>
      <c r="C511" t="s" s="116">
        <v>330</v>
      </c>
      <c r="D511" t="s" s="79">
        <v>606</v>
      </c>
      <c r="E511" s="100"/>
      <c r="F511" s="101"/>
      <c r="G511" s="102">
        <v>1200</v>
      </c>
      <c r="H511" s="103">
        <v>7</v>
      </c>
      <c r="I511" s="104" cm="1">
        <f t="array" ref="I511">G511/H511</f>
        <v>171.428571428571</v>
      </c>
      <c r="J511" s="105"/>
      <c r="K511" s="101"/>
      <c r="L511" s="96"/>
      <c r="M511" s="75"/>
      <c r="N511" s="75"/>
      <c r="O511" s="75"/>
      <c r="P511" s="75"/>
      <c r="Q511" s="75"/>
      <c r="R511" s="75"/>
      <c r="S511" s="75"/>
      <c r="T511" s="75"/>
      <c r="U511" s="75"/>
      <c r="V511" s="75"/>
      <c r="W511" s="75"/>
      <c r="X511" s="75"/>
      <c r="Y511" s="75"/>
      <c r="Z511" s="75"/>
      <c r="AA511" s="75"/>
      <c r="AB511" s="75"/>
    </row>
    <row r="512" ht="12.75" customHeight="1">
      <c r="A512" t="s" s="145">
        <v>607</v>
      </c>
      <c r="B512" s="124">
        <v>4562</v>
      </c>
      <c r="C512" t="s" s="115">
        <v>198</v>
      </c>
      <c r="D512" t="s" s="109">
        <v>608</v>
      </c>
      <c r="E512" s="110"/>
      <c r="F512" s="111"/>
      <c r="G512" s="112">
        <v>33427.78</v>
      </c>
      <c r="H512" s="113">
        <v>185</v>
      </c>
      <c r="I512" s="114" cm="1">
        <f t="array" ref="I512">G512/H512</f>
        <v>180.690702702703</v>
      </c>
      <c r="J512" s="105"/>
      <c r="K512" s="101"/>
      <c r="L512" s="96"/>
      <c r="M512" s="75"/>
      <c r="N512" s="75"/>
      <c r="O512" s="75"/>
      <c r="P512" s="75"/>
      <c r="Q512" s="75"/>
      <c r="R512" s="75"/>
      <c r="S512" s="75"/>
      <c r="T512" s="75"/>
      <c r="U512" s="75"/>
      <c r="V512" s="75"/>
      <c r="W512" s="75"/>
      <c r="X512" s="75"/>
      <c r="Y512" s="75"/>
      <c r="Z512" s="75"/>
      <c r="AA512" s="75"/>
      <c r="AB512" s="75"/>
    </row>
    <row r="513" ht="12.75" customHeight="1">
      <c r="A513" t="s" s="78">
        <v>607</v>
      </c>
      <c r="B513" s="98"/>
      <c r="C513" t="s" s="116">
        <v>34</v>
      </c>
      <c r="D513" t="s" s="79">
        <v>597</v>
      </c>
      <c r="E513" s="100"/>
      <c r="F513" s="101"/>
      <c r="G513" s="102">
        <v>2085.82</v>
      </c>
      <c r="H513" s="103" cm="1">
        <f t="array" ref="H513">G513/I513</f>
        <v>11.5878888888889</v>
      </c>
      <c r="I513" s="104">
        <v>180</v>
      </c>
      <c r="J513" s="105"/>
      <c r="K513" s="101"/>
      <c r="L513" s="96"/>
      <c r="M513" s="75"/>
      <c r="N513" s="75"/>
      <c r="O513" s="75"/>
      <c r="P513" s="75"/>
      <c r="Q513" s="75"/>
      <c r="R513" s="75"/>
      <c r="S513" s="75"/>
      <c r="T513" s="75"/>
      <c r="U513" s="75"/>
      <c r="V513" s="75"/>
      <c r="W513" s="75"/>
      <c r="X513" s="75"/>
      <c r="Y513" s="75"/>
      <c r="Z513" s="75"/>
      <c r="AA513" s="75"/>
      <c r="AB513" s="75"/>
    </row>
    <row r="514" ht="12.75" customHeight="1">
      <c r="A514" t="s" s="145">
        <v>609</v>
      </c>
      <c r="B514" s="107"/>
      <c r="C514" t="s" s="115">
        <v>278</v>
      </c>
      <c r="D514" t="s" s="109">
        <v>610</v>
      </c>
      <c r="E514" s="110"/>
      <c r="F514" s="111"/>
      <c r="G514" s="112">
        <v>2500</v>
      </c>
      <c r="H514" s="113">
        <v>15</v>
      </c>
      <c r="I514" s="114" cm="1">
        <f t="array" ref="I514">G514/H514</f>
        <v>166.666666666667</v>
      </c>
      <c r="J514" s="105"/>
      <c r="K514" s="101"/>
      <c r="L514" s="96"/>
      <c r="M514" s="75"/>
      <c r="N514" s="75"/>
      <c r="O514" s="75"/>
      <c r="P514" s="75"/>
      <c r="Q514" s="75"/>
      <c r="R514" s="75"/>
      <c r="S514" s="75"/>
      <c r="T514" s="75"/>
      <c r="U514" s="75"/>
      <c r="V514" s="75"/>
      <c r="W514" s="75"/>
      <c r="X514" s="75"/>
      <c r="Y514" s="75"/>
      <c r="Z514" s="75"/>
      <c r="AA514" s="75"/>
      <c r="AB514" s="75"/>
    </row>
    <row r="515" ht="12.75" customHeight="1">
      <c r="A515" t="s" s="78">
        <v>611</v>
      </c>
      <c r="B515" s="121">
        <v>4020</v>
      </c>
      <c r="C515" t="s" s="116">
        <v>278</v>
      </c>
      <c r="D515" t="s" s="79">
        <v>612</v>
      </c>
      <c r="E515" s="100"/>
      <c r="F515" s="101"/>
      <c r="G515" s="102">
        <v>2780.01</v>
      </c>
      <c r="H515" s="103">
        <v>19</v>
      </c>
      <c r="I515" s="104" cm="1">
        <f t="array" ref="I515">G515/H515</f>
        <v>146.316315789474</v>
      </c>
      <c r="J515" s="105"/>
      <c r="K515" s="101"/>
      <c r="L515" s="96"/>
      <c r="M515" s="75"/>
      <c r="N515" s="75"/>
      <c r="O515" s="75"/>
      <c r="P515" s="75"/>
      <c r="Q515" s="75"/>
      <c r="R515" s="75"/>
      <c r="S515" s="75"/>
      <c r="T515" s="75"/>
      <c r="U515" s="75"/>
      <c r="V515" s="75"/>
      <c r="W515" s="75"/>
      <c r="X515" s="75"/>
      <c r="Y515" s="75"/>
      <c r="Z515" s="75"/>
      <c r="AA515" s="75"/>
      <c r="AB515" s="75"/>
    </row>
    <row r="516" ht="12.75" customHeight="1">
      <c r="A516" t="s" s="145">
        <v>611</v>
      </c>
      <c r="B516" s="124">
        <v>11633</v>
      </c>
      <c r="C516" t="s" s="115">
        <v>220</v>
      </c>
      <c r="D516" t="s" s="109">
        <v>613</v>
      </c>
      <c r="E516" s="110"/>
      <c r="F516" s="111"/>
      <c r="G516" s="112">
        <v>226110.26</v>
      </c>
      <c r="H516" s="113">
        <v>1507</v>
      </c>
      <c r="I516" s="114" cm="1">
        <f t="array" ref="I516">G516/H516</f>
        <v>150.0399867286</v>
      </c>
      <c r="J516" s="105"/>
      <c r="K516" s="101"/>
      <c r="L516" s="96"/>
      <c r="M516" s="75"/>
      <c r="N516" s="75"/>
      <c r="O516" s="75"/>
      <c r="P516" s="75"/>
      <c r="Q516" s="75"/>
      <c r="R516" s="75"/>
      <c r="S516" s="75"/>
      <c r="T516" s="75"/>
      <c r="U516" s="75"/>
      <c r="V516" s="75"/>
      <c r="W516" s="75"/>
      <c r="X516" s="75"/>
      <c r="Y516" s="75"/>
      <c r="Z516" s="75"/>
      <c r="AA516" s="75"/>
      <c r="AB516" s="75"/>
    </row>
    <row r="517" ht="12.75" customHeight="1">
      <c r="A517" t="s" s="78">
        <v>614</v>
      </c>
      <c r="B517" s="121">
        <v>4643</v>
      </c>
      <c r="C517" t="s" s="116">
        <v>198</v>
      </c>
      <c r="D517" t="s" s="79">
        <v>591</v>
      </c>
      <c r="E517" s="100"/>
      <c r="F517" s="101"/>
      <c r="G517" s="102">
        <v>13220.94</v>
      </c>
      <c r="H517" s="103">
        <v>78</v>
      </c>
      <c r="I517" s="104" cm="1">
        <f t="array" ref="I517">G517/H517</f>
        <v>169.499230769231</v>
      </c>
      <c r="J517" s="105"/>
      <c r="K517" s="101"/>
      <c r="L517" s="96"/>
      <c r="M517" s="75"/>
      <c r="N517" s="75"/>
      <c r="O517" s="75"/>
      <c r="P517" s="75"/>
      <c r="Q517" s="75"/>
      <c r="R517" s="75"/>
      <c r="S517" s="75"/>
      <c r="T517" s="75"/>
      <c r="U517" s="75"/>
      <c r="V517" s="75"/>
      <c r="W517" s="75"/>
      <c r="X517" s="75"/>
      <c r="Y517" s="75"/>
      <c r="Z517" s="75"/>
      <c r="AA517" s="75"/>
      <c r="AB517" s="75"/>
    </row>
    <row r="518" ht="12.75" customHeight="1">
      <c r="A518" t="s" s="145">
        <v>614</v>
      </c>
      <c r="B518" s="124">
        <v>1107</v>
      </c>
      <c r="C518" t="s" s="115">
        <v>615</v>
      </c>
      <c r="D518" t="s" s="109">
        <v>613</v>
      </c>
      <c r="E518" s="110"/>
      <c r="F518" s="111"/>
      <c r="G518" s="112">
        <v>5993.98</v>
      </c>
      <c r="H518" s="113">
        <v>40</v>
      </c>
      <c r="I518" s="114" cm="1">
        <f t="array" ref="I518">G518/H518</f>
        <v>149.8495</v>
      </c>
      <c r="J518" s="105"/>
      <c r="K518" s="101"/>
      <c r="L518" s="96"/>
      <c r="M518" s="75"/>
      <c r="N518" s="75"/>
      <c r="O518" s="75"/>
      <c r="P518" s="75"/>
      <c r="Q518" s="75"/>
      <c r="R518" s="75"/>
      <c r="S518" s="75"/>
      <c r="T518" s="75"/>
      <c r="U518" s="75"/>
      <c r="V518" s="75"/>
      <c r="W518" s="75"/>
      <c r="X518" s="75"/>
      <c r="Y518" s="75"/>
      <c r="Z518" s="75"/>
      <c r="AA518" s="75"/>
      <c r="AB518" s="75"/>
    </row>
    <row r="519" ht="12.75" customHeight="1">
      <c r="A519" s="169">
        <v>43872</v>
      </c>
      <c r="B519" s="98"/>
      <c r="C519" t="s" s="116">
        <v>278</v>
      </c>
      <c r="D519" t="s" s="79">
        <v>523</v>
      </c>
      <c r="E519" s="100"/>
      <c r="F519" s="101"/>
      <c r="G519" s="102">
        <v>1200</v>
      </c>
      <c r="H519" s="103">
        <v>8</v>
      </c>
      <c r="I519" s="104" cm="1">
        <f t="array" ref="I519">G519/H519</f>
        <v>150</v>
      </c>
      <c r="J519" s="105"/>
      <c r="K519" s="101"/>
      <c r="L519" s="96"/>
      <c r="M519" s="75"/>
      <c r="N519" s="75"/>
      <c r="O519" s="75"/>
      <c r="P519" s="75"/>
      <c r="Q519" s="75"/>
      <c r="R519" s="75"/>
      <c r="S519" s="75"/>
      <c r="T519" s="75"/>
      <c r="U519" s="75"/>
      <c r="V519" s="75"/>
      <c r="W519" s="75"/>
      <c r="X519" s="75"/>
      <c r="Y519" s="75"/>
      <c r="Z519" s="75"/>
      <c r="AA519" s="75"/>
      <c r="AB519" s="75"/>
    </row>
    <row r="520" ht="12.75" customHeight="1">
      <c r="A520" s="170">
        <v>43901</v>
      </c>
      <c r="B520" s="124">
        <v>4714</v>
      </c>
      <c r="C520" t="s" s="115">
        <v>198</v>
      </c>
      <c r="D520" t="s" s="109">
        <v>616</v>
      </c>
      <c r="E520" s="110"/>
      <c r="F520" s="111"/>
      <c r="G520" s="112">
        <v>4578.85</v>
      </c>
      <c r="H520" s="113">
        <v>30</v>
      </c>
      <c r="I520" s="114" cm="1">
        <f t="array" ref="I520">G520/H520</f>
        <v>152.628333333333</v>
      </c>
      <c r="J520" s="105"/>
      <c r="K520" s="101"/>
      <c r="L520" s="96"/>
      <c r="M520" s="75"/>
      <c r="N520" s="75"/>
      <c r="O520" s="75"/>
      <c r="P520" s="75"/>
      <c r="Q520" s="75"/>
      <c r="R520" s="75"/>
      <c r="S520" s="75"/>
      <c r="T520" s="75"/>
      <c r="U520" s="75"/>
      <c r="V520" s="75"/>
      <c r="W520" s="75"/>
      <c r="X520" s="75"/>
      <c r="Y520" s="75"/>
      <c r="Z520" s="75"/>
      <c r="AA520" s="75"/>
      <c r="AB520" s="75"/>
    </row>
    <row r="521" ht="12.75" customHeight="1">
      <c r="A521" s="169">
        <v>43932</v>
      </c>
      <c r="B521" s="121">
        <v>12209</v>
      </c>
      <c r="C521" t="s" s="116">
        <v>278</v>
      </c>
      <c r="D521" t="s" s="79">
        <v>617</v>
      </c>
      <c r="E521" s="100"/>
      <c r="F521" s="101"/>
      <c r="G521" s="102">
        <v>125324.75</v>
      </c>
      <c r="H521" s="103">
        <v>835</v>
      </c>
      <c r="I521" s="104" cm="1">
        <f t="array" ref="I521">G521/H521</f>
        <v>150.089520958084</v>
      </c>
      <c r="J521" s="105"/>
      <c r="K521" s="101"/>
      <c r="L521" s="96"/>
      <c r="M521" s="75"/>
      <c r="N521" s="75"/>
      <c r="O521" s="75"/>
      <c r="P521" s="75"/>
      <c r="Q521" s="75"/>
      <c r="R521" s="75"/>
      <c r="S521" s="75"/>
      <c r="T521" s="75"/>
      <c r="U521" s="75"/>
      <c r="V521" s="75"/>
      <c r="W521" s="75"/>
      <c r="X521" s="75"/>
      <c r="Y521" s="75"/>
      <c r="Z521" s="75"/>
      <c r="AA521" s="75"/>
      <c r="AB521" s="75"/>
    </row>
    <row r="522" ht="12.75" customHeight="1">
      <c r="A522" s="170">
        <v>43962</v>
      </c>
      <c r="B522" s="124">
        <v>12216</v>
      </c>
      <c r="C522" t="s" s="115">
        <v>278</v>
      </c>
      <c r="D522" t="s" s="109">
        <v>617</v>
      </c>
      <c r="E522" s="110"/>
      <c r="F522" s="111"/>
      <c r="G522" s="112">
        <v>40017.59</v>
      </c>
      <c r="H522" s="113">
        <v>266</v>
      </c>
      <c r="I522" s="114" cm="1">
        <f t="array" ref="I522">G522/H522</f>
        <v>150.442067669173</v>
      </c>
      <c r="J522" s="105"/>
      <c r="K522" s="101"/>
      <c r="L522" s="96"/>
      <c r="M522" s="75"/>
      <c r="N522" s="75"/>
      <c r="O522" s="75"/>
      <c r="P522" s="75"/>
      <c r="Q522" s="75"/>
      <c r="R522" s="75"/>
      <c r="S522" s="75"/>
      <c r="T522" s="75"/>
      <c r="U522" s="75"/>
      <c r="V522" s="75"/>
      <c r="W522" s="75"/>
      <c r="X522" s="75"/>
      <c r="Y522" s="75"/>
      <c r="Z522" s="75"/>
      <c r="AA522" s="75"/>
      <c r="AB522" s="75"/>
    </row>
    <row r="523" ht="12.75" customHeight="1">
      <c r="A523" s="169">
        <v>43962</v>
      </c>
      <c r="B523" s="121">
        <v>588</v>
      </c>
      <c r="C523" t="s" s="116">
        <v>67</v>
      </c>
      <c r="D523" t="s" s="79">
        <v>618</v>
      </c>
      <c r="E523" s="100"/>
      <c r="F523" s="101"/>
      <c r="G523" s="102">
        <v>132723.43</v>
      </c>
      <c r="H523" s="103">
        <v>830</v>
      </c>
      <c r="I523" s="104" cm="1">
        <f t="array" ref="I523">G523/H523</f>
        <v>159.907746987952</v>
      </c>
      <c r="J523" s="105"/>
      <c r="K523" s="101"/>
      <c r="L523" s="96"/>
      <c r="M523" s="75"/>
      <c r="N523" s="75"/>
      <c r="O523" s="75"/>
      <c r="P523" s="75"/>
      <c r="Q523" s="75"/>
      <c r="R523" s="75"/>
      <c r="S523" s="75"/>
      <c r="T523" s="75"/>
      <c r="U523" s="75"/>
      <c r="V523" s="75"/>
      <c r="W523" s="75"/>
      <c r="X523" s="75"/>
      <c r="Y523" s="75"/>
      <c r="Z523" s="75"/>
      <c r="AA523" s="75"/>
      <c r="AB523" s="75"/>
    </row>
    <row r="524" ht="12.75" customHeight="1">
      <c r="A524" s="170">
        <v>43993</v>
      </c>
      <c r="B524" s="107"/>
      <c r="C524" t="s" s="115">
        <v>99</v>
      </c>
      <c r="D524" t="s" s="109">
        <v>619</v>
      </c>
      <c r="E524" s="110"/>
      <c r="F524" s="111"/>
      <c r="G524" s="112">
        <v>3774.34</v>
      </c>
      <c r="H524" s="113" cm="1">
        <f t="array" ref="H524">G524/I524</f>
        <v>25.1622666666667</v>
      </c>
      <c r="I524" s="114">
        <v>150</v>
      </c>
      <c r="J524" s="105"/>
      <c r="K524" s="101"/>
      <c r="L524" s="96"/>
      <c r="M524" s="75"/>
      <c r="N524" s="75"/>
      <c r="O524" s="75"/>
      <c r="P524" s="75"/>
      <c r="Q524" s="75"/>
      <c r="R524" s="75"/>
      <c r="S524" s="75"/>
      <c r="T524" s="75"/>
      <c r="U524" s="75"/>
      <c r="V524" s="75"/>
      <c r="W524" s="75"/>
      <c r="X524" s="75"/>
      <c r="Y524" s="75"/>
      <c r="Z524" s="75"/>
      <c r="AA524" s="75"/>
      <c r="AB524" s="75"/>
    </row>
    <row r="525" ht="12.75" customHeight="1">
      <c r="A525" s="169">
        <v>44023</v>
      </c>
      <c r="B525" s="121">
        <v>4773</v>
      </c>
      <c r="C525" t="s" s="116">
        <v>198</v>
      </c>
      <c r="D525" t="s" s="79">
        <v>620</v>
      </c>
      <c r="E525" s="100"/>
      <c r="F525" s="101"/>
      <c r="G525" s="102">
        <v>66806.149999999994</v>
      </c>
      <c r="H525" s="103">
        <v>450</v>
      </c>
      <c r="I525" s="104" cm="1">
        <f t="array" ref="I525">G525/H525</f>
        <v>148.458111111111</v>
      </c>
      <c r="J525" s="105"/>
      <c r="K525" s="101"/>
      <c r="L525" s="96"/>
      <c r="M525" s="75"/>
      <c r="N525" s="75"/>
      <c r="O525" s="75"/>
      <c r="P525" s="75"/>
      <c r="Q525" s="75"/>
      <c r="R525" s="75"/>
      <c r="S525" s="75"/>
      <c r="T525" s="75"/>
      <c r="U525" s="75"/>
      <c r="V525" s="75"/>
      <c r="W525" s="75"/>
      <c r="X525" s="75"/>
      <c r="Y525" s="75"/>
      <c r="Z525" s="75"/>
      <c r="AA525" s="75"/>
      <c r="AB525" s="75"/>
    </row>
    <row r="526" ht="12.75" customHeight="1">
      <c r="A526" s="170">
        <v>44085</v>
      </c>
      <c r="B526" s="124">
        <v>599</v>
      </c>
      <c r="C526" t="s" s="115">
        <v>67</v>
      </c>
      <c r="D526" t="s" s="109">
        <v>621</v>
      </c>
      <c r="E526" s="110"/>
      <c r="F526" s="111"/>
      <c r="G526" s="112">
        <v>44184.97</v>
      </c>
      <c r="H526" s="113">
        <v>295</v>
      </c>
      <c r="I526" s="114" cm="1">
        <f t="array" ref="I526">G526/H526</f>
        <v>149.779559322034</v>
      </c>
      <c r="J526" s="105"/>
      <c r="K526" s="101"/>
      <c r="L526" s="96"/>
      <c r="M526" s="75"/>
      <c r="N526" s="75"/>
      <c r="O526" s="75"/>
      <c r="P526" s="75"/>
      <c r="Q526" s="75"/>
      <c r="R526" s="75"/>
      <c r="S526" s="75"/>
      <c r="T526" s="75"/>
      <c r="U526" s="75"/>
      <c r="V526" s="75"/>
      <c r="W526" s="75"/>
      <c r="X526" s="75"/>
      <c r="Y526" s="75"/>
      <c r="Z526" s="75"/>
      <c r="AA526" s="75"/>
      <c r="AB526" s="75"/>
    </row>
    <row r="527" ht="12.75" customHeight="1">
      <c r="A527" s="169">
        <v>44146</v>
      </c>
      <c r="B527" s="98"/>
      <c r="C527" t="s" s="116">
        <v>278</v>
      </c>
      <c r="D527" t="s" s="79">
        <v>523</v>
      </c>
      <c r="E527" s="100"/>
      <c r="F527" s="101"/>
      <c r="G527" s="102">
        <v>6000</v>
      </c>
      <c r="H527" s="103">
        <v>40</v>
      </c>
      <c r="I527" s="104" cm="1">
        <f t="array" ref="I527">G527/H527</f>
        <v>150</v>
      </c>
      <c r="J527" s="105"/>
      <c r="K527" s="101"/>
      <c r="L527" s="96"/>
      <c r="M527" s="75"/>
      <c r="N527" s="75"/>
      <c r="O527" s="75"/>
      <c r="P527" s="75"/>
      <c r="Q527" s="75"/>
      <c r="R527" s="75"/>
      <c r="S527" s="75"/>
      <c r="T527" s="75"/>
      <c r="U527" s="75"/>
      <c r="V527" s="75"/>
      <c r="W527" s="75"/>
      <c r="X527" s="75"/>
      <c r="Y527" s="75"/>
      <c r="Z527" s="75"/>
      <c r="AA527" s="75"/>
      <c r="AB527" s="75"/>
    </row>
    <row r="528" ht="12.75" customHeight="1">
      <c r="A528" s="170">
        <v>44115</v>
      </c>
      <c r="B528" s="124">
        <v>3893</v>
      </c>
      <c r="C528" t="s" s="115">
        <v>255</v>
      </c>
      <c r="D528" t="s" s="109">
        <v>622</v>
      </c>
      <c r="E528" s="110"/>
      <c r="F528" s="111"/>
      <c r="G528" s="112">
        <v>78680</v>
      </c>
      <c r="H528" s="113">
        <v>463</v>
      </c>
      <c r="I528" s="114" cm="1">
        <f t="array" ref="I528">G528/H528</f>
        <v>169.935205183585</v>
      </c>
      <c r="J528" s="105"/>
      <c r="K528" s="101"/>
      <c r="L528" s="96"/>
      <c r="M528" s="75"/>
      <c r="N528" s="75"/>
      <c r="O528" s="75"/>
      <c r="P528" s="75"/>
      <c r="Q528" s="75"/>
      <c r="R528" s="75"/>
      <c r="S528" s="75"/>
      <c r="T528" s="75"/>
      <c r="U528" s="75"/>
      <c r="V528" s="75"/>
      <c r="W528" s="75"/>
      <c r="X528" s="75"/>
      <c r="Y528" s="75"/>
      <c r="Z528" s="75"/>
      <c r="AA528" s="75"/>
      <c r="AB528" s="75"/>
    </row>
    <row r="529" ht="12.75" customHeight="1">
      <c r="A529" s="169">
        <v>44115</v>
      </c>
      <c r="B529" s="98"/>
      <c r="C529" t="s" s="116">
        <v>41</v>
      </c>
      <c r="D529" t="s" s="79">
        <v>623</v>
      </c>
      <c r="E529" s="100"/>
      <c r="F529" s="101"/>
      <c r="G529" s="102">
        <v>16294.04</v>
      </c>
      <c r="H529" s="103" cm="1">
        <f t="array" ref="H529">G529/I529</f>
        <v>108.626933333333</v>
      </c>
      <c r="I529" s="104">
        <v>150</v>
      </c>
      <c r="J529" s="105"/>
      <c r="K529" s="101"/>
      <c r="L529" s="96"/>
      <c r="M529" s="75"/>
      <c r="N529" s="75"/>
      <c r="O529" s="75"/>
      <c r="P529" s="75"/>
      <c r="Q529" s="75"/>
      <c r="R529" s="75"/>
      <c r="S529" s="75"/>
      <c r="T529" s="75"/>
      <c r="U529" s="75"/>
      <c r="V529" s="75"/>
      <c r="W529" s="75"/>
      <c r="X529" s="75"/>
      <c r="Y529" s="75"/>
      <c r="Z529" s="75"/>
      <c r="AA529" s="75"/>
      <c r="AB529" s="75"/>
    </row>
    <row r="530" ht="12.75" customHeight="1">
      <c r="A530" s="170">
        <v>44176</v>
      </c>
      <c r="B530" s="124">
        <v>3941</v>
      </c>
      <c r="C530" t="s" s="115">
        <v>255</v>
      </c>
      <c r="D530" t="s" s="109">
        <v>511</v>
      </c>
      <c r="E530" s="110"/>
      <c r="F530" s="111"/>
      <c r="G530" s="112">
        <v>10723.97</v>
      </c>
      <c r="H530" s="113">
        <v>63</v>
      </c>
      <c r="I530" s="114" cm="1">
        <f t="array" ref="I530">G530/H530</f>
        <v>170.221746031746</v>
      </c>
      <c r="J530" s="105"/>
      <c r="K530" s="101"/>
      <c r="L530" s="96"/>
      <c r="M530" s="75"/>
      <c r="N530" s="75"/>
      <c r="O530" s="75"/>
      <c r="P530" s="75"/>
      <c r="Q530" s="75"/>
      <c r="R530" s="75"/>
      <c r="S530" s="75"/>
      <c r="T530" s="75"/>
      <c r="U530" s="75"/>
      <c r="V530" s="75"/>
      <c r="W530" s="75"/>
      <c r="X530" s="75"/>
      <c r="Y530" s="75"/>
      <c r="Z530" s="75"/>
      <c r="AA530" s="75"/>
      <c r="AB530" s="75"/>
    </row>
    <row r="531" ht="12.75" customHeight="1">
      <c r="A531" t="s" s="78">
        <v>624</v>
      </c>
      <c r="B531" s="121">
        <v>1186</v>
      </c>
      <c r="C531" t="s" s="116">
        <v>615</v>
      </c>
      <c r="D531" t="s" s="79">
        <v>625</v>
      </c>
      <c r="E531" s="100"/>
      <c r="F531" s="101"/>
      <c r="G531" s="102">
        <v>4574.24</v>
      </c>
      <c r="H531" s="103">
        <v>28</v>
      </c>
      <c r="I531" s="104" cm="1">
        <f t="array" ref="I531">G531/H531</f>
        <v>163.365714285714</v>
      </c>
      <c r="J531" s="105"/>
      <c r="K531" s="101"/>
      <c r="L531" s="96"/>
      <c r="M531" s="75"/>
      <c r="N531" s="75"/>
      <c r="O531" s="75"/>
      <c r="P531" s="75"/>
      <c r="Q531" s="75"/>
      <c r="R531" s="75"/>
      <c r="S531" s="75"/>
      <c r="T531" s="75"/>
      <c r="U531" s="75"/>
      <c r="V531" s="75"/>
      <c r="W531" s="75"/>
      <c r="X531" s="75"/>
      <c r="Y531" s="75"/>
      <c r="Z531" s="75"/>
      <c r="AA531" s="75"/>
      <c r="AB531" s="75"/>
    </row>
    <row r="532" ht="12.75" customHeight="1">
      <c r="A532" t="s" s="145">
        <v>624</v>
      </c>
      <c r="B532" s="107"/>
      <c r="C532" t="s" s="115">
        <v>41</v>
      </c>
      <c r="D532" t="s" s="109">
        <v>626</v>
      </c>
      <c r="E532" s="110"/>
      <c r="F532" s="111"/>
      <c r="G532" s="112">
        <v>30068.08</v>
      </c>
      <c r="H532" s="113" cm="1">
        <f t="array" ref="H532">G532/I532</f>
        <v>176.871058823529</v>
      </c>
      <c r="I532" s="114">
        <v>170</v>
      </c>
      <c r="J532" s="105"/>
      <c r="K532" s="101"/>
      <c r="L532" s="96"/>
      <c r="M532" s="75"/>
      <c r="N532" s="75"/>
      <c r="O532" s="75"/>
      <c r="P532" s="75"/>
      <c r="Q532" s="75"/>
      <c r="R532" s="75"/>
      <c r="S532" s="75"/>
      <c r="T532" s="75"/>
      <c r="U532" s="75"/>
      <c r="V532" s="75"/>
      <c r="W532" s="75"/>
      <c r="X532" s="75"/>
      <c r="Y532" s="75"/>
      <c r="Z532" s="75"/>
      <c r="AA532" s="75"/>
      <c r="AB532" s="75"/>
    </row>
    <row r="533" ht="12.75" customHeight="1">
      <c r="A533" t="s" s="78">
        <v>627</v>
      </c>
      <c r="B533" s="121">
        <v>260</v>
      </c>
      <c r="C533" t="s" s="116">
        <v>530</v>
      </c>
      <c r="D533" t="s" s="79">
        <v>628</v>
      </c>
      <c r="E533" s="100"/>
      <c r="F533" s="101"/>
      <c r="G533" s="102">
        <v>117223.29</v>
      </c>
      <c r="H533" s="103">
        <v>729</v>
      </c>
      <c r="I533" s="104" cm="1">
        <f t="array" ref="I533">G533/H533</f>
        <v>160.800123456790</v>
      </c>
      <c r="J533" s="105"/>
      <c r="K533" s="101"/>
      <c r="L533" s="96"/>
      <c r="M533" s="75"/>
      <c r="N533" s="75"/>
      <c r="O533" s="75"/>
      <c r="P533" s="75"/>
      <c r="Q533" s="75"/>
      <c r="R533" s="75"/>
      <c r="S533" s="75"/>
      <c r="T533" s="75"/>
      <c r="U533" s="75"/>
      <c r="V533" s="75"/>
      <c r="W533" s="75"/>
      <c r="X533" s="75"/>
      <c r="Y533" s="75"/>
      <c r="Z533" s="75"/>
      <c r="AA533" s="75"/>
      <c r="AB533" s="75"/>
    </row>
    <row r="534" ht="12.75" customHeight="1">
      <c r="A534" t="s" s="145">
        <v>627</v>
      </c>
      <c r="B534" s="124">
        <v>135634</v>
      </c>
      <c r="C534" t="s" s="116">
        <v>188</v>
      </c>
      <c r="D534" t="s" s="109">
        <v>585</v>
      </c>
      <c r="E534" s="110"/>
      <c r="F534" s="111"/>
      <c r="G534" s="112">
        <v>2735.83</v>
      </c>
      <c r="H534" s="113">
        <v>17</v>
      </c>
      <c r="I534" s="114" cm="1">
        <f t="array" ref="I534">G534/H534</f>
        <v>160.931176470588</v>
      </c>
      <c r="J534" s="105"/>
      <c r="K534" s="101"/>
      <c r="L534" s="96"/>
      <c r="M534" s="75"/>
      <c r="N534" s="75"/>
      <c r="O534" s="75"/>
      <c r="P534" s="75"/>
      <c r="Q534" s="75"/>
      <c r="R534" s="75"/>
      <c r="S534" s="75"/>
      <c r="T534" s="75"/>
      <c r="U534" s="75"/>
      <c r="V534" s="75"/>
      <c r="W534" s="75"/>
      <c r="X534" s="75"/>
      <c r="Y534" s="75"/>
      <c r="Z534" s="75"/>
      <c r="AA534" s="75"/>
      <c r="AB534" s="75"/>
    </row>
    <row r="535" ht="12.75" customHeight="1">
      <c r="A535" t="s" s="78">
        <v>629</v>
      </c>
      <c r="B535" s="98"/>
      <c r="C535" t="s" s="116">
        <v>41</v>
      </c>
      <c r="D535" t="s" s="79">
        <v>630</v>
      </c>
      <c r="E535" s="100"/>
      <c r="F535" s="101"/>
      <c r="G535" s="102">
        <v>746.91</v>
      </c>
      <c r="H535" s="103" cm="1">
        <f t="array" ref="H535">G535/I535</f>
        <v>4.6681875</v>
      </c>
      <c r="I535" s="104">
        <v>160</v>
      </c>
      <c r="J535" s="105"/>
      <c r="K535" s="101"/>
      <c r="L535" s="96"/>
      <c r="M535" s="75"/>
      <c r="N535" s="75"/>
      <c r="O535" s="75"/>
      <c r="P535" s="75"/>
      <c r="Q535" s="75"/>
      <c r="R535" s="75"/>
      <c r="S535" s="75"/>
      <c r="T535" s="75"/>
      <c r="U535" s="75"/>
      <c r="V535" s="75"/>
      <c r="W535" s="75"/>
      <c r="X535" s="75"/>
      <c r="Y535" s="75"/>
      <c r="Z535" s="75"/>
      <c r="AA535" s="75"/>
      <c r="AB535" s="75"/>
    </row>
    <row r="536" ht="12.75" customHeight="1">
      <c r="A536" t="s" s="145">
        <v>631</v>
      </c>
      <c r="B536" s="107"/>
      <c r="C536" t="s" s="115">
        <v>278</v>
      </c>
      <c r="D536" t="s" s="109">
        <v>523</v>
      </c>
      <c r="E536" s="110"/>
      <c r="F536" s="111"/>
      <c r="G536" s="112">
        <v>11500</v>
      </c>
      <c r="H536" s="113">
        <v>71</v>
      </c>
      <c r="I536" s="114" cm="1">
        <f t="array" ref="I536">G536/H536</f>
        <v>161.971830985915</v>
      </c>
      <c r="J536" s="105"/>
      <c r="K536" s="101"/>
      <c r="L536" s="96"/>
      <c r="M536" s="75"/>
      <c r="N536" s="75"/>
      <c r="O536" s="75"/>
      <c r="P536" s="75"/>
      <c r="Q536" s="75"/>
      <c r="R536" s="75"/>
      <c r="S536" s="75"/>
      <c r="T536" s="75"/>
      <c r="U536" s="75"/>
      <c r="V536" s="75"/>
      <c r="W536" s="75"/>
      <c r="X536" s="75"/>
      <c r="Y536" s="75"/>
      <c r="Z536" s="75"/>
      <c r="AA536" s="75"/>
      <c r="AB536" s="75"/>
    </row>
    <row r="537" ht="12.75" customHeight="1">
      <c r="A537" t="s" s="78">
        <v>632</v>
      </c>
      <c r="B537" s="121">
        <v>9696</v>
      </c>
      <c r="C537" t="s" s="116">
        <v>276</v>
      </c>
      <c r="D537" t="s" s="79">
        <v>511</v>
      </c>
      <c r="E537" s="100"/>
      <c r="F537" s="101"/>
      <c r="G537" s="102">
        <v>22887.19</v>
      </c>
      <c r="H537" s="103">
        <v>147</v>
      </c>
      <c r="I537" s="104" cm="1">
        <f t="array" ref="I537">G537/H537</f>
        <v>155.695170068027</v>
      </c>
      <c r="J537" s="105"/>
      <c r="K537" s="101"/>
      <c r="L537" s="96"/>
      <c r="M537" s="75"/>
      <c r="N537" s="75"/>
      <c r="O537" s="75"/>
      <c r="P537" s="75"/>
      <c r="Q537" s="75"/>
      <c r="R537" s="75"/>
      <c r="S537" s="75"/>
      <c r="T537" s="75"/>
      <c r="U537" s="75"/>
      <c r="V537" s="75"/>
      <c r="W537" s="75"/>
      <c r="X537" s="75"/>
      <c r="Y537" s="75"/>
      <c r="Z537" s="75"/>
      <c r="AA537" s="75"/>
      <c r="AB537" s="75"/>
    </row>
    <row r="538" ht="12.75" customHeight="1">
      <c r="A538" t="s" s="145">
        <v>632</v>
      </c>
      <c r="B538" s="124">
        <v>628</v>
      </c>
      <c r="C538" t="s" s="115">
        <v>67</v>
      </c>
      <c r="D538" t="s" s="109">
        <v>633</v>
      </c>
      <c r="E538" s="110"/>
      <c r="F538" s="111"/>
      <c r="G538" s="112">
        <v>12640.95</v>
      </c>
      <c r="H538" s="113">
        <v>81</v>
      </c>
      <c r="I538" s="114" cm="1">
        <f t="array" ref="I538">G538/H538</f>
        <v>156.061111111111</v>
      </c>
      <c r="J538" s="105"/>
      <c r="K538" s="101"/>
      <c r="L538" s="96"/>
      <c r="M538" s="75"/>
      <c r="N538" s="75"/>
      <c r="O538" s="75"/>
      <c r="P538" s="75"/>
      <c r="Q538" s="75"/>
      <c r="R538" s="75"/>
      <c r="S538" s="75"/>
      <c r="T538" s="75"/>
      <c r="U538" s="75"/>
      <c r="V538" s="75"/>
      <c r="W538" s="75"/>
      <c r="X538" s="75"/>
      <c r="Y538" s="75"/>
      <c r="Z538" s="75"/>
      <c r="AA538" s="75"/>
      <c r="AB538" s="75"/>
    </row>
    <row r="539" ht="12.75" customHeight="1">
      <c r="A539" s="169">
        <v>43933</v>
      </c>
      <c r="B539" s="98"/>
      <c r="C539" t="s" s="116">
        <v>99</v>
      </c>
      <c r="D539" t="s" s="79">
        <v>634</v>
      </c>
      <c r="E539" s="100"/>
      <c r="F539" s="101"/>
      <c r="G539" s="102">
        <v>4164.51</v>
      </c>
      <c r="H539" s="103" cm="1">
        <f t="array" ref="H539">G539/I539</f>
        <v>27.7634</v>
      </c>
      <c r="I539" s="104">
        <v>150</v>
      </c>
      <c r="J539" s="105"/>
      <c r="K539" s="101"/>
      <c r="L539" s="96"/>
      <c r="M539" s="75"/>
      <c r="N539" s="75"/>
      <c r="O539" s="75"/>
      <c r="P539" s="75"/>
      <c r="Q539" s="75"/>
      <c r="R539" s="75"/>
      <c r="S539" s="75"/>
      <c r="T539" s="75"/>
      <c r="U539" s="75"/>
      <c r="V539" s="75"/>
      <c r="W539" s="75"/>
      <c r="X539" s="75"/>
      <c r="Y539" s="75"/>
      <c r="Z539" s="75"/>
      <c r="AA539" s="75"/>
      <c r="AB539" s="75"/>
    </row>
    <row r="540" ht="12.75" customHeight="1">
      <c r="A540" s="170">
        <v>44086</v>
      </c>
      <c r="B540" s="124">
        <v>36152</v>
      </c>
      <c r="C540" t="s" s="115">
        <v>278</v>
      </c>
      <c r="D540" t="s" s="109">
        <v>635</v>
      </c>
      <c r="E540" s="110"/>
      <c r="F540" s="111"/>
      <c r="G540" s="112">
        <v>1508.01</v>
      </c>
      <c r="H540" s="113">
        <v>10</v>
      </c>
      <c r="I540" s="114" cm="1">
        <f t="array" ref="I540">G540/H540</f>
        <v>150.801</v>
      </c>
      <c r="J540" s="105"/>
      <c r="K540" s="101"/>
      <c r="L540" s="96"/>
      <c r="M540" s="75"/>
      <c r="N540" s="75"/>
      <c r="O540" s="75"/>
      <c r="P540" s="75"/>
      <c r="Q540" s="75"/>
      <c r="R540" s="75"/>
      <c r="S540" s="75"/>
      <c r="T540" s="75"/>
      <c r="U540" s="75"/>
      <c r="V540" s="75"/>
      <c r="W540" s="75"/>
      <c r="X540" s="75"/>
      <c r="Y540" s="75"/>
      <c r="Z540" s="75"/>
      <c r="AA540" s="75"/>
      <c r="AB540" s="75"/>
    </row>
    <row r="541" ht="12.75" customHeight="1">
      <c r="A541" s="169">
        <v>44116</v>
      </c>
      <c r="B541" s="98"/>
      <c r="C541" t="s" s="116">
        <v>41</v>
      </c>
      <c r="D541" t="s" s="79">
        <v>636</v>
      </c>
      <c r="E541" s="100"/>
      <c r="F541" s="101"/>
      <c r="G541" s="102">
        <v>16294.04</v>
      </c>
      <c r="H541" s="103" cm="1">
        <f t="array" ref="H541">G541/I541</f>
        <v>108.626933333333</v>
      </c>
      <c r="I541" s="104">
        <v>150</v>
      </c>
      <c r="J541" s="105"/>
      <c r="K541" s="101"/>
      <c r="L541" s="96"/>
      <c r="M541" s="75"/>
      <c r="N541" s="75"/>
      <c r="O541" s="75"/>
      <c r="P541" s="75"/>
      <c r="Q541" s="75"/>
      <c r="R541" s="75"/>
      <c r="S541" s="75"/>
      <c r="T541" s="75"/>
      <c r="U541" s="75"/>
      <c r="V541" s="75"/>
      <c r="W541" s="75"/>
      <c r="X541" s="75"/>
      <c r="Y541" s="75"/>
      <c r="Z541" s="75"/>
      <c r="AA541" s="75"/>
      <c r="AB541" s="75"/>
    </row>
    <row r="542" ht="12.75" customHeight="1">
      <c r="A542" s="170">
        <v>44147</v>
      </c>
      <c r="B542" s="107"/>
      <c r="C542" t="s" s="115">
        <v>34</v>
      </c>
      <c r="D542" t="s" s="109">
        <v>637</v>
      </c>
      <c r="E542" s="110"/>
      <c r="F542" s="111"/>
      <c r="G542" s="112">
        <v>2827.17</v>
      </c>
      <c r="H542" s="113" cm="1">
        <f t="array" ref="H542">G542/I542</f>
        <v>18.8478</v>
      </c>
      <c r="I542" s="114">
        <v>150</v>
      </c>
      <c r="J542" s="105"/>
      <c r="K542" s="101"/>
      <c r="L542" s="96"/>
      <c r="M542" s="75"/>
      <c r="N542" s="75"/>
      <c r="O542" s="75"/>
      <c r="P542" s="75"/>
      <c r="Q542" s="75"/>
      <c r="R542" s="75"/>
      <c r="S542" s="75"/>
      <c r="T542" s="75"/>
      <c r="U542" s="75"/>
      <c r="V542" s="75"/>
      <c r="W542" s="75"/>
      <c r="X542" s="75"/>
      <c r="Y542" s="75"/>
      <c r="Z542" s="75"/>
      <c r="AA542" s="75"/>
      <c r="AB542" s="75"/>
    </row>
    <row r="543" ht="12.75" customHeight="1">
      <c r="A543" t="s" s="78">
        <v>638</v>
      </c>
      <c r="B543" s="121">
        <v>4407</v>
      </c>
      <c r="C543" t="s" s="116">
        <v>198</v>
      </c>
      <c r="D543" t="s" s="79">
        <v>639</v>
      </c>
      <c r="E543" s="100"/>
      <c r="F543" s="101"/>
      <c r="G543" s="102">
        <v>13989.91</v>
      </c>
      <c r="H543" s="103">
        <v>94</v>
      </c>
      <c r="I543" s="104" cm="1">
        <f t="array" ref="I543">G543/H543</f>
        <v>148.828829787234</v>
      </c>
      <c r="J543" s="105"/>
      <c r="K543" s="101"/>
      <c r="L543" s="96"/>
      <c r="M543" s="75"/>
      <c r="N543" s="75"/>
      <c r="O543" s="75"/>
      <c r="P543" s="75"/>
      <c r="Q543" s="75"/>
      <c r="R543" s="75"/>
      <c r="S543" s="75"/>
      <c r="T543" s="75"/>
      <c r="U543" s="75"/>
      <c r="V543" s="75"/>
      <c r="W543" s="75"/>
      <c r="X543" s="75"/>
      <c r="Y543" s="75"/>
      <c r="Z543" s="75"/>
      <c r="AA543" s="75"/>
      <c r="AB543" s="75"/>
    </row>
    <row r="544" ht="12.75" customHeight="1">
      <c r="A544" t="s" s="145">
        <v>640</v>
      </c>
      <c r="B544" s="124">
        <v>118</v>
      </c>
      <c r="C544" t="s" s="115">
        <v>278</v>
      </c>
      <c r="D544" t="s" s="109">
        <v>641</v>
      </c>
      <c r="E544" s="110"/>
      <c r="F544" s="111"/>
      <c r="G544" s="112">
        <v>1936.52</v>
      </c>
      <c r="H544" s="113">
        <v>13</v>
      </c>
      <c r="I544" s="114" cm="1">
        <f t="array" ref="I544">G544/H544</f>
        <v>148.963076923077</v>
      </c>
      <c r="J544" s="105"/>
      <c r="K544" s="101"/>
      <c r="L544" s="96"/>
      <c r="M544" s="75"/>
      <c r="N544" s="75"/>
      <c r="O544" s="75"/>
      <c r="P544" s="75"/>
      <c r="Q544" s="75"/>
      <c r="R544" s="75"/>
      <c r="S544" s="75"/>
      <c r="T544" s="75"/>
      <c r="U544" s="75"/>
      <c r="V544" s="75"/>
      <c r="W544" s="75"/>
      <c r="X544" s="75"/>
      <c r="Y544" s="75"/>
      <c r="Z544" s="75"/>
      <c r="AA544" s="75"/>
      <c r="AB544" s="75"/>
    </row>
    <row r="545" ht="12.75" customHeight="1">
      <c r="A545" t="s" s="78">
        <v>640</v>
      </c>
      <c r="B545" s="98"/>
      <c r="C545" t="s" s="116">
        <v>34</v>
      </c>
      <c r="D545" t="s" s="79">
        <v>642</v>
      </c>
      <c r="E545" s="100"/>
      <c r="F545" s="101"/>
      <c r="G545" s="102">
        <v>2739.39</v>
      </c>
      <c r="H545" s="103" cm="1">
        <f t="array" ref="H545">G545/I545</f>
        <v>18.2626</v>
      </c>
      <c r="I545" s="104">
        <v>150</v>
      </c>
      <c r="J545" s="105"/>
      <c r="K545" s="101"/>
      <c r="L545" s="96"/>
      <c r="M545" s="75"/>
      <c r="N545" s="75"/>
      <c r="O545" s="75"/>
      <c r="P545" s="75"/>
      <c r="Q545" s="75"/>
      <c r="R545" s="75"/>
      <c r="S545" s="75"/>
      <c r="T545" s="75"/>
      <c r="U545" s="75"/>
      <c r="V545" s="75"/>
      <c r="W545" s="75"/>
      <c r="X545" s="75"/>
      <c r="Y545" s="75"/>
      <c r="Z545" s="75"/>
      <c r="AA545" s="75"/>
      <c r="AB545" s="75"/>
    </row>
    <row r="546" ht="12.75" customHeight="1">
      <c r="A546" t="s" s="145">
        <v>643</v>
      </c>
      <c r="B546" s="107"/>
      <c r="C546" t="s" s="115">
        <v>276</v>
      </c>
      <c r="D546" t="s" s="109">
        <v>622</v>
      </c>
      <c r="E546" s="110"/>
      <c r="F546" s="111"/>
      <c r="G546" s="112">
        <v>15972.15</v>
      </c>
      <c r="H546" s="113">
        <v>106</v>
      </c>
      <c r="I546" s="114">
        <v>150</v>
      </c>
      <c r="J546" s="105"/>
      <c r="K546" s="101"/>
      <c r="L546" s="96"/>
      <c r="M546" s="75"/>
      <c r="N546" s="75"/>
      <c r="O546" s="75"/>
      <c r="P546" s="75"/>
      <c r="Q546" s="75"/>
      <c r="R546" s="75"/>
      <c r="S546" s="75"/>
      <c r="T546" s="75"/>
      <c r="U546" s="75"/>
      <c r="V546" s="75"/>
      <c r="W546" s="75"/>
      <c r="X546" s="75"/>
      <c r="Y546" s="75"/>
      <c r="Z546" s="75"/>
      <c r="AA546" s="75"/>
      <c r="AB546" s="75"/>
    </row>
    <row r="547" ht="12.75" customHeight="1">
      <c r="A547" s="169">
        <v>44287</v>
      </c>
      <c r="B547" s="121">
        <v>47148</v>
      </c>
      <c r="C547" t="s" s="116">
        <v>276</v>
      </c>
      <c r="D547" t="s" s="79">
        <v>644</v>
      </c>
      <c r="E547" s="100"/>
      <c r="F547" s="101"/>
      <c r="G547" s="102">
        <v>5879.43</v>
      </c>
      <c r="H547" s="103" cm="1">
        <f t="array" ref="H547">G547/I547</f>
        <v>39.1962</v>
      </c>
      <c r="I547" s="104">
        <v>150</v>
      </c>
      <c r="J547" s="105"/>
      <c r="K547" s="101"/>
      <c r="L547" s="96"/>
      <c r="M547" s="75"/>
      <c r="N547" s="75"/>
      <c r="O547" s="75"/>
      <c r="P547" s="75"/>
      <c r="Q547" s="75"/>
      <c r="R547" s="75"/>
      <c r="S547" s="75"/>
      <c r="T547" s="75"/>
      <c r="U547" s="75"/>
      <c r="V547" s="75"/>
      <c r="W547" s="75"/>
      <c r="X547" s="75"/>
      <c r="Y547" s="75"/>
      <c r="Z547" s="75"/>
      <c r="AA547" s="75"/>
      <c r="AB547" s="75"/>
    </row>
    <row r="548" ht="12.75" customHeight="1">
      <c r="A548" s="170">
        <v>44287</v>
      </c>
      <c r="B548" s="124">
        <v>5428</v>
      </c>
      <c r="C548" t="s" s="115">
        <v>198</v>
      </c>
      <c r="D548" t="s" s="109">
        <v>645</v>
      </c>
      <c r="E548" s="110"/>
      <c r="F548" s="111"/>
      <c r="G548" s="112">
        <v>35029.03</v>
      </c>
      <c r="H548" s="113" cm="1">
        <f t="array" ref="H548">G548/I548</f>
        <v>224.545064102564</v>
      </c>
      <c r="I548" s="114" cm="1">
        <f t="array" ref="I548">G555/H555</f>
        <v>156</v>
      </c>
      <c r="J548" s="105"/>
      <c r="K548" s="101"/>
      <c r="L548" s="96"/>
      <c r="M548" s="75"/>
      <c r="N548" s="75"/>
      <c r="O548" s="75"/>
      <c r="P548" s="75"/>
      <c r="Q548" s="75"/>
      <c r="R548" s="75"/>
      <c r="S548" s="75"/>
      <c r="T548" s="75"/>
      <c r="U548" s="75"/>
      <c r="V548" s="75"/>
      <c r="W548" s="75"/>
      <c r="X548" s="75"/>
      <c r="Y548" s="75"/>
      <c r="Z548" s="75"/>
      <c r="AA548" s="75"/>
      <c r="AB548" s="75"/>
    </row>
    <row r="549" ht="12.75" customHeight="1">
      <c r="A549" s="169">
        <v>44287</v>
      </c>
      <c r="B549" s="98"/>
      <c r="C549" t="s" s="116">
        <v>99</v>
      </c>
      <c r="D549" t="s" s="79">
        <v>646</v>
      </c>
      <c r="E549" s="100"/>
      <c r="F549" s="101"/>
      <c r="G549" s="102">
        <v>4172.45</v>
      </c>
      <c r="H549" s="103" cm="1">
        <f t="array" ref="H549">H555/I549</f>
        <v>5.97996068376069</v>
      </c>
      <c r="I549" s="104">
        <v>150</v>
      </c>
      <c r="J549" s="105"/>
      <c r="K549" s="101"/>
      <c r="L549" s="96"/>
      <c r="M549" s="75"/>
      <c r="N549" s="75"/>
      <c r="O549" s="75"/>
      <c r="P549" s="75"/>
      <c r="Q549" s="75"/>
      <c r="R549" s="75"/>
      <c r="S549" s="75"/>
      <c r="T549" s="75"/>
      <c r="U549" s="75"/>
      <c r="V549" s="75"/>
      <c r="W549" s="75"/>
      <c r="X549" s="75"/>
      <c r="Y549" s="75"/>
      <c r="Z549" s="75"/>
      <c r="AA549" s="75"/>
      <c r="AB549" s="75"/>
    </row>
    <row r="550" ht="12.75" customHeight="1">
      <c r="A550" t="s" s="145">
        <v>647</v>
      </c>
      <c r="B550" s="124">
        <v>88629</v>
      </c>
      <c r="C550" t="s" s="115">
        <v>67</v>
      </c>
      <c r="D550" t="s" s="109">
        <v>648</v>
      </c>
      <c r="E550" s="110"/>
      <c r="F550" s="111"/>
      <c r="G550" s="112">
        <v>171033.25</v>
      </c>
      <c r="H550" s="113">
        <v>1096</v>
      </c>
      <c r="I550" s="114" cm="1">
        <f t="array" ref="I550">G550/H550</f>
        <v>156.052235401460</v>
      </c>
      <c r="J550" s="105"/>
      <c r="K550" s="101"/>
      <c r="L550" s="96"/>
      <c r="M550" s="75"/>
      <c r="N550" s="75"/>
      <c r="O550" s="75"/>
      <c r="P550" s="75"/>
      <c r="Q550" s="75"/>
      <c r="R550" s="75"/>
      <c r="S550" s="75"/>
      <c r="T550" s="75"/>
      <c r="U550" s="75"/>
      <c r="V550" s="75"/>
      <c r="W550" s="75"/>
      <c r="X550" s="75"/>
      <c r="Y550" s="75"/>
      <c r="Z550" s="75"/>
      <c r="AA550" s="75"/>
      <c r="AB550" s="75"/>
    </row>
    <row r="551" ht="12.75" customHeight="1">
      <c r="A551" t="s" s="78">
        <v>647</v>
      </c>
      <c r="B551" s="98"/>
      <c r="C551" t="s" s="116">
        <v>41</v>
      </c>
      <c r="D551" t="s" s="79">
        <v>649</v>
      </c>
      <c r="E551" s="100"/>
      <c r="F551" s="101"/>
      <c r="G551" s="102">
        <v>14607.42</v>
      </c>
      <c r="H551" s="103" cm="1">
        <f t="array" ref="H551">G551/I551</f>
        <v>93.6373076923077</v>
      </c>
      <c r="I551" s="104">
        <v>156</v>
      </c>
      <c r="J551" s="105"/>
      <c r="K551" s="101"/>
      <c r="L551" s="96"/>
      <c r="M551" s="75"/>
      <c r="N551" s="75"/>
      <c r="O551" s="75"/>
      <c r="P551" s="75"/>
      <c r="Q551" s="75"/>
      <c r="R551" s="75"/>
      <c r="S551" s="75"/>
      <c r="T551" s="75"/>
      <c r="U551" s="75"/>
      <c r="V551" s="75"/>
      <c r="W551" s="75"/>
      <c r="X551" s="75"/>
      <c r="Y551" s="75"/>
      <c r="Z551" s="75"/>
      <c r="AA551" s="75"/>
      <c r="AB551" s="75"/>
    </row>
    <row r="552" ht="12.75" customHeight="1">
      <c r="A552" s="107"/>
      <c r="B552" s="107"/>
      <c r="C552" s="108"/>
      <c r="D552" s="171"/>
      <c r="E552" s="110"/>
      <c r="F552" s="111"/>
      <c r="G552" s="112"/>
      <c r="H552" s="113"/>
      <c r="I552" s="114"/>
      <c r="J552" s="105"/>
      <c r="K552" s="101"/>
      <c r="L552" s="96"/>
      <c r="M552" s="75"/>
      <c r="N552" s="75"/>
      <c r="O552" s="75"/>
      <c r="P552" s="75"/>
      <c r="Q552" s="75"/>
      <c r="R552" s="75"/>
      <c r="S552" s="75"/>
      <c r="T552" s="75"/>
      <c r="U552" s="75"/>
      <c r="V552" s="75"/>
      <c r="W552" s="75"/>
      <c r="X552" s="75"/>
      <c r="Y552" s="75"/>
      <c r="Z552" s="75"/>
      <c r="AA552" s="75"/>
      <c r="AB552" s="75"/>
    </row>
    <row r="553" ht="12.75" customHeight="1">
      <c r="A553" t="s" s="78">
        <v>650</v>
      </c>
      <c r="B553" s="98"/>
      <c r="C553" t="s" s="116">
        <v>34</v>
      </c>
      <c r="D553" t="s" s="79">
        <v>651</v>
      </c>
      <c r="E553" s="100"/>
      <c r="F553" s="101"/>
      <c r="G553" s="102">
        <v>2594.26</v>
      </c>
      <c r="H553" s="103" cm="1">
        <f t="array" ref="H553">G553/I553</f>
        <v>16.6298717948718</v>
      </c>
      <c r="I553" s="104">
        <v>156</v>
      </c>
      <c r="J553" s="105"/>
      <c r="K553" s="101"/>
      <c r="L553" s="96"/>
      <c r="M553" s="75"/>
      <c r="N553" s="75"/>
      <c r="O553" s="75"/>
      <c r="P553" s="75"/>
      <c r="Q553" s="75"/>
      <c r="R553" s="75"/>
      <c r="S553" s="75"/>
      <c r="T553" s="75"/>
      <c r="U553" s="75"/>
      <c r="V553" s="75"/>
      <c r="W553" s="75"/>
      <c r="X553" s="75"/>
      <c r="Y553" s="75"/>
      <c r="Z553" s="75"/>
      <c r="AA553" s="75"/>
      <c r="AB553" s="75"/>
    </row>
    <row r="554" ht="12.75" customHeight="1">
      <c r="A554" t="s" s="145">
        <v>652</v>
      </c>
      <c r="B554" s="124">
        <v>5667</v>
      </c>
      <c r="C554" t="s" s="115">
        <v>198</v>
      </c>
      <c r="D554" t="s" s="109">
        <v>653</v>
      </c>
      <c r="E554" s="110"/>
      <c r="F554" s="111"/>
      <c r="G554" s="112">
        <v>119615.72</v>
      </c>
      <c r="H554" s="113" cm="1">
        <f t="array" ref="H554">G554/I554</f>
        <v>766.767435897436</v>
      </c>
      <c r="I554" s="114">
        <v>156</v>
      </c>
      <c r="J554" s="105"/>
      <c r="K554" s="101"/>
      <c r="L554" s="96"/>
      <c r="M554" s="75"/>
      <c r="N554" s="75"/>
      <c r="O554" s="75"/>
      <c r="P554" s="75"/>
      <c r="Q554" s="75"/>
      <c r="R554" s="75"/>
      <c r="S554" s="75"/>
      <c r="T554" s="75"/>
      <c r="U554" s="75"/>
      <c r="V554" s="75"/>
      <c r="W554" s="75"/>
      <c r="X554" s="75"/>
      <c r="Y554" s="75"/>
      <c r="Z554" s="75"/>
      <c r="AA554" s="75"/>
      <c r="AB554" s="75"/>
    </row>
    <row r="555" ht="12.75" customHeight="1">
      <c r="A555" t="s" s="78">
        <v>652</v>
      </c>
      <c r="B555" s="121">
        <v>4933</v>
      </c>
      <c r="C555" t="s" s="116">
        <v>411</v>
      </c>
      <c r="D555" t="s" s="79">
        <v>654</v>
      </c>
      <c r="E555" s="100"/>
      <c r="F555" s="101"/>
      <c r="G555" s="102">
        <v>139931.08</v>
      </c>
      <c r="H555" s="103" cm="1">
        <f t="array" ref="H555">G555/I555</f>
        <v>896.9941025641029</v>
      </c>
      <c r="I555" s="104">
        <v>156</v>
      </c>
      <c r="J555" s="105"/>
      <c r="K555" s="101"/>
      <c r="L555" s="96"/>
      <c r="M555" s="75"/>
      <c r="N555" s="75"/>
      <c r="O555" s="75"/>
      <c r="P555" s="75"/>
      <c r="Q555" s="75"/>
      <c r="R555" s="75"/>
      <c r="S555" s="75"/>
      <c r="T555" s="75"/>
      <c r="U555" s="75"/>
      <c r="V555" s="75"/>
      <c r="W555" s="75"/>
      <c r="X555" s="75"/>
      <c r="Y555" s="75"/>
      <c r="Z555" s="75"/>
      <c r="AA555" s="75"/>
      <c r="AB555" s="75"/>
    </row>
    <row r="556" ht="12.75" customHeight="1">
      <c r="A556" t="s" s="145">
        <v>655</v>
      </c>
      <c r="B556" s="124">
        <v>13435</v>
      </c>
      <c r="C556" t="s" s="115">
        <v>220</v>
      </c>
      <c r="D556" t="s" s="109">
        <v>656</v>
      </c>
      <c r="E556" s="110"/>
      <c r="F556" s="111"/>
      <c r="G556" s="112">
        <v>99017.600000000006</v>
      </c>
      <c r="H556" s="113">
        <v>635</v>
      </c>
      <c r="I556" s="114" cm="1">
        <f t="array" ref="I556">G556/H556</f>
        <v>155.933228346457</v>
      </c>
      <c r="J556" s="105"/>
      <c r="K556" s="101"/>
      <c r="L556" s="96"/>
      <c r="M556" s="75"/>
      <c r="N556" s="75"/>
      <c r="O556" s="75"/>
      <c r="P556" s="75"/>
      <c r="Q556" s="75"/>
      <c r="R556" s="75"/>
      <c r="S556" s="75"/>
      <c r="T556" s="75"/>
      <c r="U556" s="75"/>
      <c r="V556" s="75"/>
      <c r="W556" s="75"/>
      <c r="X556" s="75"/>
      <c r="Y556" s="75"/>
      <c r="Z556" s="75"/>
      <c r="AA556" s="75"/>
      <c r="AB556" s="75"/>
    </row>
    <row r="557" ht="12.75" customHeight="1">
      <c r="A557" t="s" s="78">
        <v>657</v>
      </c>
      <c r="B557" s="121">
        <v>13455</v>
      </c>
      <c r="C557" t="s" s="116">
        <v>220</v>
      </c>
      <c r="D557" t="s" s="79">
        <v>658</v>
      </c>
      <c r="E557" s="100"/>
      <c r="F557" s="101"/>
      <c r="G557" s="102">
        <v>131275.57</v>
      </c>
      <c r="H557" s="103" cm="1">
        <f t="array" ref="H557">G557/I557</f>
        <v>863.655065789474</v>
      </c>
      <c r="I557" s="104">
        <v>152</v>
      </c>
      <c r="J557" s="105"/>
      <c r="K557" s="101"/>
      <c r="L557" s="96"/>
      <c r="M557" s="75"/>
      <c r="N557" s="75"/>
      <c r="O557" s="75"/>
      <c r="P557" s="75"/>
      <c r="Q557" s="75"/>
      <c r="R557" s="75"/>
      <c r="S557" s="75"/>
      <c r="T557" s="75"/>
      <c r="U557" s="75"/>
      <c r="V557" s="75"/>
      <c r="W557" s="75"/>
      <c r="X557" s="75"/>
      <c r="Y557" s="75"/>
      <c r="Z557" s="75"/>
      <c r="AA557" s="75"/>
      <c r="AB557" s="75"/>
    </row>
    <row r="558" ht="12.75" customHeight="1">
      <c r="A558" t="s" s="145">
        <v>657</v>
      </c>
      <c r="B558" s="124">
        <v>804</v>
      </c>
      <c r="C558" t="s" s="115">
        <v>278</v>
      </c>
      <c r="D558" t="s" s="109">
        <v>659</v>
      </c>
      <c r="E558" s="110"/>
      <c r="F558" s="111"/>
      <c r="G558" s="112">
        <v>1542750</v>
      </c>
      <c r="H558" s="113">
        <v>9953</v>
      </c>
      <c r="I558" s="114" cm="1">
        <f t="array" ref="I558">G558/H558</f>
        <v>155.003516527680</v>
      </c>
      <c r="J558" s="105"/>
      <c r="K558" s="101"/>
      <c r="L558" s="96"/>
      <c r="M558" s="75"/>
      <c r="N558" s="75"/>
      <c r="O558" s="75"/>
      <c r="P558" s="75"/>
      <c r="Q558" s="75"/>
      <c r="R558" s="75"/>
      <c r="S558" s="75"/>
      <c r="T558" s="75"/>
      <c r="U558" s="75"/>
      <c r="V558" s="75"/>
      <c r="W558" s="75"/>
      <c r="X558" s="75"/>
      <c r="Y558" s="75"/>
      <c r="Z558" s="75"/>
      <c r="AA558" s="75"/>
      <c r="AB558" s="75"/>
    </row>
    <row r="559" ht="12.75" customHeight="1">
      <c r="A559" t="s" s="78">
        <v>657</v>
      </c>
      <c r="B559" s="121">
        <v>415</v>
      </c>
      <c r="C559" t="s" s="116">
        <v>278</v>
      </c>
      <c r="D559" t="s" s="79">
        <v>660</v>
      </c>
      <c r="E559" s="100"/>
      <c r="F559" s="101"/>
      <c r="G559" s="102">
        <v>520455</v>
      </c>
      <c r="H559" s="103">
        <v>6500</v>
      </c>
      <c r="I559" s="104" cm="1">
        <f t="array" ref="I559">G559/H559</f>
        <v>80.06999999999999</v>
      </c>
      <c r="J559" s="105"/>
      <c r="K559" s="101"/>
      <c r="L559" s="96"/>
      <c r="M559" s="75"/>
      <c r="N559" s="75"/>
      <c r="O559" s="75"/>
      <c r="P559" s="75"/>
      <c r="Q559" s="75"/>
      <c r="R559" s="75"/>
      <c r="S559" s="75"/>
      <c r="T559" s="75"/>
      <c r="U559" s="75"/>
      <c r="V559" s="75"/>
      <c r="W559" s="75"/>
      <c r="X559" s="75"/>
      <c r="Y559" s="75"/>
      <c r="Z559" s="75"/>
      <c r="AA559" s="75"/>
      <c r="AB559" s="75"/>
    </row>
    <row r="560" ht="12.75" customHeight="1">
      <c r="A560" s="170">
        <v>44198</v>
      </c>
      <c r="B560" s="124">
        <v>4984</v>
      </c>
      <c r="C560" t="s" s="115">
        <v>255</v>
      </c>
      <c r="D560" t="s" s="109">
        <v>661</v>
      </c>
      <c r="E560" s="110"/>
      <c r="F560" s="111"/>
      <c r="G560" s="112">
        <v>55928.71</v>
      </c>
      <c r="H560" s="113">
        <v>366</v>
      </c>
      <c r="I560" s="114" cm="1">
        <f t="array" ref="I560">G560/H560</f>
        <v>152.810683060109</v>
      </c>
      <c r="J560" s="105"/>
      <c r="K560" s="101"/>
      <c r="L560" s="96"/>
      <c r="M560" s="75"/>
      <c r="N560" s="75"/>
      <c r="O560" s="75"/>
      <c r="P560" s="75"/>
      <c r="Q560" s="75"/>
      <c r="R560" s="75"/>
      <c r="S560" s="75"/>
      <c r="T560" s="75"/>
      <c r="U560" s="75"/>
      <c r="V560" s="75"/>
      <c r="W560" s="75"/>
      <c r="X560" s="75"/>
      <c r="Y560" s="75"/>
      <c r="Z560" s="75"/>
      <c r="AA560" s="75"/>
      <c r="AB560" s="75"/>
    </row>
    <row r="561" ht="12.75" customHeight="1">
      <c r="A561" s="169">
        <v>44229</v>
      </c>
      <c r="B561" s="121">
        <v>13537</v>
      </c>
      <c r="C561" t="s" s="116">
        <v>220</v>
      </c>
      <c r="D561" t="s" s="79">
        <v>661</v>
      </c>
      <c r="E561" s="100"/>
      <c r="F561" s="101"/>
      <c r="G561" s="102">
        <v>21648.77</v>
      </c>
      <c r="H561" s="103">
        <v>140</v>
      </c>
      <c r="I561" s="104" cm="1">
        <f t="array" ref="I561">G561/H561</f>
        <v>154.634071428571</v>
      </c>
      <c r="J561" s="105"/>
      <c r="K561" s="101"/>
      <c r="L561" s="96"/>
      <c r="M561" s="75"/>
      <c r="N561" s="75"/>
      <c r="O561" s="75"/>
      <c r="P561" s="75"/>
      <c r="Q561" s="75"/>
      <c r="R561" s="75"/>
      <c r="S561" s="75"/>
      <c r="T561" s="75"/>
      <c r="U561" s="75"/>
      <c r="V561" s="75"/>
      <c r="W561" s="75"/>
      <c r="X561" s="75"/>
      <c r="Y561" s="75"/>
      <c r="Z561" s="75"/>
      <c r="AA561" s="75"/>
      <c r="AB561" s="75"/>
    </row>
    <row r="562" ht="12.75" customHeight="1">
      <c r="A562" s="170">
        <v>44229</v>
      </c>
      <c r="B562" s="124">
        <v>13538</v>
      </c>
      <c r="C562" t="s" s="115">
        <v>220</v>
      </c>
      <c r="D562" t="s" s="109">
        <v>661</v>
      </c>
      <c r="E562" s="110"/>
      <c r="F562" s="111"/>
      <c r="G562" s="112">
        <v>13161.06</v>
      </c>
      <c r="H562" s="113">
        <v>86</v>
      </c>
      <c r="I562" s="114" cm="1">
        <f t="array" ref="I562">G562/H562</f>
        <v>153.035581395349</v>
      </c>
      <c r="J562" s="105"/>
      <c r="K562" s="101"/>
      <c r="L562" s="96"/>
      <c r="M562" s="75"/>
      <c r="N562" s="75"/>
      <c r="O562" s="75"/>
      <c r="P562" s="75"/>
      <c r="Q562" s="75"/>
      <c r="R562" s="75"/>
      <c r="S562" s="75"/>
      <c r="T562" s="75"/>
      <c r="U562" s="75"/>
      <c r="V562" s="75"/>
      <c r="W562" s="75"/>
      <c r="X562" s="75"/>
      <c r="Y562" s="75"/>
      <c r="Z562" s="75"/>
      <c r="AA562" s="75"/>
      <c r="AB562" s="75"/>
    </row>
    <row r="563" ht="12.75" customHeight="1">
      <c r="A563" s="169">
        <v>44257</v>
      </c>
      <c r="B563" s="98"/>
      <c r="C563" t="s" s="116">
        <v>99</v>
      </c>
      <c r="D563" t="s" s="79">
        <v>662</v>
      </c>
      <c r="E563" s="100"/>
      <c r="F563" s="101"/>
      <c r="G563" s="102">
        <v>5219.36</v>
      </c>
      <c r="H563" s="103" cm="1">
        <f t="array" ref="H563">G563/I563</f>
        <v>34.7957333333333</v>
      </c>
      <c r="I563" s="104">
        <v>150</v>
      </c>
      <c r="J563" s="105"/>
      <c r="K563" s="101"/>
      <c r="L563" s="96"/>
      <c r="M563" s="75"/>
      <c r="N563" s="75"/>
      <c r="O563" s="75"/>
      <c r="P563" s="75"/>
      <c r="Q563" s="75"/>
      <c r="R563" s="75"/>
      <c r="S563" s="75"/>
      <c r="T563" s="75"/>
      <c r="U563" s="75"/>
      <c r="V563" s="75"/>
      <c r="W563" s="75"/>
      <c r="X563" s="75"/>
      <c r="Y563" s="75"/>
      <c r="Z563" s="75"/>
      <c r="AA563" s="75"/>
      <c r="AB563" s="75"/>
    </row>
    <row r="564" ht="12.75" customHeight="1">
      <c r="A564" t="s" s="145">
        <v>663</v>
      </c>
      <c r="B564" s="107"/>
      <c r="C564" t="s" s="115">
        <v>41</v>
      </c>
      <c r="D564" t="s" s="109">
        <v>664</v>
      </c>
      <c r="E564" s="110"/>
      <c r="F564" s="111"/>
      <c r="G564" s="112">
        <v>14607.42</v>
      </c>
      <c r="H564" s="113" cm="1">
        <f t="array" ref="H564">G564/I564</f>
        <v>97.3828</v>
      </c>
      <c r="I564" s="114">
        <v>150</v>
      </c>
      <c r="J564" s="105"/>
      <c r="K564" s="101"/>
      <c r="L564" s="96"/>
      <c r="M564" s="75"/>
      <c r="N564" s="75"/>
      <c r="O564" s="75"/>
      <c r="P564" s="75"/>
      <c r="Q564" s="75"/>
      <c r="R564" s="75"/>
      <c r="S564" s="75"/>
      <c r="T564" s="75"/>
      <c r="U564" s="75"/>
      <c r="V564" s="75"/>
      <c r="W564" s="75"/>
      <c r="X564" s="75"/>
      <c r="Y564" s="75"/>
      <c r="Z564" s="75"/>
      <c r="AA564" s="75"/>
      <c r="AB564" s="75"/>
    </row>
    <row r="565" ht="12.75" customHeight="1">
      <c r="A565" t="s" s="78">
        <v>665</v>
      </c>
      <c r="B565" s="121">
        <v>71</v>
      </c>
      <c r="C565" t="s" s="116">
        <v>278</v>
      </c>
      <c r="D565" t="s" s="79">
        <v>666</v>
      </c>
      <c r="E565" s="100"/>
      <c r="F565" s="101"/>
      <c r="G565" s="102">
        <v>9360</v>
      </c>
      <c r="H565" s="103">
        <v>62</v>
      </c>
      <c r="I565" s="104" cm="1">
        <f t="array" ref="I565">G565/H565</f>
        <v>150.967741935484</v>
      </c>
      <c r="J565" s="105"/>
      <c r="K565" s="101"/>
      <c r="L565" s="96"/>
      <c r="M565" s="75"/>
      <c r="N565" s="75"/>
      <c r="O565" s="75"/>
      <c r="P565" s="75"/>
      <c r="Q565" s="75"/>
      <c r="R565" s="75"/>
      <c r="S565" s="75"/>
      <c r="T565" s="75"/>
      <c r="U565" s="75"/>
      <c r="V565" s="75"/>
      <c r="W565" s="75"/>
      <c r="X565" s="75"/>
      <c r="Y565" s="75"/>
      <c r="Z565" s="75"/>
      <c r="AA565" s="75"/>
      <c r="AB565" s="75"/>
    </row>
    <row r="566" ht="12.75" customHeight="1">
      <c r="A566" t="s" s="145">
        <v>667</v>
      </c>
      <c r="B566" s="107"/>
      <c r="C566" t="s" s="115">
        <v>668</v>
      </c>
      <c r="D566" t="s" s="109">
        <v>561</v>
      </c>
      <c r="E566" s="110"/>
      <c r="F566" s="111"/>
      <c r="G566" s="112">
        <v>7270</v>
      </c>
      <c r="H566" s="113" cm="1">
        <f t="array" ref="H566">G566/I566</f>
        <v>48.4666666666667</v>
      </c>
      <c r="I566" s="114">
        <v>150</v>
      </c>
      <c r="J566" s="105"/>
      <c r="K566" s="101"/>
      <c r="L566" s="96"/>
      <c r="M566" s="75"/>
      <c r="N566" s="75"/>
      <c r="O566" s="75"/>
      <c r="P566" s="75"/>
      <c r="Q566" s="75"/>
      <c r="R566" s="75"/>
      <c r="S566" s="75"/>
      <c r="T566" s="75"/>
      <c r="U566" s="75"/>
      <c r="V566" s="75"/>
      <c r="W566" s="75"/>
      <c r="X566" s="75"/>
      <c r="Y566" s="75"/>
      <c r="Z566" s="75"/>
      <c r="AA566" s="75"/>
      <c r="AB566" s="75"/>
    </row>
    <row r="567" ht="12.75" customHeight="1">
      <c r="A567" t="s" s="78">
        <v>669</v>
      </c>
      <c r="B567" s="98"/>
      <c r="C567" t="s" s="116">
        <v>185</v>
      </c>
      <c r="D567" t="s" s="79">
        <v>670</v>
      </c>
      <c r="E567" s="100"/>
      <c r="F567" s="101"/>
      <c r="G567" s="102">
        <v>29740.3</v>
      </c>
      <c r="H567" s="103">
        <v>198</v>
      </c>
      <c r="I567" s="104" cm="1">
        <f t="array" ref="I567">G567/H567</f>
        <v>150.203535353535</v>
      </c>
      <c r="J567" s="105"/>
      <c r="K567" s="101"/>
      <c r="L567" s="96"/>
      <c r="M567" s="75"/>
      <c r="N567" s="75"/>
      <c r="O567" s="75"/>
      <c r="P567" s="75"/>
      <c r="Q567" s="75"/>
      <c r="R567" s="75"/>
      <c r="S567" s="75"/>
      <c r="T567" s="75"/>
      <c r="U567" s="75"/>
      <c r="V567" s="75"/>
      <c r="W567" s="75"/>
      <c r="X567" s="75"/>
      <c r="Y567" s="75"/>
      <c r="Z567" s="75"/>
      <c r="AA567" s="75"/>
      <c r="AB567" s="75"/>
    </row>
    <row r="568" ht="12.75" customHeight="1">
      <c r="A568" t="s" s="145">
        <v>671</v>
      </c>
      <c r="B568" s="107"/>
      <c r="C568" t="s" s="115">
        <v>34</v>
      </c>
      <c r="D568" t="s" s="109">
        <v>672</v>
      </c>
      <c r="E568" s="110"/>
      <c r="F568" s="111"/>
      <c r="G568" s="112">
        <v>2719.68</v>
      </c>
      <c r="H568" s="113" cm="1">
        <f t="array" ref="H568">G568/I568</f>
        <v>18.1312</v>
      </c>
      <c r="I568" s="114">
        <v>150</v>
      </c>
      <c r="J568" s="105"/>
      <c r="K568" s="101"/>
      <c r="L568" s="96"/>
      <c r="M568" s="75"/>
      <c r="N568" s="75"/>
      <c r="O568" s="75"/>
      <c r="P568" s="75"/>
      <c r="Q568" s="75"/>
      <c r="R568" s="75"/>
      <c r="S568" s="75"/>
      <c r="T568" s="75"/>
      <c r="U568" s="75"/>
      <c r="V568" s="75"/>
      <c r="W568" s="75"/>
      <c r="X568" s="75"/>
      <c r="Y568" s="75"/>
      <c r="Z568" s="75"/>
      <c r="AA568" s="75"/>
      <c r="AB568" s="75"/>
    </row>
    <row r="569" ht="12.75" customHeight="1">
      <c r="A569" t="s" s="78">
        <v>673</v>
      </c>
      <c r="B569" t="s" s="78">
        <v>674</v>
      </c>
      <c r="C569" t="s" s="116">
        <v>198</v>
      </c>
      <c r="D569" t="s" s="79">
        <v>675</v>
      </c>
      <c r="E569" s="100"/>
      <c r="F569" s="101"/>
      <c r="G569" s="102">
        <v>47602.41</v>
      </c>
      <c r="H569" s="103">
        <v>317</v>
      </c>
      <c r="I569" s="104" cm="1">
        <f t="array" ref="I569">G569/H569</f>
        <v>150.165331230284</v>
      </c>
      <c r="J569" s="105"/>
      <c r="K569" s="101"/>
      <c r="L569" s="96"/>
      <c r="M569" s="75"/>
      <c r="N569" s="75"/>
      <c r="O569" s="75"/>
      <c r="P569" s="75"/>
      <c r="Q569" s="75"/>
      <c r="R569" s="75"/>
      <c r="S569" s="75"/>
      <c r="T569" s="75"/>
      <c r="U569" s="75"/>
      <c r="V569" s="75"/>
      <c r="W569" s="75"/>
      <c r="X569" s="75"/>
      <c r="Y569" s="75"/>
      <c r="Z569" s="75"/>
      <c r="AA569" s="75"/>
      <c r="AB569" s="75"/>
    </row>
    <row r="570" ht="12.75" customHeight="1">
      <c r="A570" t="s" s="145">
        <v>673</v>
      </c>
      <c r="B570" s="124">
        <v>13917</v>
      </c>
      <c r="C570" t="s" s="115">
        <v>220</v>
      </c>
      <c r="D570" t="s" s="109">
        <v>511</v>
      </c>
      <c r="E570" s="110"/>
      <c r="F570" s="111"/>
      <c r="G570" s="112">
        <v>139112.43</v>
      </c>
      <c r="H570" s="113">
        <v>927</v>
      </c>
      <c r="I570" s="114" cm="1">
        <f t="array" ref="I570">G570/H570</f>
        <v>150.067346278317</v>
      </c>
      <c r="J570" s="105"/>
      <c r="K570" s="101"/>
      <c r="L570" s="96"/>
      <c r="M570" s="75"/>
      <c r="N570" s="75"/>
      <c r="O570" s="75"/>
      <c r="P570" s="75"/>
      <c r="Q570" s="75"/>
      <c r="R570" s="75"/>
      <c r="S570" s="75"/>
      <c r="T570" s="75"/>
      <c r="U570" s="75"/>
      <c r="V570" s="75"/>
      <c r="W570" s="75"/>
      <c r="X570" s="75"/>
      <c r="Y570" s="75"/>
      <c r="Z570" s="75"/>
      <c r="AA570" s="75"/>
      <c r="AB570" s="75"/>
    </row>
    <row r="571" ht="12.75" customHeight="1">
      <c r="A571" t="s" s="78">
        <v>673</v>
      </c>
      <c r="B571" s="121">
        <v>771</v>
      </c>
      <c r="C571" t="s" s="116">
        <v>67</v>
      </c>
      <c r="D571" t="s" s="79">
        <v>511</v>
      </c>
      <c r="E571" s="100"/>
      <c r="F571" s="101"/>
      <c r="G571" s="102">
        <v>44922.7</v>
      </c>
      <c r="H571" s="103">
        <v>300</v>
      </c>
      <c r="I571" s="104" cm="1">
        <f t="array" ref="I571">G571/H571</f>
        <v>149.742333333333</v>
      </c>
      <c r="J571" s="105"/>
      <c r="K571" s="101"/>
      <c r="L571" s="96"/>
      <c r="M571" s="75"/>
      <c r="N571" s="75"/>
      <c r="O571" s="75"/>
      <c r="P571" s="75"/>
      <c r="Q571" s="75"/>
      <c r="R571" s="75"/>
      <c r="S571" s="75"/>
      <c r="T571" s="75"/>
      <c r="U571" s="75"/>
      <c r="V571" s="75"/>
      <c r="W571" s="75"/>
      <c r="X571" s="75"/>
      <c r="Y571" s="75"/>
      <c r="Z571" s="75"/>
      <c r="AA571" s="75"/>
      <c r="AB571" s="75"/>
    </row>
    <row r="572" ht="12.75" customHeight="1">
      <c r="A572" t="s" s="145">
        <v>673</v>
      </c>
      <c r="B572" s="124">
        <v>1049</v>
      </c>
      <c r="C572" t="s" s="115">
        <v>278</v>
      </c>
      <c r="D572" t="s" s="109">
        <v>676</v>
      </c>
      <c r="E572" s="110"/>
      <c r="F572" s="111"/>
      <c r="G572" s="112">
        <v>1039.04</v>
      </c>
      <c r="H572" s="113">
        <v>7</v>
      </c>
      <c r="I572" s="114" cm="1">
        <f t="array" ref="I572">G572/H572</f>
        <v>148.434285714286</v>
      </c>
      <c r="J572" s="105"/>
      <c r="K572" s="101"/>
      <c r="L572" s="96"/>
      <c r="M572" s="75"/>
      <c r="N572" s="75"/>
      <c r="O572" s="75"/>
      <c r="P572" s="75"/>
      <c r="Q572" s="75"/>
      <c r="R572" s="75"/>
      <c r="S572" s="75"/>
      <c r="T572" s="75"/>
      <c r="U572" s="75"/>
      <c r="V572" s="75"/>
      <c r="W572" s="75"/>
      <c r="X572" s="75"/>
      <c r="Y572" s="75"/>
      <c r="Z572" s="75"/>
      <c r="AA572" s="75"/>
      <c r="AB572" s="75"/>
    </row>
    <row r="573" ht="12.75" customHeight="1">
      <c r="A573" t="s" s="78">
        <v>673</v>
      </c>
      <c r="B573" s="98"/>
      <c r="C573" t="s" s="116">
        <v>32</v>
      </c>
      <c r="D573" t="s" s="79">
        <v>677</v>
      </c>
      <c r="E573" s="100"/>
      <c r="F573" s="101"/>
      <c r="G573" s="102">
        <v>196128</v>
      </c>
      <c r="H573" s="103" cm="1">
        <f t="array" ref="H573">G573/I573</f>
        <v>1307.52</v>
      </c>
      <c r="I573" s="104">
        <v>150</v>
      </c>
      <c r="J573" s="105"/>
      <c r="K573" s="101"/>
      <c r="L573" s="96"/>
      <c r="M573" s="75"/>
      <c r="N573" s="75"/>
      <c r="O573" s="75"/>
      <c r="P573" s="75"/>
      <c r="Q573" s="75"/>
      <c r="R573" s="75"/>
      <c r="S573" s="75"/>
      <c r="T573" s="75"/>
      <c r="U573" s="75"/>
      <c r="V573" s="75"/>
      <c r="W573" s="75"/>
      <c r="X573" s="75"/>
      <c r="Y573" s="75"/>
      <c r="Z573" s="75"/>
      <c r="AA573" s="75"/>
      <c r="AB573" s="75"/>
    </row>
    <row r="574" ht="12.75" customHeight="1">
      <c r="A574" t="s" s="145">
        <v>678</v>
      </c>
      <c r="B574" s="107"/>
      <c r="C574" t="s" s="115">
        <v>198</v>
      </c>
      <c r="D574" t="s" s="109">
        <v>679</v>
      </c>
      <c r="E574" s="110"/>
      <c r="F574" s="111"/>
      <c r="G574" s="112">
        <v>66384.53</v>
      </c>
      <c r="H574" s="113" cm="1">
        <f t="array" ref="H574">G574/I574</f>
        <v>442.563533333333</v>
      </c>
      <c r="I574" s="114">
        <v>150</v>
      </c>
      <c r="J574" s="105"/>
      <c r="K574" s="101"/>
      <c r="L574" s="96"/>
      <c r="M574" s="75"/>
      <c r="N574" s="75"/>
      <c r="O574" s="75"/>
      <c r="P574" s="75"/>
      <c r="Q574" s="75"/>
      <c r="R574" s="75"/>
      <c r="S574" s="75"/>
      <c r="T574" s="75"/>
      <c r="U574" s="75"/>
      <c r="V574" s="75"/>
      <c r="W574" s="75"/>
      <c r="X574" s="75"/>
      <c r="Y574" s="75"/>
      <c r="Z574" s="75"/>
      <c r="AA574" s="75"/>
      <c r="AB574" s="75"/>
    </row>
    <row r="575" ht="12.75" customHeight="1">
      <c r="A575" t="s" s="78">
        <v>680</v>
      </c>
      <c r="B575" s="98"/>
      <c r="C575" t="s" s="116">
        <v>149</v>
      </c>
      <c r="D575" t="s" s="79">
        <v>681</v>
      </c>
      <c r="E575" s="100"/>
      <c r="F575" s="101"/>
      <c r="G575" s="102">
        <v>35000</v>
      </c>
      <c r="H575" s="103" cm="1">
        <f t="array" ref="H575">G575/I575</f>
        <v>233.333333333333</v>
      </c>
      <c r="I575" s="104">
        <v>150</v>
      </c>
      <c r="J575" s="105"/>
      <c r="K575" s="101"/>
      <c r="L575" s="96"/>
      <c r="M575" s="75"/>
      <c r="N575" s="75"/>
      <c r="O575" s="75"/>
      <c r="P575" s="75"/>
      <c r="Q575" s="75"/>
      <c r="R575" s="75"/>
      <c r="S575" s="75"/>
      <c r="T575" s="75"/>
      <c r="U575" s="75"/>
      <c r="V575" s="75"/>
      <c r="W575" s="75"/>
      <c r="X575" s="75"/>
      <c r="Y575" s="75"/>
      <c r="Z575" s="75"/>
      <c r="AA575" s="75"/>
      <c r="AB575" s="75"/>
    </row>
    <row r="576" ht="12.75" customHeight="1">
      <c r="A576" s="170">
        <v>44289</v>
      </c>
      <c r="B576" s="107"/>
      <c r="C576" t="s" s="115">
        <v>99</v>
      </c>
      <c r="D576" t="s" s="109">
        <v>682</v>
      </c>
      <c r="E576" s="110"/>
      <c r="F576" s="111"/>
      <c r="G576" s="112">
        <v>5220.19</v>
      </c>
      <c r="H576" s="113" cm="1">
        <f t="array" ref="H576">G576/I576</f>
        <v>34.8012666666667</v>
      </c>
      <c r="I576" s="114">
        <v>150</v>
      </c>
      <c r="J576" s="105"/>
      <c r="K576" s="101"/>
      <c r="L576" s="96"/>
      <c r="M576" s="75"/>
      <c r="N576" s="75"/>
      <c r="O576" s="75"/>
      <c r="P576" s="75"/>
      <c r="Q576" s="75"/>
      <c r="R576" s="75"/>
      <c r="S576" s="75"/>
      <c r="T576" s="75"/>
      <c r="U576" s="75"/>
      <c r="V576" s="75"/>
      <c r="W576" s="75"/>
      <c r="X576" s="75"/>
      <c r="Y576" s="75"/>
      <c r="Z576" s="75"/>
      <c r="AA576" s="75"/>
      <c r="AB576" s="75"/>
    </row>
    <row r="577" ht="12.75" customHeight="1">
      <c r="A577" s="169">
        <v>44289</v>
      </c>
      <c r="B577" s="98"/>
      <c r="C577" t="s" s="116">
        <v>276</v>
      </c>
      <c r="D577" t="s" s="79">
        <v>622</v>
      </c>
      <c r="E577" s="100"/>
      <c r="F577" s="101"/>
      <c r="G577" s="102">
        <v>6990</v>
      </c>
      <c r="H577" s="103">
        <v>48</v>
      </c>
      <c r="I577" s="104" cm="1">
        <f t="array" ref="I577">G577/H577</f>
        <v>145.625</v>
      </c>
      <c r="J577" s="105"/>
      <c r="K577" s="101"/>
      <c r="L577" s="96"/>
      <c r="M577" s="75"/>
      <c r="N577" s="75"/>
      <c r="O577" s="75"/>
      <c r="P577" s="75"/>
      <c r="Q577" s="75"/>
      <c r="R577" s="75"/>
      <c r="S577" s="75"/>
      <c r="T577" s="75"/>
      <c r="U577" s="75"/>
      <c r="V577" s="75"/>
      <c r="W577" s="75"/>
      <c r="X577" s="75"/>
      <c r="Y577" s="75"/>
      <c r="Z577" s="75"/>
      <c r="AA577" s="75"/>
      <c r="AB577" s="75"/>
    </row>
    <row r="578" ht="12.75" customHeight="1">
      <c r="A578" s="170">
        <v>44319</v>
      </c>
      <c r="B578" s="107"/>
      <c r="C578" t="s" s="115">
        <v>67</v>
      </c>
      <c r="D578" t="s" s="109">
        <v>683</v>
      </c>
      <c r="E578" s="110"/>
      <c r="F578" s="111"/>
      <c r="G578" s="112">
        <v>3743.55</v>
      </c>
      <c r="H578" s="113">
        <v>25</v>
      </c>
      <c r="I578" s="114" cm="1">
        <f t="array" ref="I578">G578/H578</f>
        <v>149.742</v>
      </c>
      <c r="J578" s="105"/>
      <c r="K578" s="101"/>
      <c r="L578" s="96"/>
      <c r="M578" s="75"/>
      <c r="N578" s="75"/>
      <c r="O578" s="75"/>
      <c r="P578" s="75"/>
      <c r="Q578" s="75"/>
      <c r="R578" s="75"/>
      <c r="S578" s="75"/>
      <c r="T578" s="75"/>
      <c r="U578" s="75"/>
      <c r="V578" s="75"/>
      <c r="W578" s="75"/>
      <c r="X578" s="75"/>
      <c r="Y578" s="75"/>
      <c r="Z578" s="75"/>
      <c r="AA578" s="75"/>
      <c r="AB578" s="75"/>
    </row>
    <row r="579" ht="12.75" customHeight="1">
      <c r="A579" s="169">
        <v>44319</v>
      </c>
      <c r="B579" s="98"/>
      <c r="C579" t="s" s="116">
        <v>299</v>
      </c>
      <c r="D579" t="s" s="79">
        <v>684</v>
      </c>
      <c r="E579" s="100"/>
      <c r="F579" s="101"/>
      <c r="G579" s="102">
        <v>136518.61</v>
      </c>
      <c r="H579" s="103">
        <v>920</v>
      </c>
      <c r="I579" s="104" cm="1">
        <f t="array" ref="I579">G579/H579</f>
        <v>148.389793478261</v>
      </c>
      <c r="J579" s="105"/>
      <c r="K579" s="101"/>
      <c r="L579" s="96"/>
      <c r="M579" s="75"/>
      <c r="N579" s="75"/>
      <c r="O579" s="75"/>
      <c r="P579" s="75"/>
      <c r="Q579" s="75"/>
      <c r="R579" s="75"/>
      <c r="S579" s="75"/>
      <c r="T579" s="75"/>
      <c r="U579" s="75"/>
      <c r="V579" s="75"/>
      <c r="W579" s="75"/>
      <c r="X579" s="75"/>
      <c r="Y579" s="75"/>
      <c r="Z579" s="75"/>
      <c r="AA579" s="75"/>
      <c r="AB579" s="75"/>
    </row>
    <row r="580" ht="12.75" customHeight="1">
      <c r="A580" s="170">
        <v>44350</v>
      </c>
      <c r="B580" s="107"/>
      <c r="C580" t="s" s="115">
        <v>198</v>
      </c>
      <c r="D580" t="s" s="109">
        <v>591</v>
      </c>
      <c r="E580" s="110"/>
      <c r="F580" s="111"/>
      <c r="G580" s="112">
        <v>13220.94</v>
      </c>
      <c r="H580" s="113">
        <v>88</v>
      </c>
      <c r="I580" s="114" cm="1">
        <f t="array" ref="I580">G580/H580</f>
        <v>150.237954545455</v>
      </c>
      <c r="J580" s="105"/>
      <c r="K580" s="101"/>
      <c r="L580" s="96"/>
      <c r="M580" s="75"/>
      <c r="N580" s="75"/>
      <c r="O580" s="75"/>
      <c r="P580" s="75"/>
      <c r="Q580" s="75"/>
      <c r="R580" s="75"/>
      <c r="S580" s="75"/>
      <c r="T580" s="75"/>
      <c r="U580" s="75"/>
      <c r="V580" s="75"/>
      <c r="W580" s="75"/>
      <c r="X580" s="75"/>
      <c r="Y580" s="75"/>
      <c r="Z580" s="75"/>
      <c r="AA580" s="75"/>
      <c r="AB580" s="75"/>
    </row>
    <row r="581" ht="12.75" customHeight="1">
      <c r="A581" s="169">
        <v>44472</v>
      </c>
      <c r="B581" s="98"/>
      <c r="C581" t="s" s="116">
        <v>41</v>
      </c>
      <c r="D581" t="s" s="79">
        <v>685</v>
      </c>
      <c r="E581" s="100"/>
      <c r="F581" s="101"/>
      <c r="G581" s="102">
        <v>14607.42</v>
      </c>
      <c r="H581" s="103" cm="1">
        <f t="array" ref="H581">G581/I581</f>
        <v>104.338714285714</v>
      </c>
      <c r="I581" s="104">
        <v>140</v>
      </c>
      <c r="J581" s="105"/>
      <c r="K581" s="101"/>
      <c r="L581" s="96"/>
      <c r="M581" s="75"/>
      <c r="N581" s="75"/>
      <c r="O581" s="75"/>
      <c r="P581" s="75"/>
      <c r="Q581" s="75"/>
      <c r="R581" s="75"/>
      <c r="S581" s="75"/>
      <c r="T581" s="75"/>
      <c r="U581" s="75"/>
      <c r="V581" s="75"/>
      <c r="W581" s="75"/>
      <c r="X581" s="75"/>
      <c r="Y581" s="75"/>
      <c r="Z581" s="75"/>
      <c r="AA581" s="75"/>
      <c r="AB581" s="75"/>
    </row>
    <row r="582" ht="12.75" customHeight="1">
      <c r="A582" s="170">
        <v>44533</v>
      </c>
      <c r="B582" s="107"/>
      <c r="C582" t="s" s="115">
        <v>276</v>
      </c>
      <c r="D582" t="s" s="109">
        <v>462</v>
      </c>
      <c r="E582" s="110"/>
      <c r="F582" s="111"/>
      <c r="G582" s="112">
        <v>25605.2</v>
      </c>
      <c r="H582" s="113">
        <v>180</v>
      </c>
      <c r="I582" s="114" cm="1">
        <f t="array" ref="I582">G582/H582</f>
        <v>142.251111111111</v>
      </c>
      <c r="J582" s="105"/>
      <c r="K582" s="101"/>
      <c r="L582" s="96"/>
      <c r="M582" s="75"/>
      <c r="N582" s="75"/>
      <c r="O582" s="75"/>
      <c r="P582" s="75"/>
      <c r="Q582" s="75"/>
      <c r="R582" s="75"/>
      <c r="S582" s="75"/>
      <c r="T582" s="75"/>
      <c r="U582" s="75"/>
      <c r="V582" s="75"/>
      <c r="W582" s="75"/>
      <c r="X582" s="75"/>
      <c r="Y582" s="75"/>
      <c r="Z582" s="75"/>
      <c r="AA582" s="75"/>
      <c r="AB582" s="75"/>
    </row>
    <row r="583" ht="12.75" customHeight="1">
      <c r="A583" t="s" s="78">
        <v>686</v>
      </c>
      <c r="B583" s="98"/>
      <c r="C583" t="s" s="116">
        <v>255</v>
      </c>
      <c r="D583" t="s" s="79">
        <v>462</v>
      </c>
      <c r="E583" s="100"/>
      <c r="F583" s="101"/>
      <c r="G583" s="102">
        <v>223600</v>
      </c>
      <c r="H583" s="103">
        <v>1542</v>
      </c>
      <c r="I583" s="104" cm="1">
        <f t="array" ref="I583">G583/H583</f>
        <v>145.006485084306</v>
      </c>
      <c r="J583" s="105"/>
      <c r="K583" s="101"/>
      <c r="L583" s="96"/>
      <c r="M583" s="75"/>
      <c r="N583" s="75"/>
      <c r="O583" s="75"/>
      <c r="P583" s="75"/>
      <c r="Q583" s="75"/>
      <c r="R583" s="75"/>
      <c r="S583" s="75"/>
      <c r="T583" s="75"/>
      <c r="U583" s="75"/>
      <c r="V583" s="75"/>
      <c r="W583" s="75"/>
      <c r="X583" s="75"/>
      <c r="Y583" s="75"/>
      <c r="Z583" s="75"/>
      <c r="AA583" s="75"/>
      <c r="AB583" s="75"/>
    </row>
    <row r="584" ht="12.75" customHeight="1">
      <c r="A584" t="s" s="145">
        <v>687</v>
      </c>
      <c r="B584" s="107"/>
      <c r="C584" t="s" s="115">
        <v>688</v>
      </c>
      <c r="D584" t="s" s="109">
        <v>689</v>
      </c>
      <c r="E584" s="110"/>
      <c r="F584" s="111"/>
      <c r="G584" s="112">
        <v>3428.04</v>
      </c>
      <c r="H584" s="113">
        <v>24</v>
      </c>
      <c r="I584" s="114" cm="1">
        <f t="array" ref="I584">G584/H584</f>
        <v>142.835</v>
      </c>
      <c r="J584" s="105"/>
      <c r="K584" s="101"/>
      <c r="L584" s="96"/>
      <c r="M584" s="75"/>
      <c r="N584" s="75"/>
      <c r="O584" s="75"/>
      <c r="P584" s="75"/>
      <c r="Q584" s="75"/>
      <c r="R584" s="75"/>
      <c r="S584" s="75"/>
      <c r="T584" s="75"/>
      <c r="U584" s="75"/>
      <c r="V584" s="75"/>
      <c r="W584" s="75"/>
      <c r="X584" s="75"/>
      <c r="Y584" s="75"/>
      <c r="Z584" s="75"/>
      <c r="AA584" s="75"/>
      <c r="AB584" s="75"/>
    </row>
    <row r="585" ht="12.75" customHeight="1">
      <c r="A585" t="s" s="78">
        <v>690</v>
      </c>
      <c r="B585" s="98"/>
      <c r="C585" t="s" s="116">
        <v>34</v>
      </c>
      <c r="D585" t="s" s="79">
        <v>691</v>
      </c>
      <c r="E585" s="100"/>
      <c r="F585" s="101"/>
      <c r="G585" s="102">
        <v>2573.08</v>
      </c>
      <c r="H585" s="103" cm="1">
        <f t="array" ref="H585">G585/I585</f>
        <v>18.3791428571429</v>
      </c>
      <c r="I585" s="104">
        <v>140</v>
      </c>
      <c r="J585" s="105"/>
      <c r="K585" s="101"/>
      <c r="L585" s="96"/>
      <c r="M585" s="75"/>
      <c r="N585" s="75"/>
      <c r="O585" s="75"/>
      <c r="P585" s="75"/>
      <c r="Q585" s="75"/>
      <c r="R585" s="75"/>
      <c r="S585" s="75"/>
      <c r="T585" s="75"/>
      <c r="U585" s="75"/>
      <c r="V585" s="75"/>
      <c r="W585" s="75"/>
      <c r="X585" s="75"/>
      <c r="Y585" s="75"/>
      <c r="Z585" s="75"/>
      <c r="AA585" s="75"/>
      <c r="AB585" s="75"/>
    </row>
    <row r="586" ht="12.75" customHeight="1">
      <c r="A586" t="s" s="145">
        <v>692</v>
      </c>
      <c r="B586" s="124">
        <v>1445</v>
      </c>
      <c r="C586" t="s" s="115">
        <v>220</v>
      </c>
      <c r="D586" t="s" s="109">
        <v>693</v>
      </c>
      <c r="E586" s="110"/>
      <c r="F586" s="111"/>
      <c r="G586" s="112">
        <v>115798.66</v>
      </c>
      <c r="H586" s="113">
        <v>800</v>
      </c>
      <c r="I586" s="114" cm="1">
        <f t="array" ref="I586">G586/H586</f>
        <v>144.748325</v>
      </c>
      <c r="J586" s="105"/>
      <c r="K586" s="101"/>
      <c r="L586" s="96"/>
      <c r="M586" s="75"/>
      <c r="N586" s="75"/>
      <c r="O586" s="75"/>
      <c r="P586" s="75"/>
      <c r="Q586" s="75"/>
      <c r="R586" s="75"/>
      <c r="S586" s="75"/>
      <c r="T586" s="75"/>
      <c r="U586" s="75"/>
      <c r="V586" s="75"/>
      <c r="W586" s="75"/>
      <c r="X586" s="75"/>
      <c r="Y586" s="75"/>
      <c r="Z586" s="75"/>
      <c r="AA586" s="75"/>
      <c r="AB586" s="75"/>
    </row>
    <row r="587" ht="12.75" customHeight="1">
      <c r="A587" t="s" s="78">
        <v>692</v>
      </c>
      <c r="B587" s="121">
        <v>482</v>
      </c>
      <c r="C587" t="s" s="116">
        <v>299</v>
      </c>
      <c r="D587" t="s" s="79">
        <v>694</v>
      </c>
      <c r="E587" s="100"/>
      <c r="F587" s="101"/>
      <c r="G587" s="102">
        <v>146643.23</v>
      </c>
      <c r="H587" s="103">
        <v>1011</v>
      </c>
      <c r="I587" s="104" cm="1">
        <f t="array" ref="I587">G587/H587</f>
        <v>145.047705242334</v>
      </c>
      <c r="J587" s="105"/>
      <c r="K587" s="101"/>
      <c r="L587" s="96"/>
      <c r="M587" s="75"/>
      <c r="N587" s="75"/>
      <c r="O587" s="75"/>
      <c r="P587" s="75"/>
      <c r="Q587" s="75"/>
      <c r="R587" s="75"/>
      <c r="S587" s="75"/>
      <c r="T587" s="75"/>
      <c r="U587" s="75"/>
      <c r="V587" s="75"/>
      <c r="W587" s="75"/>
      <c r="X587" s="75"/>
      <c r="Y587" s="75"/>
      <c r="Z587" s="75"/>
      <c r="AA587" s="75"/>
      <c r="AB587" s="75"/>
    </row>
    <row r="588" ht="12.75" customHeight="1">
      <c r="A588" t="s" s="145">
        <v>695</v>
      </c>
      <c r="B588" s="124">
        <v>6236</v>
      </c>
      <c r="C588" t="s" s="115">
        <v>198</v>
      </c>
      <c r="D588" t="s" s="109">
        <v>696</v>
      </c>
      <c r="E588" s="110"/>
      <c r="F588" s="111"/>
      <c r="G588" s="112">
        <v>7806.47</v>
      </c>
      <c r="H588" s="113">
        <v>55</v>
      </c>
      <c r="I588" s="114" cm="1">
        <f t="array" ref="I588">G588/H588</f>
        <v>141.935818181818</v>
      </c>
      <c r="J588" s="105"/>
      <c r="K588" s="101"/>
      <c r="L588" s="96"/>
      <c r="M588" s="75"/>
      <c r="N588" s="75"/>
      <c r="O588" s="75"/>
      <c r="P588" s="75"/>
      <c r="Q588" s="75"/>
      <c r="R588" s="75"/>
      <c r="S588" s="75"/>
      <c r="T588" s="75"/>
      <c r="U588" s="75"/>
      <c r="V588" s="75"/>
      <c r="W588" s="75"/>
      <c r="X588" s="75"/>
      <c r="Y588" s="75"/>
      <c r="Z588" s="75"/>
      <c r="AA588" s="75"/>
      <c r="AB588" s="75"/>
    </row>
    <row r="589" ht="12.75" customHeight="1">
      <c r="A589" s="169">
        <v>44443</v>
      </c>
      <c r="B589" s="98"/>
      <c r="C589" t="s" s="116">
        <v>149</v>
      </c>
      <c r="D589" t="s" s="79">
        <v>697</v>
      </c>
      <c r="E589" s="100"/>
      <c r="F589" s="101"/>
      <c r="G589" s="102">
        <v>8500</v>
      </c>
      <c r="H589" s="103">
        <v>71</v>
      </c>
      <c r="I589" s="104" cm="1">
        <f t="array" ref="I589">G589/H589</f>
        <v>119.718309859155</v>
      </c>
      <c r="J589" s="105"/>
      <c r="K589" s="101"/>
      <c r="L589" s="96"/>
      <c r="M589" s="75"/>
      <c r="N589" s="75"/>
      <c r="O589" s="75"/>
      <c r="P589" s="75"/>
      <c r="Q589" s="75"/>
      <c r="R589" s="75"/>
      <c r="S589" s="75"/>
      <c r="T589" s="75"/>
      <c r="U589" s="75"/>
      <c r="V589" s="75"/>
      <c r="W589" s="75"/>
      <c r="X589" s="75"/>
      <c r="Y589" s="75"/>
      <c r="Z589" s="75"/>
      <c r="AA589" s="75"/>
      <c r="AB589" s="75"/>
    </row>
    <row r="590" ht="12.75" customHeight="1">
      <c r="A590" s="170">
        <v>44443</v>
      </c>
      <c r="B590" s="107"/>
      <c r="C590" t="s" s="115">
        <v>99</v>
      </c>
      <c r="D590" t="s" s="109">
        <v>698</v>
      </c>
      <c r="E590" s="110"/>
      <c r="F590" s="111"/>
      <c r="G590" s="112">
        <v>6961.91</v>
      </c>
      <c r="H590" s="113" cm="1">
        <f t="array" ref="H590">G590/I590</f>
        <v>49.7279285714286</v>
      </c>
      <c r="I590" s="114">
        <v>140</v>
      </c>
      <c r="J590" s="105"/>
      <c r="K590" s="101"/>
      <c r="L590" s="96"/>
      <c r="M590" s="75"/>
      <c r="N590" s="75"/>
      <c r="O590" s="75"/>
      <c r="P590" s="75"/>
      <c r="Q590" s="75"/>
      <c r="R590" s="75"/>
      <c r="S590" s="75"/>
      <c r="T590" s="75"/>
      <c r="U590" s="75"/>
      <c r="V590" s="75"/>
      <c r="W590" s="75"/>
      <c r="X590" s="75"/>
      <c r="Y590" s="75"/>
      <c r="Z590" s="75"/>
      <c r="AA590" s="75"/>
      <c r="AB590" s="75"/>
    </row>
    <row r="591" ht="12.75" customHeight="1">
      <c r="A591" s="169">
        <v>44473</v>
      </c>
      <c r="B591" s="121">
        <v>6374</v>
      </c>
      <c r="C591" t="s" s="116">
        <v>198</v>
      </c>
      <c r="D591" t="s" s="79">
        <v>699</v>
      </c>
      <c r="E591" s="100"/>
      <c r="F591" s="101"/>
      <c r="G591" s="102">
        <v>31805.31</v>
      </c>
      <c r="H591" s="103">
        <v>227</v>
      </c>
      <c r="I591" s="104" cm="1">
        <f t="array" ref="I591">G591/H591</f>
        <v>140.111497797357</v>
      </c>
      <c r="J591" s="105"/>
      <c r="K591" s="101"/>
      <c r="L591" s="96"/>
      <c r="M591" s="75"/>
      <c r="N591" s="75"/>
      <c r="O591" s="75"/>
      <c r="P591" s="75"/>
      <c r="Q591" s="75"/>
      <c r="R591" s="75"/>
      <c r="S591" s="75"/>
      <c r="T591" s="75"/>
      <c r="U591" s="75"/>
      <c r="V591" s="75"/>
      <c r="W591" s="75"/>
      <c r="X591" s="75"/>
      <c r="Y591" s="75"/>
      <c r="Z591" s="75"/>
      <c r="AA591" s="75"/>
      <c r="AB591" s="75"/>
    </row>
    <row r="592" ht="12.75" customHeight="1">
      <c r="A592" t="s" s="145">
        <v>700</v>
      </c>
      <c r="B592" s="124">
        <v>6402</v>
      </c>
      <c r="C592" t="s" s="115">
        <v>198</v>
      </c>
      <c r="D592" t="s" s="109">
        <v>645</v>
      </c>
      <c r="E592" s="110"/>
      <c r="F592" s="111"/>
      <c r="G592" s="112">
        <v>7806.47</v>
      </c>
      <c r="H592" s="113">
        <v>56</v>
      </c>
      <c r="I592" s="114" cm="1">
        <f t="array" ref="I592">G592/H592</f>
        <v>139.40125</v>
      </c>
      <c r="J592" s="105"/>
      <c r="K592" s="101"/>
      <c r="L592" s="96"/>
      <c r="M592" s="75"/>
      <c r="N592" s="75"/>
      <c r="O592" s="75"/>
      <c r="P592" s="75"/>
      <c r="Q592" s="75"/>
      <c r="R592" s="75"/>
      <c r="S592" s="75"/>
      <c r="T592" s="75"/>
      <c r="U592" s="75"/>
      <c r="V592" s="75"/>
      <c r="W592" s="75"/>
      <c r="X592" s="75"/>
      <c r="Y592" s="75"/>
      <c r="Z592" s="75"/>
      <c r="AA592" s="75"/>
      <c r="AB592" s="75"/>
    </row>
    <row r="593" ht="12.75" customHeight="1">
      <c r="A593" t="s" s="78">
        <v>700</v>
      </c>
      <c r="B593" s="121">
        <v>6403</v>
      </c>
      <c r="C593" t="s" s="116">
        <v>198</v>
      </c>
      <c r="D593" t="s" s="79">
        <v>645</v>
      </c>
      <c r="E593" s="100"/>
      <c r="F593" s="101"/>
      <c r="G593" s="102">
        <v>11709.7</v>
      </c>
      <c r="H593" s="103">
        <v>84</v>
      </c>
      <c r="I593" s="104" cm="1">
        <f t="array" ref="I593">G593/H593</f>
        <v>139.401190476190</v>
      </c>
      <c r="J593" s="105"/>
      <c r="K593" s="101"/>
      <c r="L593" s="153"/>
      <c r="M593" s="154"/>
      <c r="N593" s="154"/>
      <c r="O593" s="154"/>
      <c r="P593" s="154"/>
      <c r="Q593" s="154"/>
      <c r="R593" s="154"/>
      <c r="S593" s="154"/>
      <c r="T593" s="154"/>
      <c r="U593" s="154"/>
      <c r="V593" s="154"/>
      <c r="W593" s="154"/>
      <c r="X593" s="154"/>
      <c r="Y593" s="154"/>
      <c r="Z593" s="154"/>
      <c r="AA593" s="154"/>
      <c r="AB593" s="154"/>
    </row>
    <row r="594" ht="12.75" customHeight="1">
      <c r="A594" t="s" s="173">
        <v>701</v>
      </c>
      <c r="B594" s="190"/>
      <c r="C594" t="s" s="174">
        <v>41</v>
      </c>
      <c r="D594" t="s" s="175">
        <v>702</v>
      </c>
      <c r="E594" s="176"/>
      <c r="F594" s="159"/>
      <c r="G594" s="191">
        <v>14607.42</v>
      </c>
      <c r="H594" s="179" cm="1">
        <f t="array" ref="H594">G594/I594</f>
        <v>104.338714285714</v>
      </c>
      <c r="I594" s="180">
        <v>140</v>
      </c>
      <c r="J594" s="105"/>
      <c r="K594" s="101"/>
      <c r="L594" s="155"/>
      <c r="M594" s="156"/>
      <c r="N594" s="156"/>
      <c r="O594" s="156"/>
      <c r="P594" s="156"/>
      <c r="Q594" s="156"/>
      <c r="R594" s="156"/>
      <c r="S594" s="156"/>
      <c r="T594" s="156"/>
      <c r="U594" s="156"/>
      <c r="V594" s="156"/>
      <c r="W594" s="156"/>
      <c r="X594" s="156"/>
      <c r="Y594" s="156"/>
      <c r="Z594" s="156"/>
      <c r="AA594" s="156"/>
      <c r="AB594" s="157"/>
    </row>
    <row r="595" ht="12.75" customHeight="1">
      <c r="A595" t="s" s="192">
        <v>703</v>
      </c>
      <c r="B595" s="193"/>
      <c r="C595" t="s" s="183">
        <v>377</v>
      </c>
      <c r="D595" t="s" s="184">
        <v>704</v>
      </c>
      <c r="E595" s="194"/>
      <c r="F595" s="195"/>
      <c r="G595" s="196">
        <v>293700</v>
      </c>
      <c r="H595" s="113">
        <v>2097</v>
      </c>
      <c r="I595" s="114" cm="1">
        <f t="array" ref="I595">G595/H595</f>
        <v>140.057224606581</v>
      </c>
      <c r="J595" s="105"/>
      <c r="K595" s="101"/>
      <c r="L595" s="167"/>
      <c r="M595" s="168"/>
      <c r="N595" s="168"/>
      <c r="O595" s="168"/>
      <c r="P595" s="168"/>
      <c r="Q595" s="168"/>
      <c r="R595" s="168"/>
      <c r="S595" s="168"/>
      <c r="T595" s="168"/>
      <c r="U595" s="168"/>
      <c r="V595" s="168"/>
      <c r="W595" s="168"/>
      <c r="X595" s="168"/>
      <c r="Y595" s="168"/>
      <c r="Z595" s="168"/>
      <c r="AA595" s="168"/>
      <c r="AB595" s="168"/>
    </row>
    <row r="596" ht="12.75" customHeight="1">
      <c r="A596" t="s" s="197">
        <v>705</v>
      </c>
      <c r="B596" t="s" s="197">
        <v>706</v>
      </c>
      <c r="C596" t="s" s="198">
        <v>198</v>
      </c>
      <c r="D596" t="s" s="199">
        <v>622</v>
      </c>
      <c r="E596" s="110"/>
      <c r="F596" s="111"/>
      <c r="G596" s="112">
        <v>186362.41</v>
      </c>
      <c r="H596" s="113" cm="1">
        <f t="array" ref="H596">G596/I596</f>
        <v>1242.416066666670</v>
      </c>
      <c r="I596" s="200">
        <v>150</v>
      </c>
      <c r="J596" s="105"/>
      <c r="K596" s="101"/>
      <c r="L596" s="96"/>
      <c r="M596" s="75"/>
      <c r="N596" s="75"/>
      <c r="O596" s="75"/>
      <c r="P596" s="75"/>
      <c r="Q596" s="75"/>
      <c r="R596" s="75"/>
      <c r="S596" s="75"/>
      <c r="T596" s="75"/>
      <c r="U596" s="75"/>
      <c r="V596" s="75"/>
      <c r="W596" s="75"/>
      <c r="X596" s="75"/>
      <c r="Y596" s="75"/>
      <c r="Z596" s="75"/>
      <c r="AA596" s="75"/>
      <c r="AB596" s="75"/>
    </row>
    <row r="597" ht="12.75" customHeight="1">
      <c r="A597" t="s" s="78">
        <v>705</v>
      </c>
      <c r="B597" s="121">
        <v>2274</v>
      </c>
      <c r="C597" t="s" s="116">
        <v>278</v>
      </c>
      <c r="D597" t="s" s="79">
        <v>707</v>
      </c>
      <c r="E597" s="100"/>
      <c r="F597" s="101"/>
      <c r="G597" s="102">
        <v>2012.63</v>
      </c>
      <c r="H597" s="103">
        <v>12</v>
      </c>
      <c r="I597" s="104" cm="1">
        <f t="array" ref="I597">G597/H597</f>
        <v>167.719166666667</v>
      </c>
      <c r="J597" s="105"/>
      <c r="K597" s="101"/>
      <c r="L597" s="96"/>
      <c r="M597" s="75"/>
      <c r="N597" s="75"/>
      <c r="O597" s="75"/>
      <c r="P597" s="75"/>
      <c r="Q597" s="75"/>
      <c r="R597" s="75"/>
      <c r="S597" s="75"/>
      <c r="T597" s="75"/>
      <c r="U597" s="75"/>
      <c r="V597" s="75"/>
      <c r="W597" s="75"/>
      <c r="X597" s="75"/>
      <c r="Y597" s="75"/>
      <c r="Z597" s="75"/>
      <c r="AA597" s="75"/>
      <c r="AB597" s="75"/>
    </row>
    <row r="598" ht="12.75" customHeight="1">
      <c r="A598" t="s" s="78">
        <v>708</v>
      </c>
      <c r="B598" s="98"/>
      <c r="C598" t="s" s="116">
        <v>34</v>
      </c>
      <c r="D598" t="s" s="79">
        <v>709</v>
      </c>
      <c r="E598" s="100"/>
      <c r="F598" s="101"/>
      <c r="G598" s="102">
        <v>3174.95</v>
      </c>
      <c r="H598" s="103" cm="1">
        <f t="array" ref="H598">G598/I598</f>
        <v>22.6782142857143</v>
      </c>
      <c r="I598" s="104">
        <v>140</v>
      </c>
      <c r="J598" s="105"/>
      <c r="K598" s="101"/>
      <c r="L598" s="96"/>
      <c r="M598" s="75"/>
      <c r="N598" s="75"/>
      <c r="O598" s="75"/>
      <c r="P598" s="75"/>
      <c r="Q598" s="75"/>
      <c r="R598" s="75"/>
      <c r="S598" s="75"/>
      <c r="T598" s="75"/>
      <c r="U598" s="75"/>
      <c r="V598" s="75"/>
      <c r="W598" s="75"/>
      <c r="X598" s="75"/>
      <c r="Y598" s="75"/>
      <c r="Z598" s="75"/>
      <c r="AA598" s="75"/>
      <c r="AB598" s="75"/>
    </row>
    <row r="599" ht="12.75" customHeight="1">
      <c r="A599" t="s" s="197">
        <v>710</v>
      </c>
      <c r="B599" s="201">
        <v>907</v>
      </c>
      <c r="C599" t="s" s="198">
        <v>67</v>
      </c>
      <c r="D599" t="s" s="199">
        <v>711</v>
      </c>
      <c r="E599" s="110"/>
      <c r="F599" s="111"/>
      <c r="G599" s="112">
        <v>10157.53</v>
      </c>
      <c r="H599" s="113">
        <v>67</v>
      </c>
      <c r="I599" s="200" cm="1">
        <f t="array" ref="I599">G599/H599</f>
        <v>151.604925373134</v>
      </c>
      <c r="J599" s="105"/>
      <c r="K599" s="101"/>
      <c r="L599" s="96"/>
      <c r="M599" s="75"/>
      <c r="N599" s="75"/>
      <c r="O599" s="75"/>
      <c r="P599" s="75"/>
      <c r="Q599" s="75"/>
      <c r="R599" s="75"/>
      <c r="S599" s="75"/>
      <c r="T599" s="75"/>
      <c r="U599" s="75"/>
      <c r="V599" s="75"/>
      <c r="W599" s="75"/>
      <c r="X599" s="75"/>
      <c r="Y599" s="75"/>
      <c r="Z599" s="75"/>
      <c r="AA599" s="75"/>
      <c r="AB599" s="75"/>
    </row>
    <row r="600" ht="12.75" customHeight="1">
      <c r="A600" t="s" s="78">
        <v>710</v>
      </c>
      <c r="B600" s="121">
        <v>17952</v>
      </c>
      <c r="C600" t="s" s="116">
        <v>712</v>
      </c>
      <c r="D600" t="s" s="79">
        <v>713</v>
      </c>
      <c r="E600" s="100"/>
      <c r="F600" s="101"/>
      <c r="G600" s="102">
        <v>2736.69</v>
      </c>
      <c r="H600" s="103">
        <v>18</v>
      </c>
      <c r="I600" s="104" cm="1">
        <f t="array" ref="I600">G600/H600</f>
        <v>152.038333333333</v>
      </c>
      <c r="J600" s="105"/>
      <c r="K600" s="101"/>
      <c r="L600" s="96"/>
      <c r="M600" s="75"/>
      <c r="N600" s="75"/>
      <c r="O600" s="75"/>
      <c r="P600" s="75"/>
      <c r="Q600" s="75"/>
      <c r="R600" s="75"/>
      <c r="S600" s="75"/>
      <c r="T600" s="75"/>
      <c r="U600" s="75"/>
      <c r="V600" s="75"/>
      <c r="W600" s="75"/>
      <c r="X600" s="75"/>
      <c r="Y600" s="75"/>
      <c r="Z600" s="75"/>
      <c r="AA600" s="75"/>
      <c r="AB600" s="75"/>
    </row>
    <row r="601" ht="12.75" customHeight="1">
      <c r="A601" t="s" s="145">
        <v>714</v>
      </c>
      <c r="B601" s="124">
        <v>14381</v>
      </c>
      <c r="C601" t="s" s="115">
        <v>712</v>
      </c>
      <c r="D601" t="s" s="109">
        <v>713</v>
      </c>
      <c r="E601" s="110"/>
      <c r="F601" s="111"/>
      <c r="G601" s="112">
        <v>3040.75</v>
      </c>
      <c r="H601" s="113">
        <v>21</v>
      </c>
      <c r="I601" s="114" cm="1">
        <f t="array" ref="I601">G601/H601</f>
        <v>144.797619047619</v>
      </c>
      <c r="J601" s="105"/>
      <c r="K601" s="101"/>
      <c r="L601" s="96"/>
      <c r="M601" s="75"/>
      <c r="N601" s="75"/>
      <c r="O601" s="75"/>
      <c r="P601" s="75"/>
      <c r="Q601" s="75"/>
      <c r="R601" s="75"/>
      <c r="S601" s="75"/>
      <c r="T601" s="75"/>
      <c r="U601" s="75"/>
      <c r="V601" s="75"/>
      <c r="W601" s="75"/>
      <c r="X601" s="75"/>
      <c r="Y601" s="75"/>
      <c r="Z601" s="75"/>
      <c r="AA601" s="75"/>
      <c r="AB601" s="75"/>
    </row>
    <row r="602" ht="12.75" customHeight="1">
      <c r="A602" s="202">
        <v>44474</v>
      </c>
      <c r="B602" s="98"/>
      <c r="C602" t="s" s="116">
        <v>99</v>
      </c>
      <c r="D602" t="s" s="79">
        <v>715</v>
      </c>
      <c r="E602" s="100"/>
      <c r="F602" s="101"/>
      <c r="G602" s="102">
        <v>6969.02</v>
      </c>
      <c r="H602" s="103" cm="1">
        <f t="array" ref="H602">G602/I602</f>
        <v>46.4601333333333</v>
      </c>
      <c r="I602" s="104">
        <v>150</v>
      </c>
      <c r="J602" t="s" s="116">
        <v>716</v>
      </c>
      <c r="K602" s="101"/>
      <c r="L602" s="96"/>
      <c r="M602" s="75"/>
      <c r="N602" s="75"/>
      <c r="O602" s="75"/>
      <c r="P602" s="75"/>
      <c r="Q602" s="75"/>
      <c r="R602" s="75"/>
      <c r="S602" s="75"/>
      <c r="T602" s="75"/>
      <c r="U602" s="75"/>
      <c r="V602" s="75"/>
      <c r="W602" s="75"/>
      <c r="X602" s="75"/>
      <c r="Y602" s="75"/>
      <c r="Z602" s="75"/>
      <c r="AA602" s="75"/>
      <c r="AB602" s="75"/>
    </row>
    <row r="603" ht="12.75" customHeight="1">
      <c r="A603" s="203">
        <v>44535</v>
      </c>
      <c r="B603" s="124">
        <v>6691</v>
      </c>
      <c r="C603" t="s" s="115">
        <v>198</v>
      </c>
      <c r="D603" t="s" s="109">
        <v>645</v>
      </c>
      <c r="E603" s="110"/>
      <c r="F603" s="111"/>
      <c r="G603" s="112">
        <v>34328.44</v>
      </c>
      <c r="H603" s="113">
        <v>215</v>
      </c>
      <c r="I603" s="114" cm="1">
        <f t="array" ref="I603">G603/H603</f>
        <v>159.667162790698</v>
      </c>
      <c r="J603" s="105"/>
      <c r="K603" s="101"/>
      <c r="L603" s="96"/>
      <c r="M603" s="75"/>
      <c r="N603" s="75"/>
      <c r="O603" s="75"/>
      <c r="P603" s="75"/>
      <c r="Q603" s="75"/>
      <c r="R603" s="75"/>
      <c r="S603" s="75"/>
      <c r="T603" s="75"/>
      <c r="U603" s="75"/>
      <c r="V603" s="75"/>
      <c r="W603" s="75"/>
      <c r="X603" s="75"/>
      <c r="Y603" s="75"/>
      <c r="Z603" s="75"/>
      <c r="AA603" s="75"/>
      <c r="AB603" s="75"/>
    </row>
    <row r="604" ht="12.75" customHeight="1">
      <c r="A604" t="s" s="145">
        <v>717</v>
      </c>
      <c r="B604" s="107"/>
      <c r="C604" t="s" s="115">
        <v>34</v>
      </c>
      <c r="D604" t="s" s="109">
        <v>718</v>
      </c>
      <c r="E604" s="110"/>
      <c r="F604" s="111"/>
      <c r="G604" s="112">
        <v>2406.25</v>
      </c>
      <c r="H604" s="113" cm="1">
        <f t="array" ref="H604">G604/I604</f>
        <v>16.0416666666667</v>
      </c>
      <c r="I604" s="114">
        <v>150</v>
      </c>
      <c r="J604" s="105"/>
      <c r="K604" s="101"/>
      <c r="L604" s="96"/>
      <c r="M604" s="75"/>
      <c r="N604" s="75"/>
      <c r="O604" s="75"/>
      <c r="P604" s="75"/>
      <c r="Q604" s="75"/>
      <c r="R604" s="75"/>
      <c r="S604" s="75"/>
      <c r="T604" s="75"/>
      <c r="U604" s="75"/>
      <c r="V604" s="75"/>
      <c r="W604" s="75"/>
      <c r="X604" s="75"/>
      <c r="Y604" s="75"/>
      <c r="Z604" s="75"/>
      <c r="AA604" s="75"/>
      <c r="AB604" s="75"/>
    </row>
    <row r="605" ht="12.75" customHeight="1">
      <c r="A605" s="204">
        <v>44202</v>
      </c>
      <c r="B605" s="121">
        <v>6846</v>
      </c>
      <c r="C605" t="s" s="116">
        <v>198</v>
      </c>
      <c r="D605" t="s" s="79">
        <v>719</v>
      </c>
      <c r="E605" s="100"/>
      <c r="F605" s="101"/>
      <c r="G605" s="102">
        <v>23204.07</v>
      </c>
      <c r="H605" s="103">
        <v>145</v>
      </c>
      <c r="I605" s="104" cm="1">
        <f t="array" ref="I605">G605/H605</f>
        <v>160.028068965517</v>
      </c>
      <c r="J605" s="105"/>
      <c r="K605" s="101"/>
      <c r="L605" s="96"/>
      <c r="M605" s="75"/>
      <c r="N605" s="75"/>
      <c r="O605" s="75"/>
      <c r="P605" s="75"/>
      <c r="Q605" s="75"/>
      <c r="R605" s="75"/>
      <c r="S605" s="75"/>
      <c r="T605" s="75"/>
      <c r="U605" s="75"/>
      <c r="V605" s="75"/>
      <c r="W605" s="75"/>
      <c r="X605" s="75"/>
      <c r="Y605" s="75"/>
      <c r="Z605" s="75"/>
      <c r="AA605" s="75"/>
      <c r="AB605" s="75"/>
    </row>
    <row r="606" ht="12.75" customHeight="1">
      <c r="A606" s="204">
        <v>44233</v>
      </c>
      <c r="B606" s="121">
        <v>26873</v>
      </c>
      <c r="C606" t="s" s="116">
        <v>366</v>
      </c>
      <c r="D606" t="s" s="79">
        <v>720</v>
      </c>
      <c r="E606" s="100"/>
      <c r="F606" s="101"/>
      <c r="G606" s="102">
        <v>335.39</v>
      </c>
      <c r="H606" s="103">
        <v>2.25</v>
      </c>
      <c r="I606" s="104" cm="1">
        <f t="array" ref="I606">G606/H606</f>
        <v>149.062222222222</v>
      </c>
      <c r="J606" s="105"/>
      <c r="K606" s="101"/>
      <c r="L606" s="96"/>
      <c r="M606" s="75"/>
      <c r="N606" s="75"/>
      <c r="O606" s="75"/>
      <c r="P606" s="75"/>
      <c r="Q606" s="75"/>
      <c r="R606" s="75"/>
      <c r="S606" s="75"/>
      <c r="T606" s="75"/>
      <c r="U606" s="75"/>
      <c r="V606" s="75"/>
      <c r="W606" s="75"/>
      <c r="X606" s="75"/>
      <c r="Y606" s="75"/>
      <c r="Z606" s="75"/>
      <c r="AA606" s="75"/>
      <c r="AB606" s="75"/>
    </row>
    <row r="607" ht="12.75" customHeight="1">
      <c r="A607" s="203">
        <v>44414</v>
      </c>
      <c r="B607" s="107"/>
      <c r="C607" t="s" s="115">
        <v>99</v>
      </c>
      <c r="D607" t="s" s="109">
        <v>721</v>
      </c>
      <c r="E607" s="110"/>
      <c r="F607" s="111"/>
      <c r="G607" s="112">
        <v>2921.44</v>
      </c>
      <c r="H607" s="113" cm="1">
        <f t="array" ref="H607">G607/I607</f>
        <v>19.4762666666667</v>
      </c>
      <c r="I607" s="114">
        <v>150</v>
      </c>
      <c r="J607" s="105"/>
      <c r="K607" s="101"/>
      <c r="L607" s="96"/>
      <c r="M607" s="75"/>
      <c r="N607" s="75"/>
      <c r="O607" s="75"/>
      <c r="P607" s="75"/>
      <c r="Q607" s="75"/>
      <c r="R607" s="75"/>
      <c r="S607" s="75"/>
      <c r="T607" s="75"/>
      <c r="U607" s="75"/>
      <c r="V607" s="75"/>
      <c r="W607" s="75"/>
      <c r="X607" s="75"/>
      <c r="Y607" s="75"/>
      <c r="Z607" s="75"/>
      <c r="AA607" s="75"/>
      <c r="AB607" s="75"/>
    </row>
    <row r="608" ht="12.75" customHeight="1">
      <c r="A608" t="s" s="78">
        <v>722</v>
      </c>
      <c r="B608" s="98"/>
      <c r="C608" t="s" s="116">
        <v>34</v>
      </c>
      <c r="D608" t="s" s="79">
        <v>723</v>
      </c>
      <c r="E608" s="100"/>
      <c r="F608" s="101"/>
      <c r="G608" s="102">
        <v>2552.85</v>
      </c>
      <c r="H608" s="103" cm="1">
        <f t="array" ref="H608">G608/I608</f>
        <v>17.019</v>
      </c>
      <c r="I608" s="104">
        <v>150</v>
      </c>
      <c r="J608" s="105"/>
      <c r="K608" s="101"/>
      <c r="L608" s="96"/>
      <c r="M608" s="75"/>
      <c r="N608" s="75"/>
      <c r="O608" s="75"/>
      <c r="P608" s="75"/>
      <c r="Q608" s="75"/>
      <c r="R608" s="75"/>
      <c r="S608" s="75"/>
      <c r="T608" s="75"/>
      <c r="U608" s="75"/>
      <c r="V608" s="75"/>
      <c r="W608" s="75"/>
      <c r="X608" s="75"/>
      <c r="Y608" s="75"/>
      <c r="Z608" s="75"/>
      <c r="AA608" s="75"/>
      <c r="AB608" s="75"/>
    </row>
    <row r="609" ht="12.75" customHeight="1">
      <c r="A609" s="203">
        <v>44323</v>
      </c>
      <c r="B609" s="124">
        <v>5848</v>
      </c>
      <c r="C609" t="s" s="115">
        <v>724</v>
      </c>
      <c r="D609" t="s" s="109">
        <v>725</v>
      </c>
      <c r="E609" s="110"/>
      <c r="F609" s="111"/>
      <c r="G609" s="112">
        <v>4000.02</v>
      </c>
      <c r="H609" s="113">
        <v>24</v>
      </c>
      <c r="I609" s="114" cm="1">
        <f t="array" ref="I609">G609/H609</f>
        <v>166.6675</v>
      </c>
      <c r="J609" s="105"/>
      <c r="K609" s="101"/>
      <c r="L609" s="96"/>
      <c r="M609" s="75"/>
      <c r="N609" s="75"/>
      <c r="O609" s="75"/>
      <c r="P609" s="75"/>
      <c r="Q609" s="75"/>
      <c r="R609" s="75"/>
      <c r="S609" s="75"/>
      <c r="T609" s="75"/>
      <c r="U609" s="75"/>
      <c r="V609" s="75"/>
      <c r="W609" s="75"/>
      <c r="X609" s="75"/>
      <c r="Y609" s="75"/>
      <c r="Z609" s="75"/>
      <c r="AA609" s="75"/>
      <c r="AB609" s="75"/>
    </row>
    <row r="610" ht="12.75" customHeight="1">
      <c r="A610" s="202">
        <v>44384</v>
      </c>
      <c r="B610" s="121">
        <v>13759</v>
      </c>
      <c r="C610" t="s" s="116">
        <v>726</v>
      </c>
      <c r="D610" t="s" s="79">
        <v>727</v>
      </c>
      <c r="E610" s="100"/>
      <c r="F610" s="101"/>
      <c r="G610" s="102">
        <v>390</v>
      </c>
      <c r="H610" s="103">
        <v>2.3</v>
      </c>
      <c r="I610" s="104" cm="1">
        <f t="array" ref="I610">G610/H610</f>
        <v>169.565217391304</v>
      </c>
      <c r="J610" s="105"/>
      <c r="K610" s="101"/>
      <c r="L610" s="96"/>
      <c r="M610" s="75"/>
      <c r="N610" s="75"/>
      <c r="O610" s="75"/>
      <c r="P610" s="75"/>
      <c r="Q610" s="75"/>
      <c r="R610" s="75"/>
      <c r="S610" s="75"/>
      <c r="T610" s="75"/>
      <c r="U610" s="75"/>
      <c r="V610" s="75"/>
      <c r="W610" s="75"/>
      <c r="X610" s="75"/>
      <c r="Y610" s="75"/>
      <c r="Z610" s="75"/>
      <c r="AA610" s="75"/>
      <c r="AB610" s="75"/>
    </row>
    <row r="611" ht="12.75" customHeight="1">
      <c r="A611" s="202">
        <v>44384</v>
      </c>
      <c r="B611" s="98"/>
      <c r="C611" t="s" s="116">
        <v>99</v>
      </c>
      <c r="D611" t="s" s="79">
        <v>728</v>
      </c>
      <c r="E611" s="100"/>
      <c r="F611" s="101"/>
      <c r="G611" s="102">
        <v>2929.41</v>
      </c>
      <c r="H611" s="103">
        <v>2.3</v>
      </c>
      <c r="I611" s="104">
        <v>169.57</v>
      </c>
      <c r="J611" s="105"/>
      <c r="K611" s="101"/>
      <c r="L611" s="96"/>
      <c r="M611" s="75"/>
      <c r="N611" s="75"/>
      <c r="O611" s="75"/>
      <c r="P611" s="75"/>
      <c r="Q611" s="75"/>
      <c r="R611" s="75"/>
      <c r="S611" s="75"/>
      <c r="T611" s="75"/>
      <c r="U611" s="75"/>
      <c r="V611" s="75"/>
      <c r="W611" s="75"/>
      <c r="X611" s="75"/>
      <c r="Y611" s="75"/>
      <c r="Z611" s="75"/>
      <c r="AA611" s="75"/>
      <c r="AB611" s="75"/>
    </row>
    <row r="612" ht="12.75" customHeight="1">
      <c r="A612" s="202">
        <v>44415</v>
      </c>
      <c r="B612" s="121">
        <v>16499</v>
      </c>
      <c r="C612" t="s" s="116">
        <v>220</v>
      </c>
      <c r="D612" t="s" s="79">
        <v>729</v>
      </c>
      <c r="E612" s="100"/>
      <c r="F612" s="101"/>
      <c r="G612" s="102">
        <v>6121.72</v>
      </c>
      <c r="H612" s="103">
        <v>36</v>
      </c>
      <c r="I612" s="104" cm="1">
        <f t="array" ref="I612">G612/H612</f>
        <v>170.047777777778</v>
      </c>
      <c r="J612" s="105"/>
      <c r="K612" s="101"/>
      <c r="L612" s="96"/>
      <c r="M612" s="75"/>
      <c r="N612" s="75"/>
      <c r="O612" s="75"/>
      <c r="P612" s="75"/>
      <c r="Q612" s="75"/>
      <c r="R612" s="75"/>
      <c r="S612" s="75"/>
      <c r="T612" s="75"/>
      <c r="U612" s="75"/>
      <c r="V612" s="75"/>
      <c r="W612" s="75"/>
      <c r="X612" s="75"/>
      <c r="Y612" s="75"/>
      <c r="Z612" s="75"/>
      <c r="AA612" s="75"/>
      <c r="AB612" s="75"/>
    </row>
    <row r="613" ht="12.75" customHeight="1">
      <c r="A613" t="s" s="145">
        <v>730</v>
      </c>
      <c r="B613" s="107"/>
      <c r="C613" t="s" s="115">
        <v>726</v>
      </c>
      <c r="D613" t="s" s="109">
        <v>731</v>
      </c>
      <c r="E613" s="110"/>
      <c r="F613" s="111"/>
      <c r="G613" s="112">
        <v>390</v>
      </c>
      <c r="H613" s="113">
        <v>2.3</v>
      </c>
      <c r="I613" s="114" cm="1">
        <f t="array" ref="I613">G613/H613</f>
        <v>169.565217391304</v>
      </c>
      <c r="J613" s="105"/>
      <c r="K613" s="101"/>
      <c r="L613" s="96"/>
      <c r="M613" s="75"/>
      <c r="N613" s="75"/>
      <c r="O613" s="75"/>
      <c r="P613" s="75"/>
      <c r="Q613" s="75"/>
      <c r="R613" s="75"/>
      <c r="S613" s="75"/>
      <c r="T613" s="75"/>
      <c r="U613" s="75"/>
      <c r="V613" s="75"/>
      <c r="W613" s="75"/>
      <c r="X613" s="75"/>
      <c r="Y613" s="75"/>
      <c r="Z613" s="75"/>
      <c r="AA613" s="75"/>
      <c r="AB613" s="75"/>
    </row>
    <row r="614" ht="12.75" customHeight="1">
      <c r="A614" t="s" s="145">
        <v>732</v>
      </c>
      <c r="B614" s="124">
        <v>7226</v>
      </c>
      <c r="C614" t="s" s="115">
        <v>198</v>
      </c>
      <c r="D614" t="s" s="109">
        <v>733</v>
      </c>
      <c r="E614" s="110"/>
      <c r="F614" s="111"/>
      <c r="G614" s="112">
        <v>13353.01</v>
      </c>
      <c r="H614" s="113">
        <v>75</v>
      </c>
      <c r="I614" s="114" cm="1">
        <f t="array" ref="I614">G614/H614</f>
        <v>178.040133333333</v>
      </c>
      <c r="J614" s="105"/>
      <c r="K614" s="101"/>
      <c r="L614" s="96"/>
      <c r="M614" s="75"/>
      <c r="N614" s="75"/>
      <c r="O614" s="75"/>
      <c r="P614" s="75"/>
      <c r="Q614" s="75"/>
      <c r="R614" s="75"/>
      <c r="S614" s="75"/>
      <c r="T614" s="75"/>
      <c r="U614" s="75"/>
      <c r="V614" s="75"/>
      <c r="W614" s="75"/>
      <c r="X614" s="75"/>
      <c r="Y614" s="75"/>
      <c r="Z614" s="75"/>
      <c r="AA614" s="75"/>
      <c r="AB614" s="75"/>
    </row>
    <row r="615" ht="12.75" customHeight="1">
      <c r="A615" s="205">
        <v>44414</v>
      </c>
      <c r="B615" s="98"/>
      <c r="C615" t="s" s="116">
        <v>99</v>
      </c>
      <c r="D615" t="s" s="79">
        <v>734</v>
      </c>
      <c r="E615" s="100"/>
      <c r="F615" s="101"/>
      <c r="G615" s="102">
        <v>3377.25</v>
      </c>
      <c r="H615" s="103">
        <v>19</v>
      </c>
      <c r="I615" s="104" cm="1">
        <f t="array" ref="I615">G615/H615</f>
        <v>177.75</v>
      </c>
      <c r="J615" s="105"/>
      <c r="K615" s="101"/>
      <c r="L615" s="96"/>
      <c r="M615" s="75"/>
      <c r="N615" s="75"/>
      <c r="O615" s="75"/>
      <c r="P615" s="75"/>
      <c r="Q615" s="75"/>
      <c r="R615" s="75"/>
      <c r="S615" s="75"/>
      <c r="T615" s="75"/>
      <c r="U615" s="75"/>
      <c r="V615" s="75"/>
      <c r="W615" s="75"/>
      <c r="X615" s="75"/>
      <c r="Y615" s="75"/>
      <c r="Z615" s="75"/>
      <c r="AA615" s="75"/>
      <c r="AB615" s="75"/>
    </row>
    <row r="616" ht="12.75" customHeight="1">
      <c r="A616" s="206">
        <v>44421</v>
      </c>
      <c r="B616" s="124">
        <v>4335</v>
      </c>
      <c r="C616" t="s" s="115">
        <v>149</v>
      </c>
      <c r="D616" t="s" s="109">
        <v>735</v>
      </c>
      <c r="E616" s="110"/>
      <c r="F616" s="111"/>
      <c r="G616" s="112">
        <v>7150</v>
      </c>
      <c r="H616" s="113">
        <v>40</v>
      </c>
      <c r="I616" s="114" cm="1">
        <f t="array" ref="I616">G616/H616</f>
        <v>178.75</v>
      </c>
      <c r="J616" s="105"/>
      <c r="K616" s="101"/>
      <c r="L616" s="96"/>
      <c r="M616" s="75"/>
      <c r="N616" s="75"/>
      <c r="O616" s="75"/>
      <c r="P616" s="75"/>
      <c r="Q616" s="75"/>
      <c r="R616" s="75"/>
      <c r="S616" s="75"/>
      <c r="T616" s="75"/>
      <c r="U616" s="75"/>
      <c r="V616" s="75"/>
      <c r="W616" s="75"/>
      <c r="X616" s="75"/>
      <c r="Y616" s="75"/>
      <c r="Z616" s="75"/>
      <c r="AA616" s="75"/>
      <c r="AB616" s="75"/>
    </row>
    <row r="617" ht="12.75" customHeight="1">
      <c r="A617" s="207">
        <v>44417</v>
      </c>
      <c r="B617" s="121">
        <v>793</v>
      </c>
      <c r="C617" t="s" s="116">
        <v>198</v>
      </c>
      <c r="D617" t="s" s="79">
        <v>645</v>
      </c>
      <c r="E617" s="100"/>
      <c r="F617" s="101"/>
      <c r="G617" s="102">
        <v>8607.139999999999</v>
      </c>
      <c r="H617" s="103">
        <v>48</v>
      </c>
      <c r="I617" s="114" cm="1">
        <f t="array" ref="I617">G617/H617</f>
        <v>179.315416666667</v>
      </c>
      <c r="J617" s="105"/>
      <c r="K617" s="101"/>
      <c r="L617" s="96"/>
      <c r="M617" s="75"/>
      <c r="N617" s="75"/>
      <c r="O617" s="75"/>
      <c r="P617" s="75"/>
      <c r="Q617" s="75"/>
      <c r="R617" s="75"/>
      <c r="S617" s="75"/>
      <c r="T617" s="75"/>
      <c r="U617" s="75"/>
      <c r="V617" s="75"/>
      <c r="W617" s="75"/>
      <c r="X617" s="75"/>
      <c r="Y617" s="75"/>
      <c r="Z617" s="75"/>
      <c r="AA617" s="75"/>
      <c r="AB617" s="75"/>
    </row>
    <row r="618" ht="12.75" customHeight="1">
      <c r="A618" s="206">
        <v>44427</v>
      </c>
      <c r="B618" s="124">
        <v>10551</v>
      </c>
      <c r="C618" t="s" s="115">
        <v>276</v>
      </c>
      <c r="D618" t="s" s="109">
        <v>622</v>
      </c>
      <c r="E618" s="110"/>
      <c r="F618" s="111"/>
      <c r="G618" s="112">
        <v>10958</v>
      </c>
      <c r="H618" s="113">
        <v>61</v>
      </c>
      <c r="I618" s="114" cm="1">
        <f t="array" ref="I618">G618/H618</f>
        <v>179.639344262295</v>
      </c>
      <c r="J618" s="105"/>
      <c r="K618" s="101"/>
      <c r="L618" s="96"/>
      <c r="M618" s="75"/>
      <c r="N618" s="75"/>
      <c r="O618" s="75"/>
      <c r="P618" s="75"/>
      <c r="Q618" s="75"/>
      <c r="R618" s="75"/>
      <c r="S618" s="75"/>
      <c r="T618" s="75"/>
      <c r="U618" s="75"/>
      <c r="V618" s="75"/>
      <c r="W618" s="75"/>
      <c r="X618" s="75"/>
      <c r="Y618" s="75"/>
      <c r="Z618" s="75"/>
      <c r="AA618" s="75"/>
      <c r="AB618" s="75"/>
    </row>
    <row r="619" ht="12.75" customHeight="1">
      <c r="A619" s="205">
        <v>44431</v>
      </c>
      <c r="B619" s="121">
        <v>1882658</v>
      </c>
      <c r="C619" t="s" s="116">
        <v>108</v>
      </c>
      <c r="D619" t="s" s="79">
        <v>736</v>
      </c>
      <c r="E619" s="100"/>
      <c r="F619" s="101"/>
      <c r="G619" s="102">
        <v>48914.44</v>
      </c>
      <c r="H619" s="103" cm="1">
        <f t="array" ref="H619">G619/I619</f>
        <v>271.746888888889</v>
      </c>
      <c r="I619" s="114">
        <v>180</v>
      </c>
      <c r="J619" s="105"/>
      <c r="K619" s="101"/>
      <c r="L619" s="96"/>
      <c r="M619" s="75"/>
      <c r="N619" s="75"/>
      <c r="O619" s="75"/>
      <c r="P619" s="75"/>
      <c r="Q619" s="75"/>
      <c r="R619" s="75"/>
      <c r="S619" s="75"/>
      <c r="T619" s="75"/>
      <c r="U619" s="75"/>
      <c r="V619" s="75"/>
      <c r="W619" s="75"/>
      <c r="X619" s="75"/>
      <c r="Y619" s="75"/>
      <c r="Z619" s="75"/>
      <c r="AA619" s="75"/>
      <c r="AB619" s="75"/>
    </row>
    <row r="620" ht="12.75" customHeight="1">
      <c r="A620" s="206">
        <v>44431</v>
      </c>
      <c r="B620" s="107"/>
      <c r="C620" t="s" s="115">
        <v>34</v>
      </c>
      <c r="D620" t="s" s="109">
        <v>737</v>
      </c>
      <c r="E620" s="110"/>
      <c r="F620" s="111"/>
      <c r="G620" s="112">
        <v>2369.6</v>
      </c>
      <c r="H620" s="113" cm="1">
        <f t="array" ref="H620">G620/I620</f>
        <v>13.1644444444444</v>
      </c>
      <c r="I620" s="114">
        <v>180</v>
      </c>
      <c r="J620" s="105"/>
      <c r="K620" s="101"/>
      <c r="L620" s="96"/>
      <c r="M620" s="75"/>
      <c r="N620" s="75"/>
      <c r="O620" s="75"/>
      <c r="P620" s="75"/>
      <c r="Q620" s="75"/>
      <c r="R620" s="75"/>
      <c r="S620" s="75"/>
      <c r="T620" s="75"/>
      <c r="U620" s="75"/>
      <c r="V620" s="75"/>
      <c r="W620" s="75"/>
      <c r="X620" s="75"/>
      <c r="Y620" s="75"/>
      <c r="Z620" s="75"/>
      <c r="AA620" s="75"/>
      <c r="AB620" s="75"/>
    </row>
    <row r="621" ht="12.75" customHeight="1">
      <c r="A621" s="207">
        <v>44434</v>
      </c>
      <c r="B621" s="121">
        <v>7553</v>
      </c>
      <c r="C621" t="s" s="116">
        <v>198</v>
      </c>
      <c r="D621" t="s" s="79">
        <v>738</v>
      </c>
      <c r="E621" s="100"/>
      <c r="F621" s="101"/>
      <c r="G621" s="102">
        <v>10508.71</v>
      </c>
      <c r="H621" s="103">
        <v>58.5</v>
      </c>
      <c r="I621" s="114" cm="1">
        <f t="array" ref="I621">G621/H621</f>
        <v>179.636068376068</v>
      </c>
      <c r="J621" s="105"/>
      <c r="K621" s="101"/>
      <c r="L621" s="96"/>
      <c r="M621" s="75"/>
      <c r="N621" s="75"/>
      <c r="O621" s="75"/>
      <c r="P621" s="75"/>
      <c r="Q621" s="75"/>
      <c r="R621" s="75"/>
      <c r="S621" s="75"/>
      <c r="T621" s="75"/>
      <c r="U621" s="75"/>
      <c r="V621" s="75"/>
      <c r="W621" s="75"/>
      <c r="X621" s="75"/>
      <c r="Y621" s="75"/>
      <c r="Z621" s="75"/>
      <c r="AA621" s="75"/>
      <c r="AB621" s="75"/>
    </row>
    <row r="622" ht="12.75" customHeight="1">
      <c r="A622" s="206">
        <v>44440</v>
      </c>
      <c r="B622" s="124">
        <v>7604</v>
      </c>
      <c r="C622" t="s" s="115">
        <v>198</v>
      </c>
      <c r="D622" t="s" s="109">
        <v>739</v>
      </c>
      <c r="E622" s="110"/>
      <c r="F622" s="111"/>
      <c r="G622" s="112">
        <v>8807.26</v>
      </c>
      <c r="H622" s="113">
        <v>48</v>
      </c>
      <c r="I622" s="114" cm="1">
        <f t="array" ref="I622">G622/H622</f>
        <v>183.484583333333</v>
      </c>
      <c r="J622" s="105"/>
      <c r="K622" s="101"/>
      <c r="L622" s="96"/>
      <c r="M622" s="75"/>
      <c r="N622" s="75"/>
      <c r="O622" s="75"/>
      <c r="P622" s="75"/>
      <c r="Q622" s="75"/>
      <c r="R622" s="75"/>
      <c r="S622" s="75"/>
      <c r="T622" s="75"/>
      <c r="U622" s="75"/>
      <c r="V622" s="75"/>
      <c r="W622" s="75"/>
      <c r="X622" s="75"/>
      <c r="Y622" s="75"/>
      <c r="Z622" s="75"/>
      <c r="AA622" s="75"/>
      <c r="AB622" s="75"/>
    </row>
    <row r="623" ht="12.75" customHeight="1">
      <c r="A623" s="207">
        <v>44442</v>
      </c>
      <c r="B623" s="121">
        <v>522</v>
      </c>
      <c r="C623" t="s" s="116">
        <v>299</v>
      </c>
      <c r="D623" t="s" s="79">
        <v>740</v>
      </c>
      <c r="E623" s="100"/>
      <c r="F623" s="101"/>
      <c r="G623" s="102">
        <v>213214.46</v>
      </c>
      <c r="H623" s="103">
        <v>1184</v>
      </c>
      <c r="I623" s="114" cm="1">
        <f t="array" ref="I623">G623/H623</f>
        <v>180.079780405405</v>
      </c>
      <c r="J623" s="105"/>
      <c r="K623" s="101"/>
      <c r="L623" s="96"/>
      <c r="M623" s="75"/>
      <c r="N623" s="75"/>
      <c r="O623" s="75"/>
      <c r="P623" s="75"/>
      <c r="Q623" s="75"/>
      <c r="R623" s="75"/>
      <c r="S623" s="75"/>
      <c r="T623" s="75"/>
      <c r="U623" s="75"/>
      <c r="V623" s="75"/>
      <c r="W623" s="75"/>
      <c r="X623" s="75"/>
      <c r="Y623" s="75"/>
      <c r="Z623" s="75"/>
      <c r="AA623" s="75"/>
      <c r="AB623" s="75"/>
    </row>
    <row r="624" ht="12.75" customHeight="1">
      <c r="A624" s="206">
        <v>44449</v>
      </c>
      <c r="B624" s="107"/>
      <c r="C624" t="s" s="115">
        <v>41</v>
      </c>
      <c r="D624" t="s" s="109">
        <v>741</v>
      </c>
      <c r="E624" s="110"/>
      <c r="F624" s="111"/>
      <c r="G624" s="112">
        <v>14607.42</v>
      </c>
      <c r="H624" s="113" cm="1">
        <f t="array" ref="H624">G624/I624</f>
        <v>81.1523333333333</v>
      </c>
      <c r="I624" s="114">
        <v>180</v>
      </c>
      <c r="J624" s="105"/>
      <c r="K624" s="101"/>
      <c r="L624" s="96"/>
      <c r="M624" s="75"/>
      <c r="N624" s="75"/>
      <c r="O624" s="75"/>
      <c r="P624" s="75"/>
      <c r="Q624" s="75"/>
      <c r="R624" s="75"/>
      <c r="S624" s="75"/>
      <c r="T624" s="75"/>
      <c r="U624" s="75"/>
      <c r="V624" s="75"/>
      <c r="W624" s="75"/>
      <c r="X624" s="75"/>
      <c r="Y624" s="75"/>
      <c r="Z624" s="75"/>
      <c r="AA624" s="75"/>
      <c r="AB624" t="s" s="148">
        <v>264</v>
      </c>
    </row>
    <row r="625" ht="12.75" customHeight="1">
      <c r="A625" s="207">
        <v>44452</v>
      </c>
      <c r="B625" s="98"/>
      <c r="C625" t="s" s="116">
        <v>299</v>
      </c>
      <c r="D625" t="s" s="79">
        <v>742</v>
      </c>
      <c r="E625" s="100"/>
      <c r="F625" s="101"/>
      <c r="G625" s="102">
        <v>321720.21</v>
      </c>
      <c r="H625" s="103">
        <v>1807</v>
      </c>
      <c r="I625" s="114" cm="1">
        <f t="array" ref="I625">G625/H625</f>
        <v>178.041068068622</v>
      </c>
      <c r="J625" s="105"/>
      <c r="K625" s="101"/>
      <c r="L625" s="96"/>
      <c r="M625" s="75"/>
      <c r="N625" s="75"/>
      <c r="O625" s="75"/>
      <c r="P625" s="75"/>
      <c r="Q625" s="75"/>
      <c r="R625" s="75"/>
      <c r="S625" s="75"/>
      <c r="T625" s="75"/>
      <c r="U625" s="75"/>
      <c r="V625" s="75"/>
      <c r="W625" s="75"/>
      <c r="X625" s="75"/>
      <c r="Y625" s="75"/>
      <c r="Z625" s="75"/>
      <c r="AA625" s="75"/>
      <c r="AB625" s="75"/>
    </row>
    <row r="626" ht="12.75" customHeight="1">
      <c r="A626" s="206">
        <v>44461</v>
      </c>
      <c r="B626" s="124">
        <v>688</v>
      </c>
      <c r="C626" t="s" s="115">
        <v>101</v>
      </c>
      <c r="D626" t="s" s="109">
        <v>743</v>
      </c>
      <c r="E626" s="110"/>
      <c r="F626" s="111"/>
      <c r="G626" s="112">
        <v>605000</v>
      </c>
      <c r="H626" s="113">
        <v>3324</v>
      </c>
      <c r="I626" s="114" cm="1">
        <f t="array" ref="I626">G626/H626</f>
        <v>182.009626955475</v>
      </c>
      <c r="J626" s="105"/>
      <c r="K626" s="101"/>
      <c r="L626" s="96"/>
      <c r="M626" s="75"/>
      <c r="N626" s="75"/>
      <c r="O626" s="75"/>
      <c r="P626" s="75"/>
      <c r="Q626" s="75"/>
      <c r="R626" s="75"/>
      <c r="S626" s="75"/>
      <c r="T626" s="75"/>
      <c r="U626" s="75"/>
      <c r="V626" s="75"/>
      <c r="W626" s="75"/>
      <c r="X626" s="75"/>
      <c r="Y626" s="75"/>
      <c r="Z626" s="75"/>
      <c r="AA626" s="75"/>
      <c r="AB626" s="75"/>
    </row>
    <row r="627" ht="12.75" customHeight="1">
      <c r="A627" s="207">
        <v>44462</v>
      </c>
      <c r="B627" s="98"/>
      <c r="C627" t="s" s="116">
        <v>34</v>
      </c>
      <c r="D627" t="s" s="79">
        <v>744</v>
      </c>
      <c r="E627" s="100"/>
      <c r="F627" s="101"/>
      <c r="G627" s="102">
        <v>2862.51</v>
      </c>
      <c r="H627" s="103" cm="1">
        <f t="array" ref="H627">G627/I627</f>
        <v>15.9028333333333</v>
      </c>
      <c r="I627" s="114">
        <v>180</v>
      </c>
      <c r="J627" s="105"/>
      <c r="K627" s="101"/>
      <c r="L627" s="96"/>
      <c r="M627" s="75"/>
      <c r="N627" s="75"/>
      <c r="O627" s="75"/>
      <c r="P627" s="75"/>
      <c r="Q627" s="75"/>
      <c r="R627" s="75"/>
      <c r="S627" s="75"/>
      <c r="T627" s="75"/>
      <c r="U627" s="75"/>
      <c r="V627" s="75"/>
      <c r="W627" s="75"/>
      <c r="X627" s="75"/>
      <c r="Y627" s="75"/>
      <c r="Z627" s="75"/>
      <c r="AA627" s="75"/>
      <c r="AB627" s="75"/>
    </row>
    <row r="628" ht="12.75" customHeight="1">
      <c r="A628" s="206">
        <v>44473</v>
      </c>
      <c r="B628" s="124">
        <v>52951</v>
      </c>
      <c r="C628" t="s" s="115">
        <v>276</v>
      </c>
      <c r="D628" t="s" s="109">
        <v>745</v>
      </c>
      <c r="E628" s="110"/>
      <c r="F628" s="111"/>
      <c r="G628" s="112">
        <v>3880.9</v>
      </c>
      <c r="H628" s="113">
        <v>20</v>
      </c>
      <c r="I628" s="114" cm="1">
        <f t="array" ref="I628">G628/H628</f>
        <v>194.045</v>
      </c>
      <c r="J628" s="105"/>
      <c r="K628" s="101"/>
      <c r="L628" s="96"/>
      <c r="M628" s="75"/>
      <c r="N628" s="75"/>
      <c r="O628" s="75"/>
      <c r="P628" s="75"/>
      <c r="Q628" s="75"/>
      <c r="R628" s="75"/>
      <c r="S628" s="75"/>
      <c r="T628" s="75"/>
      <c r="U628" s="75"/>
      <c r="V628" s="75"/>
      <c r="W628" s="75"/>
      <c r="X628" s="75"/>
      <c r="Y628" s="75"/>
      <c r="Z628" s="75"/>
      <c r="AA628" s="75"/>
      <c r="AB628" s="75"/>
    </row>
    <row r="629" ht="12.75" customHeight="1">
      <c r="A629" s="207">
        <v>44473</v>
      </c>
      <c r="B629" s="121">
        <v>52343</v>
      </c>
      <c r="C629" t="s" s="116">
        <v>276</v>
      </c>
      <c r="D629" t="s" s="79">
        <v>746</v>
      </c>
      <c r="E629" s="100"/>
      <c r="F629" s="101"/>
      <c r="G629" s="102">
        <v>3800.28</v>
      </c>
      <c r="H629" s="103">
        <v>19</v>
      </c>
      <c r="I629" s="114" cm="1">
        <f t="array" ref="I629">G629/H629</f>
        <v>200.014736842105</v>
      </c>
      <c r="J629" s="105"/>
      <c r="K629" s="101"/>
      <c r="L629" s="96"/>
      <c r="M629" s="75"/>
      <c r="N629" s="75"/>
      <c r="O629" s="75"/>
      <c r="P629" s="75"/>
      <c r="Q629" s="75"/>
      <c r="R629" s="75"/>
      <c r="S629" s="75"/>
      <c r="T629" s="75"/>
      <c r="U629" s="75"/>
      <c r="V629" s="75"/>
      <c r="W629" s="75"/>
      <c r="X629" s="75"/>
      <c r="Y629" s="75"/>
      <c r="Z629" s="75"/>
      <c r="AA629" s="75"/>
      <c r="AB629" s="75"/>
    </row>
    <row r="630" ht="12.75" customHeight="1">
      <c r="A630" s="206">
        <v>44473</v>
      </c>
      <c r="B630" s="124">
        <v>52128</v>
      </c>
      <c r="C630" t="s" s="115">
        <v>276</v>
      </c>
      <c r="D630" t="s" s="109">
        <v>747</v>
      </c>
      <c r="E630" s="110"/>
      <c r="F630" s="111"/>
      <c r="G630" s="112">
        <v>13369.42</v>
      </c>
      <c r="H630" s="113">
        <v>73</v>
      </c>
      <c r="I630" s="114" cm="1">
        <f t="array" ref="I630">G630/H630</f>
        <v>183.142739726027</v>
      </c>
      <c r="J630" s="105"/>
      <c r="K630" s="101"/>
      <c r="L630" s="153"/>
      <c r="M630" s="154"/>
      <c r="N630" s="154"/>
      <c r="O630" s="154"/>
      <c r="P630" s="154"/>
      <c r="Q630" s="154"/>
      <c r="R630" s="154"/>
      <c r="S630" s="154"/>
      <c r="T630" s="154"/>
      <c r="U630" s="154"/>
      <c r="V630" s="154"/>
      <c r="W630" s="154"/>
      <c r="X630" s="154"/>
      <c r="Y630" s="154"/>
      <c r="Z630" s="154"/>
      <c r="AA630" s="154"/>
      <c r="AB630" s="154"/>
    </row>
    <row r="631" ht="12.75" customHeight="1">
      <c r="A631" s="207">
        <v>44473</v>
      </c>
      <c r="B631" s="121">
        <v>796</v>
      </c>
      <c r="C631" t="s" s="116">
        <v>571</v>
      </c>
      <c r="D631" t="s" s="79">
        <v>748</v>
      </c>
      <c r="E631" s="100"/>
      <c r="F631" s="101"/>
      <c r="G631" s="102" cm="1">
        <f t="array" ref="G631">1242350+260893.5</f>
        <v>1503243.5</v>
      </c>
      <c r="H631" s="103">
        <v>8126</v>
      </c>
      <c r="I631" s="104" cm="1">
        <f t="array" ref="I631">G631/H631</f>
        <v>184.991816391829</v>
      </c>
      <c r="J631" s="105"/>
      <c r="K631" s="101"/>
      <c r="L631" s="155"/>
      <c r="M631" s="156"/>
      <c r="N631" s="156"/>
      <c r="O631" s="156"/>
      <c r="P631" s="156"/>
      <c r="Q631" s="156"/>
      <c r="R631" s="156"/>
      <c r="S631" s="156"/>
      <c r="T631" s="156"/>
      <c r="U631" s="156"/>
      <c r="V631" s="156"/>
      <c r="W631" s="156"/>
      <c r="X631" s="156"/>
      <c r="Y631" s="156"/>
      <c r="Z631" s="156"/>
      <c r="AA631" s="156"/>
      <c r="AB631" s="157"/>
    </row>
    <row r="632" ht="12.75" customHeight="1">
      <c r="A632" s="206">
        <v>44481</v>
      </c>
      <c r="B632" s="107"/>
      <c r="C632" t="s" s="115">
        <v>41</v>
      </c>
      <c r="D632" t="s" s="109">
        <v>749</v>
      </c>
      <c r="E632" s="110"/>
      <c r="F632" s="111"/>
      <c r="G632" s="112">
        <v>15348.76</v>
      </c>
      <c r="H632" s="113" cm="1">
        <f t="array" ref="H632">G632/I632</f>
        <v>83.8730054644809</v>
      </c>
      <c r="I632" s="114">
        <v>183</v>
      </c>
      <c r="J632" s="163"/>
      <c r="K632" s="111"/>
      <c r="L632" s="164"/>
      <c r="M632" s="165"/>
      <c r="N632" s="165"/>
      <c r="O632" s="165"/>
      <c r="P632" s="165"/>
      <c r="Q632" s="165"/>
      <c r="R632" s="165"/>
      <c r="S632" s="165"/>
      <c r="T632" s="165"/>
      <c r="U632" s="165"/>
      <c r="V632" s="165"/>
      <c r="W632" s="165"/>
      <c r="X632" s="165"/>
      <c r="Y632" s="165"/>
      <c r="Z632" s="165"/>
      <c r="AA632" s="165"/>
      <c r="AB632" s="166"/>
    </row>
    <row r="633" ht="12.75" customHeight="1">
      <c r="A633" s="207">
        <v>44484</v>
      </c>
      <c r="B633" s="98"/>
      <c r="C633" t="s" s="116">
        <v>67</v>
      </c>
      <c r="D633" t="s" s="79">
        <v>750</v>
      </c>
      <c r="E633" s="100"/>
      <c r="F633" s="101"/>
      <c r="G633" s="102">
        <v>149960</v>
      </c>
      <c r="H633" s="103">
        <v>813</v>
      </c>
      <c r="I633" s="104" cm="1">
        <f t="array" ref="I633">G633/H633</f>
        <v>184.452644526445</v>
      </c>
      <c r="J633" s="105"/>
      <c r="K633" s="101"/>
      <c r="L633" s="155"/>
      <c r="M633" s="156"/>
      <c r="N633" s="156"/>
      <c r="O633" s="156"/>
      <c r="P633" s="156"/>
      <c r="Q633" s="156"/>
      <c r="R633" s="156"/>
      <c r="S633" s="156"/>
      <c r="T633" s="156"/>
      <c r="U633" s="156"/>
      <c r="V633" s="156"/>
      <c r="W633" s="156"/>
      <c r="X633" s="156"/>
      <c r="Y633" s="156"/>
      <c r="Z633" s="156"/>
      <c r="AA633" s="156"/>
      <c r="AB633" s="157"/>
    </row>
    <row r="634" ht="12.75" customHeight="1">
      <c r="A634" s="206">
        <v>44491</v>
      </c>
      <c r="B634" s="107"/>
      <c r="C634" t="s" s="115">
        <v>34</v>
      </c>
      <c r="D634" t="s" s="109">
        <v>751</v>
      </c>
      <c r="E634" s="110"/>
      <c r="F634" s="111"/>
      <c r="G634" s="112">
        <v>2605.96</v>
      </c>
      <c r="H634" s="113" cm="1">
        <f t="array" ref="H634">G634/I634</f>
        <v>14.0862702702703</v>
      </c>
      <c r="I634" s="114">
        <v>185</v>
      </c>
      <c r="J634" s="163"/>
      <c r="K634" s="111"/>
      <c r="L634" s="164"/>
      <c r="M634" s="165"/>
      <c r="N634" s="165"/>
      <c r="O634" s="165"/>
      <c r="P634" s="165"/>
      <c r="Q634" s="165"/>
      <c r="R634" s="165"/>
      <c r="S634" s="165"/>
      <c r="T634" s="165"/>
      <c r="U634" s="165"/>
      <c r="V634" s="165"/>
      <c r="W634" s="165"/>
      <c r="X634" s="165"/>
      <c r="Y634" s="165"/>
      <c r="Z634" s="165"/>
      <c r="AA634" s="165"/>
      <c r="AB634" s="166"/>
    </row>
    <row r="635" ht="12.75" customHeight="1">
      <c r="A635" s="207">
        <v>44501</v>
      </c>
      <c r="B635" s="121">
        <v>18874</v>
      </c>
      <c r="C635" t="s" s="116">
        <v>220</v>
      </c>
      <c r="D635" t="s" s="79">
        <v>752</v>
      </c>
      <c r="E635" s="100"/>
      <c r="F635" s="101"/>
      <c r="G635" s="102">
        <v>9257.059999999999</v>
      </c>
      <c r="H635" s="103">
        <v>48</v>
      </c>
      <c r="I635" s="104" cm="1">
        <f t="array" ref="I635">G635/H635</f>
        <v>192.855416666667</v>
      </c>
      <c r="J635" s="105"/>
      <c r="K635" s="101"/>
      <c r="L635" s="155"/>
      <c r="M635" s="156"/>
      <c r="N635" s="156"/>
      <c r="O635" s="156"/>
      <c r="P635" s="156"/>
      <c r="Q635" s="156"/>
      <c r="R635" s="156"/>
      <c r="S635" s="156"/>
      <c r="T635" s="156"/>
      <c r="U635" s="156"/>
      <c r="V635" s="156"/>
      <c r="W635" s="156"/>
      <c r="X635" s="156"/>
      <c r="Y635" s="156"/>
      <c r="Z635" s="156"/>
      <c r="AA635" s="156"/>
      <c r="AB635" s="157"/>
    </row>
    <row r="636" ht="12.75" customHeight="1">
      <c r="A636" s="206">
        <v>44510</v>
      </c>
      <c r="B636" s="107"/>
      <c r="C636" t="s" s="115">
        <v>41</v>
      </c>
      <c r="D636" t="s" s="109">
        <v>753</v>
      </c>
      <c r="E636" s="110"/>
      <c r="F636" s="111"/>
      <c r="G636" s="112">
        <v>15348.76</v>
      </c>
      <c r="H636" s="113" cm="1">
        <f t="array" ref="H636">G636/I636</f>
        <v>75.6096551724138</v>
      </c>
      <c r="I636" s="114">
        <v>203</v>
      </c>
      <c r="J636" s="163"/>
      <c r="K636" s="111"/>
      <c r="L636" s="164"/>
      <c r="M636" s="165"/>
      <c r="N636" s="165"/>
      <c r="O636" s="165"/>
      <c r="P636" s="165"/>
      <c r="Q636" s="165"/>
      <c r="R636" s="165"/>
      <c r="S636" s="165"/>
      <c r="T636" s="165"/>
      <c r="U636" s="165"/>
      <c r="V636" s="165"/>
      <c r="W636" s="165"/>
      <c r="X636" s="165"/>
      <c r="Y636" s="165"/>
      <c r="Z636" s="165"/>
      <c r="AA636" s="165"/>
      <c r="AB636" s="166"/>
    </row>
    <row r="637" ht="12.75" customHeight="1">
      <c r="A637" s="207">
        <v>44523</v>
      </c>
      <c r="B637" s="121">
        <v>3000</v>
      </c>
      <c r="C637" t="s" s="116">
        <v>278</v>
      </c>
      <c r="D637" t="s" s="79">
        <v>754</v>
      </c>
      <c r="E637" s="100"/>
      <c r="F637" s="101"/>
      <c r="G637" s="102">
        <v>43700</v>
      </c>
      <c r="H637" s="103">
        <v>218</v>
      </c>
      <c r="I637" s="104" cm="1">
        <f t="array" ref="I637">G637/H637</f>
        <v>200.458715596330</v>
      </c>
      <c r="J637" s="105"/>
      <c r="K637" s="101"/>
      <c r="L637" s="155"/>
      <c r="M637" s="156"/>
      <c r="N637" s="156"/>
      <c r="O637" s="156"/>
      <c r="P637" s="156"/>
      <c r="Q637" s="156"/>
      <c r="R637" s="156"/>
      <c r="S637" s="156"/>
      <c r="T637" s="156"/>
      <c r="U637" s="156"/>
      <c r="V637" s="156"/>
      <c r="W637" s="156"/>
      <c r="X637" s="156"/>
      <c r="Y637" s="156"/>
      <c r="Z637" s="156"/>
      <c r="AA637" s="156"/>
      <c r="AB637" s="157"/>
    </row>
    <row r="638" ht="12.75" customHeight="1">
      <c r="A638" s="206">
        <v>44523</v>
      </c>
      <c r="B638" s="107"/>
      <c r="C638" t="s" s="115">
        <v>34</v>
      </c>
      <c r="D638" t="s" s="109">
        <v>755</v>
      </c>
      <c r="E638" s="110"/>
      <c r="F638" s="111"/>
      <c r="G638" s="112">
        <v>2312.75</v>
      </c>
      <c r="H638" s="113" cm="1">
        <f t="array" ref="H638">G638/I638</f>
        <v>11.56375</v>
      </c>
      <c r="I638" s="114">
        <v>200</v>
      </c>
      <c r="J638" s="163"/>
      <c r="K638" s="111"/>
      <c r="L638" s="164"/>
      <c r="M638" s="165"/>
      <c r="N638" s="165"/>
      <c r="O638" s="165"/>
      <c r="P638" s="165"/>
      <c r="Q638" s="165"/>
      <c r="R638" s="165"/>
      <c r="S638" s="165"/>
      <c r="T638" s="165"/>
      <c r="U638" s="165"/>
      <c r="V638" s="165"/>
      <c r="W638" s="165"/>
      <c r="X638" s="165"/>
      <c r="Y638" s="165"/>
      <c r="Z638" s="165"/>
      <c r="AA638" s="165"/>
      <c r="AB638" s="166"/>
    </row>
    <row r="639" ht="12.75" customHeight="1">
      <c r="A639" s="208">
        <v>44531</v>
      </c>
      <c r="B639" s="99"/>
      <c r="C639" t="s" s="116">
        <v>756</v>
      </c>
      <c r="D639" t="s" s="79">
        <v>757</v>
      </c>
      <c r="E639" s="100"/>
      <c r="F639" s="101"/>
      <c r="G639" s="102">
        <v>1500000</v>
      </c>
      <c r="H639" s="103"/>
      <c r="I639" s="104"/>
      <c r="J639" s="105"/>
      <c r="K639" s="101"/>
      <c r="L639" s="209"/>
      <c r="M639" s="210"/>
      <c r="N639" s="210"/>
      <c r="O639" s="210"/>
      <c r="P639" s="210"/>
      <c r="Q639" s="210"/>
      <c r="R639" s="210"/>
      <c r="S639" s="210"/>
      <c r="T639" s="210"/>
      <c r="U639" s="210"/>
      <c r="V639" s="210"/>
      <c r="W639" s="210"/>
      <c r="X639" s="210"/>
      <c r="Y639" s="210"/>
      <c r="Z639" s="210"/>
      <c r="AA639" s="210"/>
      <c r="AB639" s="210"/>
    </row>
    <row r="640" ht="12.75" customHeight="1">
      <c r="A640" s="211">
        <v>44546</v>
      </c>
      <c r="B640" s="108"/>
      <c r="C640" t="s" s="115">
        <v>758</v>
      </c>
      <c r="D640" t="s" s="109">
        <v>759</v>
      </c>
      <c r="E640" s="110"/>
      <c r="F640" s="111"/>
      <c r="G640" s="112">
        <v>2096853</v>
      </c>
      <c r="H640" s="113">
        <v>10500</v>
      </c>
      <c r="I640" s="114" cm="1">
        <f t="array" ref="I640">G640/H640</f>
        <v>199.700285714286</v>
      </c>
      <c r="J640" s="163"/>
      <c r="K640" s="111"/>
      <c r="L640" s="164"/>
      <c r="M640" s="165"/>
      <c r="N640" s="165"/>
      <c r="O640" s="165"/>
      <c r="P640" s="165"/>
      <c r="Q640" s="165"/>
      <c r="R640" s="165"/>
      <c r="S640" s="165"/>
      <c r="T640" s="165"/>
      <c r="U640" s="165"/>
      <c r="V640" s="165"/>
      <c r="W640" s="165"/>
      <c r="X640" s="165"/>
      <c r="Y640" s="165"/>
      <c r="Z640" s="165"/>
      <c r="AA640" s="165"/>
      <c r="AB640" s="166"/>
    </row>
    <row r="641" ht="12.75" customHeight="1">
      <c r="A641" s="208">
        <v>44546</v>
      </c>
      <c r="B641" s="99"/>
      <c r="C641" t="s" s="116">
        <v>758</v>
      </c>
      <c r="D641" t="s" s="79">
        <v>760</v>
      </c>
      <c r="E641" s="100"/>
      <c r="F641" s="101"/>
      <c r="G641" s="102">
        <v>2862767</v>
      </c>
      <c r="H641" s="103">
        <v>14300</v>
      </c>
      <c r="I641" s="104" cm="1">
        <f t="array" ref="I641">G641/H641</f>
        <v>200.193496503497</v>
      </c>
      <c r="J641" s="105"/>
      <c r="K641" s="101"/>
      <c r="L641" s="167"/>
      <c r="M641" s="168"/>
      <c r="N641" s="168"/>
      <c r="O641" s="168"/>
      <c r="P641" s="168"/>
      <c r="Q641" s="168"/>
      <c r="R641" s="168"/>
      <c r="S641" s="168"/>
      <c r="T641" s="168"/>
      <c r="U641" s="168"/>
      <c r="V641" s="168"/>
      <c r="W641" s="168"/>
      <c r="X641" s="168"/>
      <c r="Y641" s="168"/>
      <c r="Z641" s="168"/>
      <c r="AA641" s="168"/>
      <c r="AB641" s="168"/>
    </row>
    <row r="642" ht="12.75" customHeight="1">
      <c r="A642" s="206">
        <v>44547</v>
      </c>
      <c r="B642" s="124">
        <v>8528</v>
      </c>
      <c r="C642" t="s" s="115">
        <v>198</v>
      </c>
      <c r="D642" t="s" s="109">
        <v>761</v>
      </c>
      <c r="E642" s="110"/>
      <c r="F642" s="111"/>
      <c r="G642" s="112">
        <v>30625.34</v>
      </c>
      <c r="H642" s="113">
        <v>153</v>
      </c>
      <c r="I642" s="114" cm="1">
        <f t="array" ref="I642">G642/H642</f>
        <v>200.165620915033</v>
      </c>
      <c r="J642" s="105"/>
      <c r="K642" s="101"/>
      <c r="L642" s="96"/>
      <c r="M642" s="75"/>
      <c r="N642" s="75"/>
      <c r="O642" s="75"/>
      <c r="P642" s="75"/>
      <c r="Q642" s="75"/>
      <c r="R642" s="75"/>
      <c r="S642" s="75"/>
      <c r="T642" s="75"/>
      <c r="U642" s="75"/>
      <c r="V642" s="75"/>
      <c r="W642" s="75"/>
      <c r="X642" s="75"/>
      <c r="Y642" s="75"/>
      <c r="Z642" s="75"/>
      <c r="AA642" s="75"/>
      <c r="AB642" s="75"/>
    </row>
    <row r="643" ht="12.75" customHeight="1">
      <c r="A643" s="205">
        <v>44547</v>
      </c>
      <c r="B643" s="121">
        <v>8545</v>
      </c>
      <c r="C643" t="s" s="116">
        <v>198</v>
      </c>
      <c r="D643" t="s" s="79">
        <v>762</v>
      </c>
      <c r="E643" s="100"/>
      <c r="F643" s="101"/>
      <c r="G643" s="102">
        <v>102144.62</v>
      </c>
      <c r="H643" s="103" cm="1">
        <f t="array" ref="H643">G643/I643</f>
        <v>510.7231</v>
      </c>
      <c r="I643" s="104">
        <v>200</v>
      </c>
      <c r="J643" s="105"/>
      <c r="K643" s="101"/>
      <c r="L643" s="153"/>
      <c r="M643" s="154"/>
      <c r="N643" s="154"/>
      <c r="O643" s="154"/>
      <c r="P643" s="154"/>
      <c r="Q643" s="154"/>
      <c r="R643" s="154"/>
      <c r="S643" s="154"/>
      <c r="T643" s="154"/>
      <c r="U643" s="154"/>
      <c r="V643" s="154"/>
      <c r="W643" s="154"/>
      <c r="X643" s="154"/>
      <c r="Y643" s="154"/>
      <c r="Z643" s="154"/>
      <c r="AA643" s="154"/>
      <c r="AB643" s="154"/>
    </row>
    <row r="644" ht="12.75" customHeight="1">
      <c r="A644" s="206">
        <v>44925</v>
      </c>
      <c r="B644" s="107"/>
      <c r="C644" t="s" s="115">
        <v>41</v>
      </c>
      <c r="D644" t="s" s="109">
        <v>763</v>
      </c>
      <c r="E644" s="110"/>
      <c r="F644" s="111"/>
      <c r="G644" s="112">
        <v>48383.8</v>
      </c>
      <c r="H644" s="113" cm="1">
        <f t="array" ref="H644">G644/I644</f>
        <v>241.919</v>
      </c>
      <c r="I644" s="114">
        <v>200</v>
      </c>
      <c r="J644" s="163"/>
      <c r="K644" s="111"/>
      <c r="L644" s="164"/>
      <c r="M644" s="165"/>
      <c r="N644" s="165"/>
      <c r="O644" s="165"/>
      <c r="P644" s="165"/>
      <c r="Q644" s="165"/>
      <c r="R644" s="165"/>
      <c r="S644" s="165"/>
      <c r="T644" s="165"/>
      <c r="U644" s="165"/>
      <c r="V644" s="165"/>
      <c r="W644" s="165"/>
      <c r="X644" s="165"/>
      <c r="Y644" s="165"/>
      <c r="Z644" s="165"/>
      <c r="AA644" s="165"/>
      <c r="AB644" s="166"/>
    </row>
    <row r="645" ht="12.75" customHeight="1">
      <c r="A645" s="205">
        <v>44566</v>
      </c>
      <c r="B645" s="98"/>
      <c r="C645" t="s" s="116">
        <v>99</v>
      </c>
      <c r="D645" t="s" s="79">
        <v>764</v>
      </c>
      <c r="E645" s="100"/>
      <c r="F645" s="101"/>
      <c r="G645" s="102">
        <v>2682.67</v>
      </c>
      <c r="H645" s="103" cm="1">
        <f t="array" ref="H645">G645/I645</f>
        <v>13.41335</v>
      </c>
      <c r="I645" s="104" cm="1">
        <f t="array" ref="I645">200</f>
        <v>200</v>
      </c>
      <c r="J645" s="105"/>
      <c r="K645" s="101"/>
      <c r="L645" s="209"/>
      <c r="M645" s="210"/>
      <c r="N645" s="210"/>
      <c r="O645" s="210"/>
      <c r="P645" s="210"/>
      <c r="Q645" s="210"/>
      <c r="R645" s="210"/>
      <c r="S645" s="210"/>
      <c r="T645" s="210"/>
      <c r="U645" s="210"/>
      <c r="V645" s="210"/>
      <c r="W645" s="210"/>
      <c r="X645" s="210"/>
      <c r="Y645" s="210"/>
      <c r="Z645" s="210"/>
      <c r="AA645" s="210"/>
      <c r="AB645" s="210"/>
    </row>
    <row r="646" ht="12.75" customHeight="1">
      <c r="A646" s="212">
        <v>44577</v>
      </c>
      <c r="B646" s="124">
        <v>4638</v>
      </c>
      <c r="C646" t="s" s="115">
        <v>149</v>
      </c>
      <c r="D646" t="s" s="109">
        <v>765</v>
      </c>
      <c r="E646" s="110"/>
      <c r="F646" s="111"/>
      <c r="G646" s="112">
        <v>12500</v>
      </c>
      <c r="H646" s="113" cm="1">
        <f t="array" ref="H646">G646/I646</f>
        <v>61.2745098039216</v>
      </c>
      <c r="I646" s="114">
        <v>204</v>
      </c>
      <c r="J646" s="163"/>
      <c r="K646" s="111"/>
      <c r="L646" s="164"/>
      <c r="M646" s="165"/>
      <c r="N646" s="165"/>
      <c r="O646" s="165"/>
      <c r="P646" s="165"/>
      <c r="Q646" s="165"/>
      <c r="R646" s="165"/>
      <c r="S646" s="165"/>
      <c r="T646" s="165"/>
      <c r="U646" s="165"/>
      <c r="V646" s="165"/>
      <c r="W646" s="165"/>
      <c r="X646" s="165"/>
      <c r="Y646" s="165"/>
      <c r="Z646" s="165"/>
      <c r="AA646" s="165"/>
      <c r="AB646" s="166"/>
    </row>
    <row r="647" ht="12.75" customHeight="1">
      <c r="A647" s="205">
        <v>44581</v>
      </c>
      <c r="B647" s="121">
        <v>4636</v>
      </c>
      <c r="C647" t="s" s="116">
        <v>149</v>
      </c>
      <c r="D647" t="s" s="79">
        <v>766</v>
      </c>
      <c r="E647" s="100"/>
      <c r="F647" s="101"/>
      <c r="G647" s="102">
        <v>9800</v>
      </c>
      <c r="H647" s="103" cm="1">
        <f t="array" ref="H647">G647/I647</f>
        <v>48.0392156862745</v>
      </c>
      <c r="I647" s="104">
        <v>204</v>
      </c>
      <c r="J647" s="105"/>
      <c r="K647" s="101"/>
      <c r="L647" s="209"/>
      <c r="M647" s="210"/>
      <c r="N647" s="210"/>
      <c r="O647" s="210"/>
      <c r="P647" s="210"/>
      <c r="Q647" s="210"/>
      <c r="R647" s="210"/>
      <c r="S647" s="210"/>
      <c r="T647" s="210"/>
      <c r="U647" s="210"/>
      <c r="V647" s="210"/>
      <c r="W647" s="210"/>
      <c r="X647" s="210"/>
      <c r="Y647" s="210"/>
      <c r="Z647" s="210"/>
      <c r="AA647" s="210"/>
      <c r="AB647" s="210"/>
    </row>
    <row r="648" ht="12.75" customHeight="1">
      <c r="A648" s="212">
        <v>44582</v>
      </c>
      <c r="B648" s="107"/>
      <c r="C648" t="s" s="115">
        <v>34</v>
      </c>
      <c r="D648" t="s" s="109">
        <v>767</v>
      </c>
      <c r="E648" s="110"/>
      <c r="F648" s="111"/>
      <c r="G648" s="112">
        <v>3082.41</v>
      </c>
      <c r="H648" s="113" cm="1">
        <f t="array" ref="H648">G648/I648</f>
        <v>15.1098529411765</v>
      </c>
      <c r="I648" s="114">
        <v>204</v>
      </c>
      <c r="J648" s="163"/>
      <c r="K648" s="111"/>
      <c r="L648" s="164"/>
      <c r="M648" s="165"/>
      <c r="N648" s="165"/>
      <c r="O648" s="165"/>
      <c r="P648" s="165"/>
      <c r="Q648" s="165"/>
      <c r="R648" s="165"/>
      <c r="S648" s="165"/>
      <c r="T648" s="165"/>
      <c r="U648" s="165"/>
      <c r="V648" s="165"/>
      <c r="W648" s="165"/>
      <c r="X648" s="165"/>
      <c r="Y648" s="165"/>
      <c r="Z648" s="165"/>
      <c r="AA648" s="165"/>
      <c r="AB648" s="166"/>
    </row>
    <row r="649" ht="12.75" customHeight="1">
      <c r="A649" s="205">
        <v>44592</v>
      </c>
      <c r="B649" s="121">
        <v>20676</v>
      </c>
      <c r="C649" t="s" s="116">
        <v>220</v>
      </c>
      <c r="D649" t="s" s="79">
        <v>768</v>
      </c>
      <c r="E649" s="100"/>
      <c r="F649" s="101"/>
      <c r="G649" s="102">
        <v>6059.09</v>
      </c>
      <c r="H649" s="103" cm="1">
        <f t="array" ref="H649">G649/I649</f>
        <v>28.7160663507109</v>
      </c>
      <c r="I649" s="104">
        <v>211</v>
      </c>
      <c r="J649" s="105"/>
      <c r="K649" s="101"/>
      <c r="L649" s="209"/>
      <c r="M649" s="210"/>
      <c r="N649" s="210"/>
      <c r="O649" s="210"/>
      <c r="P649" s="210"/>
      <c r="Q649" s="210"/>
      <c r="R649" s="210"/>
      <c r="S649" s="210"/>
      <c r="T649" s="210"/>
      <c r="U649" s="210"/>
      <c r="V649" s="210"/>
      <c r="W649" s="210"/>
      <c r="X649" s="210"/>
      <c r="Y649" s="210"/>
      <c r="Z649" s="210"/>
      <c r="AA649" s="210"/>
      <c r="AB649" s="210"/>
    </row>
    <row r="650" ht="12.75" customHeight="1">
      <c r="A650" s="212">
        <v>44594</v>
      </c>
      <c r="B650" s="124">
        <v>4694</v>
      </c>
      <c r="C650" t="s" s="115">
        <v>149</v>
      </c>
      <c r="D650" t="s" s="109">
        <v>769</v>
      </c>
      <c r="E650" s="110"/>
      <c r="F650" s="111"/>
      <c r="G650" s="112">
        <v>14000.01</v>
      </c>
      <c r="H650" s="113" cm="1">
        <f t="array" ref="H650">G650/I650</f>
        <v>66.66671428571431</v>
      </c>
      <c r="I650" s="114">
        <v>210</v>
      </c>
      <c r="J650" s="163"/>
      <c r="K650" s="111"/>
      <c r="L650" s="164"/>
      <c r="M650" s="165"/>
      <c r="N650" s="165"/>
      <c r="O650" s="165"/>
      <c r="P650" s="165"/>
      <c r="Q650" s="165"/>
      <c r="R650" s="165"/>
      <c r="S650" s="165"/>
      <c r="T650" s="165"/>
      <c r="U650" s="165"/>
      <c r="V650" s="165"/>
      <c r="W650" s="165"/>
      <c r="X650" s="165"/>
      <c r="Y650" s="165"/>
      <c r="Z650" s="165"/>
      <c r="AA650" s="165"/>
      <c r="AB650" s="166"/>
    </row>
    <row r="651" ht="12.75" customHeight="1">
      <c r="A651" s="205">
        <v>44596</v>
      </c>
      <c r="B651" s="98"/>
      <c r="C651" t="s" s="116">
        <v>99</v>
      </c>
      <c r="D651" t="s" s="79">
        <v>770</v>
      </c>
      <c r="E651" s="100"/>
      <c r="F651" s="101"/>
      <c r="G651" s="102">
        <v>6773.76</v>
      </c>
      <c r="H651" s="103" cm="1">
        <f t="array" ref="H651">G651/I651</f>
        <v>32.256</v>
      </c>
      <c r="I651" s="104">
        <v>210</v>
      </c>
      <c r="J651" s="105"/>
      <c r="K651" s="101"/>
      <c r="L651" s="209"/>
      <c r="M651" s="210"/>
      <c r="N651" s="210"/>
      <c r="O651" s="210"/>
      <c r="P651" s="210"/>
      <c r="Q651" s="210"/>
      <c r="R651" s="210"/>
      <c r="S651" s="210"/>
      <c r="T651" s="210"/>
      <c r="U651" s="210"/>
      <c r="V651" s="210"/>
      <c r="W651" s="210"/>
      <c r="X651" s="210"/>
      <c r="Y651" s="210"/>
      <c r="Z651" s="210"/>
      <c r="AA651" s="210"/>
      <c r="AB651" s="210"/>
    </row>
    <row r="652" ht="12.75" customHeight="1">
      <c r="A652" s="212">
        <v>44603</v>
      </c>
      <c r="B652" s="107"/>
      <c r="C652" t="s" s="115">
        <v>41</v>
      </c>
      <c r="D652" t="s" s="109">
        <v>771</v>
      </c>
      <c r="E652" s="110"/>
      <c r="F652" s="111"/>
      <c r="G652" s="112">
        <v>22020.74</v>
      </c>
      <c r="H652" s="113" cm="1">
        <f t="array" ref="H652">G652/I652</f>
        <v>104.860666666667</v>
      </c>
      <c r="I652" s="114">
        <v>210</v>
      </c>
      <c r="J652" s="163"/>
      <c r="K652" s="111"/>
      <c r="L652" s="164"/>
      <c r="M652" s="165"/>
      <c r="N652" s="165"/>
      <c r="O652" s="165"/>
      <c r="P652" s="165"/>
      <c r="Q652" s="165"/>
      <c r="R652" s="165"/>
      <c r="S652" s="165"/>
      <c r="T652" s="165"/>
      <c r="U652" s="165"/>
      <c r="V652" s="165"/>
      <c r="W652" s="165"/>
      <c r="X652" s="165"/>
      <c r="Y652" s="165"/>
      <c r="Z652" s="165"/>
      <c r="AA652" s="165"/>
      <c r="AB652" s="166"/>
    </row>
    <row r="653" ht="12.75" customHeight="1">
      <c r="A653" s="207">
        <v>44615</v>
      </c>
      <c r="B653" s="98"/>
      <c r="C653" t="s" s="116">
        <v>34</v>
      </c>
      <c r="D653" t="s" s="79">
        <v>771</v>
      </c>
      <c r="E653" s="100"/>
      <c r="F653" s="101"/>
      <c r="G653" s="102">
        <v>4181.92</v>
      </c>
      <c r="H653" s="103" cm="1">
        <f t="array" ref="H653">G653/I653</f>
        <v>19.9139047619048</v>
      </c>
      <c r="I653" s="104">
        <v>210</v>
      </c>
      <c r="J653" s="105"/>
      <c r="K653" s="101"/>
      <c r="L653" s="209"/>
      <c r="M653" s="210"/>
      <c r="N653" s="210"/>
      <c r="O653" s="210"/>
      <c r="P653" s="210"/>
      <c r="Q653" s="210"/>
      <c r="R653" s="210"/>
      <c r="S653" s="210"/>
      <c r="T653" s="210"/>
      <c r="U653" s="210"/>
      <c r="V653" s="210"/>
      <c r="W653" s="210"/>
      <c r="X653" s="210"/>
      <c r="Y653" s="210"/>
      <c r="Z653" s="210"/>
      <c r="AA653" s="210"/>
      <c r="AB653" s="210"/>
    </row>
    <row r="654" ht="12.75" customHeight="1">
      <c r="A654" s="212">
        <v>44614</v>
      </c>
      <c r="B654" s="107"/>
      <c r="C654" t="s" s="115">
        <v>32</v>
      </c>
      <c r="D654" t="s" s="109">
        <v>772</v>
      </c>
      <c r="E654" s="110"/>
      <c r="F654" s="111"/>
      <c r="G654" s="112">
        <v>284383.5</v>
      </c>
      <c r="H654" s="113" cm="1">
        <f t="array" ref="H654">G654/I654</f>
        <v>1354.207142857140</v>
      </c>
      <c r="I654" s="114">
        <v>210</v>
      </c>
      <c r="J654" s="163"/>
      <c r="K654" s="111"/>
      <c r="L654" s="164"/>
      <c r="M654" s="165"/>
      <c r="N654" s="165"/>
      <c r="O654" s="165"/>
      <c r="P654" s="165"/>
      <c r="Q654" s="165"/>
      <c r="R654" s="165"/>
      <c r="S654" s="165"/>
      <c r="T654" s="165"/>
      <c r="U654" s="165"/>
      <c r="V654" s="165"/>
      <c r="W654" s="165"/>
      <c r="X654" s="165"/>
      <c r="Y654" s="165"/>
      <c r="Z654" s="165"/>
      <c r="AA654" s="165"/>
      <c r="AB654" s="166"/>
    </row>
    <row r="655" ht="12.75" customHeight="1">
      <c r="A655" s="205">
        <v>44622</v>
      </c>
      <c r="B655" s="121">
        <v>9011</v>
      </c>
      <c r="C655" t="s" s="116">
        <v>198</v>
      </c>
      <c r="D655" t="s" s="79">
        <v>591</v>
      </c>
      <c r="E655" s="100"/>
      <c r="F655" s="101"/>
      <c r="G655" s="102">
        <v>16913.96</v>
      </c>
      <c r="H655" s="103" cm="1">
        <f t="array" ref="H655">G655/I655</f>
        <v>84.5698</v>
      </c>
      <c r="I655" s="104">
        <v>200</v>
      </c>
      <c r="J655" s="105"/>
      <c r="K655" s="101"/>
      <c r="L655" s="209"/>
      <c r="M655" s="210"/>
      <c r="N655" s="210"/>
      <c r="O655" s="210"/>
      <c r="P655" s="210"/>
      <c r="Q655" s="210"/>
      <c r="R655" s="210"/>
      <c r="S655" s="210"/>
      <c r="T655" s="210"/>
      <c r="U655" s="210"/>
      <c r="V655" s="210"/>
      <c r="W655" s="210"/>
      <c r="X655" s="210"/>
      <c r="Y655" s="210"/>
      <c r="Z655" s="210"/>
      <c r="AA655" s="210"/>
      <c r="AB655" s="210"/>
    </row>
    <row r="656" ht="12.75" customHeight="1">
      <c r="A656" s="212">
        <v>44627</v>
      </c>
      <c r="B656" s="107"/>
      <c r="C656" t="s" s="115">
        <v>99</v>
      </c>
      <c r="D656" t="s" s="109">
        <v>773</v>
      </c>
      <c r="E656" s="110"/>
      <c r="F656" s="111"/>
      <c r="G656" s="112">
        <v>6774.72</v>
      </c>
      <c r="H656" s="113" cm="1">
        <f t="array" ref="H656">G656/I656</f>
        <v>33.8736</v>
      </c>
      <c r="I656" s="114">
        <v>200</v>
      </c>
      <c r="J656" s="163"/>
      <c r="K656" s="111"/>
      <c r="L656" s="164"/>
      <c r="M656" s="165"/>
      <c r="N656" s="165"/>
      <c r="O656" s="165"/>
      <c r="P656" s="165"/>
      <c r="Q656" s="165"/>
      <c r="R656" s="165"/>
      <c r="S656" s="165"/>
      <c r="T656" s="165"/>
      <c r="U656" s="165"/>
      <c r="V656" s="165"/>
      <c r="W656" s="165"/>
      <c r="X656" s="165"/>
      <c r="Y656" s="165"/>
      <c r="Z656" s="165"/>
      <c r="AA656" s="165"/>
      <c r="AB656" s="166"/>
    </row>
    <row r="657" ht="12.75" customHeight="1">
      <c r="A657" s="205">
        <v>44630</v>
      </c>
      <c r="B657" s="98"/>
      <c r="C657" t="s" s="116">
        <v>41</v>
      </c>
      <c r="D657" t="s" s="79">
        <v>774</v>
      </c>
      <c r="E657" s="100"/>
      <c r="F657" s="101"/>
      <c r="G657" s="102">
        <v>22020.74</v>
      </c>
      <c r="H657" s="103" cm="1">
        <f t="array" ref="H657">G657/I657</f>
        <v>110.1037</v>
      </c>
      <c r="I657" s="104">
        <v>200</v>
      </c>
      <c r="J657" s="105"/>
      <c r="K657" s="101"/>
      <c r="L657" s="209"/>
      <c r="M657" s="210"/>
      <c r="N657" s="210"/>
      <c r="O657" s="210"/>
      <c r="P657" s="210"/>
      <c r="Q657" s="210"/>
      <c r="R657" s="210"/>
      <c r="S657" s="210"/>
      <c r="T657" s="210"/>
      <c r="U657" s="210"/>
      <c r="V657" s="210"/>
      <c r="W657" s="210"/>
      <c r="X657" s="210"/>
      <c r="Y657" s="210"/>
      <c r="Z657" s="210"/>
      <c r="AA657" s="210"/>
      <c r="AB657" s="210"/>
    </row>
    <row r="658" ht="12.75" customHeight="1">
      <c r="A658" s="212">
        <v>44638</v>
      </c>
      <c r="B658" s="124">
        <v>4759</v>
      </c>
      <c r="C658" t="s" s="115">
        <v>149</v>
      </c>
      <c r="D658" t="s" s="109">
        <v>775</v>
      </c>
      <c r="E658" s="110"/>
      <c r="F658" s="111"/>
      <c r="G658" s="112">
        <v>14000.01</v>
      </c>
      <c r="H658" s="113" cm="1">
        <f t="array" ref="H658">G658/I658</f>
        <v>70.00005</v>
      </c>
      <c r="I658" s="114">
        <v>200</v>
      </c>
      <c r="J658" s="163"/>
      <c r="K658" s="111"/>
      <c r="L658" s="164"/>
      <c r="M658" s="165"/>
      <c r="N658" s="165"/>
      <c r="O658" s="165"/>
      <c r="P658" s="165"/>
      <c r="Q658" s="165"/>
      <c r="R658" s="165"/>
      <c r="S658" s="165"/>
      <c r="T658" s="165"/>
      <c r="U658" s="165"/>
      <c r="V658" s="165"/>
      <c r="W658" s="165"/>
      <c r="X658" s="165"/>
      <c r="Y658" s="165"/>
      <c r="Z658" s="165"/>
      <c r="AA658" s="165"/>
      <c r="AB658" s="166"/>
    </row>
    <row r="659" ht="12.75" customHeight="1">
      <c r="A659" s="205">
        <v>44638</v>
      </c>
      <c r="B659" s="121">
        <v>4764</v>
      </c>
      <c r="C659" t="s" s="116">
        <v>149</v>
      </c>
      <c r="D659" t="s" s="79">
        <v>776</v>
      </c>
      <c r="E659" s="100"/>
      <c r="F659" s="101"/>
      <c r="G659" s="102">
        <v>29000</v>
      </c>
      <c r="H659" s="103" cm="1">
        <f t="array" ref="H659">G659/I659</f>
        <v>145</v>
      </c>
      <c r="I659" s="104">
        <v>200</v>
      </c>
      <c r="J659" s="105"/>
      <c r="K659" s="101"/>
      <c r="L659" s="209"/>
      <c r="M659" s="210"/>
      <c r="N659" s="210"/>
      <c r="O659" s="210"/>
      <c r="P659" s="210"/>
      <c r="Q659" s="210"/>
      <c r="R659" s="210"/>
      <c r="S659" s="210"/>
      <c r="T659" s="210"/>
      <c r="U659" s="210"/>
      <c r="V659" s="210"/>
      <c r="W659" s="210"/>
      <c r="X659" s="210"/>
      <c r="Y659" s="210"/>
      <c r="Z659" s="210"/>
      <c r="AA659" s="210"/>
      <c r="AB659" s="210"/>
    </row>
    <row r="660" ht="12.75" customHeight="1">
      <c r="A660" s="212">
        <v>44643</v>
      </c>
      <c r="B660" s="107"/>
      <c r="C660" t="s" s="115">
        <v>34</v>
      </c>
      <c r="D660" t="s" s="109">
        <v>774</v>
      </c>
      <c r="E660" s="110"/>
      <c r="F660" s="111"/>
      <c r="G660" s="112">
        <v>6014.43</v>
      </c>
      <c r="H660" s="113" cm="1">
        <f t="array" ref="H660">G660/I660</f>
        <v>30.07215</v>
      </c>
      <c r="I660" s="114">
        <v>200</v>
      </c>
      <c r="J660" s="163"/>
      <c r="K660" s="111"/>
      <c r="L660" s="164"/>
      <c r="M660" s="165"/>
      <c r="N660" s="165"/>
      <c r="O660" s="165"/>
      <c r="P660" s="165"/>
      <c r="Q660" s="165"/>
      <c r="R660" s="165"/>
      <c r="S660" s="165"/>
      <c r="T660" s="165"/>
      <c r="U660" s="165"/>
      <c r="V660" s="165"/>
      <c r="W660" s="165"/>
      <c r="X660" s="165"/>
      <c r="Y660" s="165"/>
      <c r="Z660" s="165"/>
      <c r="AA660" s="165"/>
      <c r="AB660" s="166"/>
    </row>
    <row r="661" ht="12.75" customHeight="1">
      <c r="A661" s="205">
        <v>44650</v>
      </c>
      <c r="B661" s="121">
        <v>881</v>
      </c>
      <c r="C661" t="s" s="116">
        <v>571</v>
      </c>
      <c r="D661" t="s" s="79">
        <v>777</v>
      </c>
      <c r="E661" s="100"/>
      <c r="F661" s="101"/>
      <c r="G661" s="102">
        <v>251680</v>
      </c>
      <c r="H661" s="103">
        <v>1258</v>
      </c>
      <c r="I661" s="104" cm="1">
        <f t="array" ref="I661">G661/H661</f>
        <v>200.063593004769</v>
      </c>
      <c r="J661" s="105"/>
      <c r="K661" s="101"/>
      <c r="L661" s="209"/>
      <c r="M661" s="210"/>
      <c r="N661" s="210"/>
      <c r="O661" s="210"/>
      <c r="P661" s="210"/>
      <c r="Q661" s="210"/>
      <c r="R661" s="210"/>
      <c r="S661" s="210"/>
      <c r="T661" s="210"/>
      <c r="U661" s="210"/>
      <c r="V661" s="210"/>
      <c r="W661" s="210"/>
      <c r="X661" s="210"/>
      <c r="Y661" s="210"/>
      <c r="Z661" s="210"/>
      <c r="AA661" s="210"/>
      <c r="AB661" s="210"/>
    </row>
    <row r="662" ht="12.75" customHeight="1">
      <c r="A662" s="212">
        <v>44657</v>
      </c>
      <c r="B662" s="124">
        <v>4142902</v>
      </c>
      <c r="C662" t="s" s="115">
        <v>99</v>
      </c>
      <c r="D662" t="s" s="109">
        <v>778</v>
      </c>
      <c r="E662" s="110"/>
      <c r="F662" s="111"/>
      <c r="G662" s="112">
        <v>9290.799999999999</v>
      </c>
      <c r="H662" s="113" cm="1">
        <f t="array" ref="H662">G662/I662</f>
        <v>46.454</v>
      </c>
      <c r="I662" s="114">
        <v>200</v>
      </c>
      <c r="J662" s="163"/>
      <c r="K662" s="111"/>
      <c r="L662" s="164"/>
      <c r="M662" s="165"/>
      <c r="N662" s="165"/>
      <c r="O662" s="165"/>
      <c r="P662" s="165"/>
      <c r="Q662" s="165"/>
      <c r="R662" s="165"/>
      <c r="S662" s="165"/>
      <c r="T662" s="165"/>
      <c r="U662" s="165"/>
      <c r="V662" s="165"/>
      <c r="W662" s="165"/>
      <c r="X662" s="165"/>
      <c r="Y662" s="165"/>
      <c r="Z662" s="165"/>
      <c r="AA662" s="165"/>
      <c r="AB662" s="166"/>
    </row>
    <row r="663" ht="12.75" customHeight="1">
      <c r="A663" s="205">
        <v>44662</v>
      </c>
      <c r="B663" s="98"/>
      <c r="C663" t="s" s="116">
        <v>41</v>
      </c>
      <c r="D663" t="s" s="79">
        <v>779</v>
      </c>
      <c r="E663" s="100"/>
      <c r="F663" s="101"/>
      <c r="G663" s="102">
        <v>20945.8</v>
      </c>
      <c r="H663" s="103" cm="1">
        <f t="array" ref="H663">G663/I663</f>
        <v>104.729</v>
      </c>
      <c r="I663" s="104">
        <v>200</v>
      </c>
      <c r="J663" s="105"/>
      <c r="K663" s="101"/>
      <c r="L663" s="209"/>
      <c r="M663" s="210"/>
      <c r="N663" s="210"/>
      <c r="O663" s="210"/>
      <c r="P663" s="210"/>
      <c r="Q663" s="210"/>
      <c r="R663" s="210"/>
      <c r="S663" s="210"/>
      <c r="T663" s="210"/>
      <c r="U663" s="210"/>
      <c r="V663" s="210"/>
      <c r="W663" s="210"/>
      <c r="X663" s="210"/>
      <c r="Y663" s="210"/>
      <c r="Z663" s="210"/>
      <c r="AA663" s="210"/>
      <c r="AB663" s="210"/>
    </row>
    <row r="664" ht="12.75" customHeight="1">
      <c r="A664" s="212">
        <v>44673</v>
      </c>
      <c r="B664" s="107"/>
      <c r="C664" t="s" s="115">
        <v>34</v>
      </c>
      <c r="D664" t="s" s="109">
        <v>780</v>
      </c>
      <c r="E664" s="110"/>
      <c r="F664" s="111"/>
      <c r="G664" s="112">
        <v>3778.77</v>
      </c>
      <c r="H664" s="113" cm="1">
        <f t="array" ref="H664">G664/I664</f>
        <v>18.89385</v>
      </c>
      <c r="I664" s="114">
        <v>200</v>
      </c>
      <c r="J664" s="163"/>
      <c r="K664" s="111"/>
      <c r="L664" s="164"/>
      <c r="M664" s="165"/>
      <c r="N664" s="165"/>
      <c r="O664" s="165"/>
      <c r="P664" s="165"/>
      <c r="Q664" s="165"/>
      <c r="R664" s="165"/>
      <c r="S664" s="165"/>
      <c r="T664" s="165"/>
      <c r="U664" s="165"/>
      <c r="V664" s="165"/>
      <c r="W664" s="165"/>
      <c r="X664" s="165"/>
      <c r="Y664" s="165"/>
      <c r="Z664" s="165"/>
      <c r="AA664" s="165"/>
      <c r="AB664" s="166"/>
    </row>
    <row r="665" ht="12.75" customHeight="1">
      <c r="A665" s="205">
        <v>44686</v>
      </c>
      <c r="B665" s="121">
        <v>9502</v>
      </c>
      <c r="C665" t="s" s="116">
        <v>198</v>
      </c>
      <c r="D665" t="s" s="79">
        <v>781</v>
      </c>
      <c r="E665" s="100"/>
      <c r="F665" s="101"/>
      <c r="G665" s="102">
        <v>45037.36</v>
      </c>
      <c r="H665" s="103">
        <v>225</v>
      </c>
      <c r="I665" s="104" cm="1">
        <f t="array" ref="I665">G665/H665</f>
        <v>200.166044444444</v>
      </c>
      <c r="J665" s="105"/>
      <c r="K665" s="101"/>
      <c r="L665" s="209"/>
      <c r="M665" s="210"/>
      <c r="N665" s="210"/>
      <c r="O665" s="210"/>
      <c r="P665" s="210"/>
      <c r="Q665" s="210"/>
      <c r="R665" s="210"/>
      <c r="S665" s="210"/>
      <c r="T665" s="210"/>
      <c r="U665" s="210"/>
      <c r="V665" s="210"/>
      <c r="W665" s="210"/>
      <c r="X665" s="210"/>
      <c r="Y665" s="210"/>
      <c r="Z665" s="210"/>
      <c r="AA665" s="210"/>
      <c r="AB665" s="210"/>
    </row>
    <row r="666" ht="12.75" customHeight="1">
      <c r="A666" s="206">
        <v>44686</v>
      </c>
      <c r="B666" s="124">
        <v>9229</v>
      </c>
      <c r="C666" t="s" s="115">
        <v>198</v>
      </c>
      <c r="D666" t="s" s="109">
        <v>782</v>
      </c>
      <c r="E666" s="110"/>
      <c r="F666" s="111"/>
      <c r="G666" s="112">
        <v>67656.05</v>
      </c>
      <c r="H666" s="113">
        <v>338</v>
      </c>
      <c r="I666" s="114" cm="1">
        <f t="array" ref="I666">G666/H666</f>
        <v>200.165828402367</v>
      </c>
      <c r="J666" s="163"/>
      <c r="K666" s="111"/>
      <c r="L666" s="164"/>
      <c r="M666" s="165"/>
      <c r="N666" s="165"/>
      <c r="O666" s="165"/>
      <c r="P666" s="165"/>
      <c r="Q666" s="165"/>
      <c r="R666" s="165"/>
      <c r="S666" s="165"/>
      <c r="T666" s="165"/>
      <c r="U666" s="165"/>
      <c r="V666" s="165"/>
      <c r="W666" s="165"/>
      <c r="X666" s="165"/>
      <c r="Y666" s="165"/>
      <c r="Z666" s="165"/>
      <c r="AA666" s="165"/>
      <c r="AB666" s="166"/>
    </row>
    <row r="667" ht="12.75" customHeight="1">
      <c r="A667" s="205">
        <v>44690</v>
      </c>
      <c r="B667" s="98"/>
      <c r="C667" t="s" s="116">
        <v>99</v>
      </c>
      <c r="D667" t="s" s="79">
        <v>783</v>
      </c>
      <c r="E667" s="100"/>
      <c r="F667" s="101"/>
      <c r="G667" s="102">
        <v>9298.74</v>
      </c>
      <c r="H667" s="103" cm="1">
        <f t="array" ref="H667">G667/I667</f>
        <v>46.4551820568892</v>
      </c>
      <c r="I667" s="104" cm="1">
        <f t="array" ref="I667">I666</f>
        <v>200.165828402367</v>
      </c>
      <c r="J667" s="105"/>
      <c r="K667" s="101"/>
      <c r="L667" s="209"/>
      <c r="M667" s="210"/>
      <c r="N667" s="210"/>
      <c r="O667" s="210"/>
      <c r="P667" s="210"/>
      <c r="Q667" s="210"/>
      <c r="R667" s="210"/>
      <c r="S667" s="210"/>
      <c r="T667" s="210"/>
      <c r="U667" s="210"/>
      <c r="V667" s="210"/>
      <c r="W667" s="210"/>
      <c r="X667" s="210"/>
      <c r="Y667" s="210"/>
      <c r="Z667" s="210"/>
      <c r="AA667" s="210"/>
      <c r="AB667" s="210"/>
    </row>
    <row r="668" ht="12.75" customHeight="1">
      <c r="A668" s="212">
        <v>44691</v>
      </c>
      <c r="B668" s="107"/>
      <c r="C668" t="s" s="115">
        <v>41</v>
      </c>
      <c r="D668" t="s" s="109">
        <v>784</v>
      </c>
      <c r="E668" s="110"/>
      <c r="F668" s="111"/>
      <c r="G668" s="112">
        <v>20945.8</v>
      </c>
      <c r="H668" s="113" cm="1">
        <f t="array" ref="H668">G668/I668</f>
        <v>104.642236725319</v>
      </c>
      <c r="I668" s="114" cm="1">
        <f t="array" ref="I668">I666</f>
        <v>200.165828402367</v>
      </c>
      <c r="J668" s="163"/>
      <c r="K668" s="111"/>
      <c r="L668" s="164"/>
      <c r="M668" s="165"/>
      <c r="N668" s="165"/>
      <c r="O668" s="165"/>
      <c r="P668" s="165"/>
      <c r="Q668" s="165"/>
      <c r="R668" s="165"/>
      <c r="S668" s="165"/>
      <c r="T668" s="165"/>
      <c r="U668" s="165"/>
      <c r="V668" s="165"/>
      <c r="W668" s="165"/>
      <c r="X668" s="165"/>
      <c r="Y668" s="165"/>
      <c r="Z668" s="165"/>
      <c r="AA668" s="165"/>
      <c r="AB668" s="166"/>
    </row>
    <row r="669" ht="12.75" customHeight="1">
      <c r="A669" s="205">
        <v>44694</v>
      </c>
      <c r="B669" s="98"/>
      <c r="C669" t="s" s="116">
        <v>278</v>
      </c>
      <c r="D669" t="s" s="79">
        <v>785</v>
      </c>
      <c r="E669" s="100"/>
      <c r="F669" s="101"/>
      <c r="G669" s="102">
        <v>2703.42</v>
      </c>
      <c r="H669" s="103">
        <v>9</v>
      </c>
      <c r="I669" s="104" cm="1">
        <f t="array" ref="I669">G669/H669</f>
        <v>300.38</v>
      </c>
      <c r="J669" s="105"/>
      <c r="K669" s="101"/>
      <c r="L669" s="209"/>
      <c r="M669" s="210"/>
      <c r="N669" s="210"/>
      <c r="O669" s="210"/>
      <c r="P669" s="210"/>
      <c r="Q669" s="210"/>
      <c r="R669" s="210"/>
      <c r="S669" s="210"/>
      <c r="T669" s="210"/>
      <c r="U669" s="210"/>
      <c r="V669" s="210"/>
      <c r="W669" s="210"/>
      <c r="X669" s="210"/>
      <c r="Y669" s="210"/>
      <c r="Z669" s="210"/>
      <c r="AA669" s="210"/>
      <c r="AB669" s="210"/>
    </row>
    <row r="670" ht="12.75" customHeight="1">
      <c r="A670" s="212">
        <v>44704</v>
      </c>
      <c r="B670" s="107"/>
      <c r="C670" t="s" s="115">
        <v>34</v>
      </c>
      <c r="D670" t="s" s="109">
        <v>784</v>
      </c>
      <c r="E670" s="110"/>
      <c r="F670" s="111"/>
      <c r="G670" s="112">
        <v>5357.27</v>
      </c>
      <c r="H670" s="113" cm="1">
        <f t="array" ref="H670">G670/I670</f>
        <v>26.7641587116008</v>
      </c>
      <c r="I670" s="114" cm="1">
        <f t="array" ref="I670">I666</f>
        <v>200.165828402367</v>
      </c>
      <c r="J670" s="163"/>
      <c r="K670" s="111"/>
      <c r="L670" s="164"/>
      <c r="M670" s="165"/>
      <c r="N670" s="165"/>
      <c r="O670" s="165"/>
      <c r="P670" s="165"/>
      <c r="Q670" s="165"/>
      <c r="R670" s="165"/>
      <c r="S670" s="165"/>
      <c r="T670" s="165"/>
      <c r="U670" s="165"/>
      <c r="V670" s="165"/>
      <c r="W670" s="165"/>
      <c r="X670" s="165"/>
      <c r="Y670" s="165"/>
      <c r="Z670" s="165"/>
      <c r="AA670" s="165"/>
      <c r="AB670" s="166"/>
    </row>
    <row r="671" ht="12.75" customHeight="1">
      <c r="A671" s="205">
        <v>44718</v>
      </c>
      <c r="B671" s="98"/>
      <c r="C671" t="s" s="116">
        <v>99</v>
      </c>
      <c r="D671" t="s" s="79">
        <v>786</v>
      </c>
      <c r="E671" s="100"/>
      <c r="F671" s="101"/>
      <c r="G671" s="102">
        <v>5001.2</v>
      </c>
      <c r="H671" s="103" cm="1">
        <f t="array" ref="H671">G671/I671</f>
        <v>24.9852836516468</v>
      </c>
      <c r="I671" s="104" cm="1">
        <f t="array" ref="I671">I666</f>
        <v>200.165828402367</v>
      </c>
      <c r="J671" s="105"/>
      <c r="K671" s="101"/>
      <c r="L671" s="209"/>
      <c r="M671" s="210"/>
      <c r="N671" s="210"/>
      <c r="O671" s="210"/>
      <c r="P671" s="210"/>
      <c r="Q671" s="210"/>
      <c r="R671" s="210"/>
      <c r="S671" s="210"/>
      <c r="T671" s="210"/>
      <c r="U671" s="210"/>
      <c r="V671" s="210"/>
      <c r="W671" s="210"/>
      <c r="X671" s="210"/>
      <c r="Y671" s="210"/>
      <c r="Z671" s="210"/>
      <c r="AA671" s="210"/>
      <c r="AB671" s="210"/>
    </row>
    <row r="672" ht="12.75" customHeight="1">
      <c r="A672" s="212">
        <v>44720</v>
      </c>
      <c r="B672" s="124">
        <v>9742</v>
      </c>
      <c r="C672" t="s" s="115">
        <v>198</v>
      </c>
      <c r="D672" t="s" s="109">
        <v>787</v>
      </c>
      <c r="E672" s="110"/>
      <c r="F672" s="111"/>
      <c r="G672" s="112">
        <v>39557.08</v>
      </c>
      <c r="H672" s="113">
        <v>181</v>
      </c>
      <c r="I672" s="114" cm="1">
        <f t="array" ref="I672">G672/H672</f>
        <v>218.547403314917</v>
      </c>
      <c r="J672" s="163"/>
      <c r="K672" s="111"/>
      <c r="L672" s="164"/>
      <c r="M672" s="165"/>
      <c r="N672" s="165"/>
      <c r="O672" s="165"/>
      <c r="P672" s="165"/>
      <c r="Q672" s="165"/>
      <c r="R672" s="165"/>
      <c r="S672" s="165"/>
      <c r="T672" s="165"/>
      <c r="U672" s="165"/>
      <c r="V672" s="165"/>
      <c r="W672" s="165"/>
      <c r="X672" s="165"/>
      <c r="Y672" s="165"/>
      <c r="Z672" s="165"/>
      <c r="AA672" s="165"/>
      <c r="AB672" s="166"/>
    </row>
    <row r="673" ht="12.75" customHeight="1">
      <c r="A673" s="205">
        <v>44722</v>
      </c>
      <c r="B673" s="98"/>
      <c r="C673" t="s" s="116">
        <v>41</v>
      </c>
      <c r="D673" t="s" s="79">
        <v>788</v>
      </c>
      <c r="E673" s="100"/>
      <c r="F673" s="101"/>
      <c r="G673" s="102">
        <v>20945.8</v>
      </c>
      <c r="H673" s="103" cm="1">
        <f t="array" ref="H673">G673/I673</f>
        <v>95.84099230782461</v>
      </c>
      <c r="I673" s="104" cm="1">
        <f t="array" ref="I673">I672</f>
        <v>218.547403314917</v>
      </c>
      <c r="J673" s="105"/>
      <c r="K673" s="101"/>
      <c r="L673" s="209"/>
      <c r="M673" s="210"/>
      <c r="N673" s="210"/>
      <c r="O673" s="210"/>
      <c r="P673" s="210"/>
      <c r="Q673" s="210"/>
      <c r="R673" s="210"/>
      <c r="S673" s="210"/>
      <c r="T673" s="210"/>
      <c r="U673" s="210"/>
      <c r="V673" s="210"/>
      <c r="W673" s="210"/>
      <c r="X673" s="210"/>
      <c r="Y673" s="210"/>
      <c r="Z673" s="210"/>
      <c r="AA673" s="210"/>
      <c r="AB673" s="210"/>
    </row>
    <row r="674" ht="12.75" customHeight="1">
      <c r="A674" s="212">
        <v>44725</v>
      </c>
      <c r="B674" s="107"/>
      <c r="C674" t="s" s="115">
        <v>41</v>
      </c>
      <c r="D674" t="s" s="109">
        <v>788</v>
      </c>
      <c r="E674" s="110"/>
      <c r="F674" s="111"/>
      <c r="G674" s="112">
        <v>20945.8</v>
      </c>
      <c r="H674" s="113" cm="1">
        <f t="array" ref="H674">G674/I674</f>
        <v>104.729</v>
      </c>
      <c r="I674" s="114">
        <v>200</v>
      </c>
      <c r="J674" s="163"/>
      <c r="K674" s="111"/>
      <c r="L674" s="164"/>
      <c r="M674" s="165"/>
      <c r="N674" s="165"/>
      <c r="O674" s="165"/>
      <c r="P674" s="165"/>
      <c r="Q674" s="165"/>
      <c r="R674" s="165"/>
      <c r="S674" s="165"/>
      <c r="T674" s="165"/>
      <c r="U674" s="165"/>
      <c r="V674" s="165"/>
      <c r="W674" s="165"/>
      <c r="X674" s="165"/>
      <c r="Y674" s="165"/>
      <c r="Z674" s="165"/>
      <c r="AA674" s="165"/>
      <c r="AB674" s="166"/>
    </row>
    <row r="675" ht="12.75" customHeight="1">
      <c r="A675" s="205">
        <v>44733</v>
      </c>
      <c r="B675" s="98"/>
      <c r="C675" t="s" s="116">
        <v>198</v>
      </c>
      <c r="D675" t="s" s="79">
        <v>789</v>
      </c>
      <c r="E675" s="100"/>
      <c r="F675" s="101"/>
      <c r="G675" s="102">
        <v>39557.08</v>
      </c>
      <c r="H675" s="103">
        <v>181</v>
      </c>
      <c r="I675" s="104" cm="1">
        <f t="array" ref="I675">G675/H675</f>
        <v>218.547403314917</v>
      </c>
      <c r="J675" s="105"/>
      <c r="K675" s="101"/>
      <c r="L675" s="209"/>
      <c r="M675" s="210"/>
      <c r="N675" s="210"/>
      <c r="O675" s="210"/>
      <c r="P675" s="210"/>
      <c r="Q675" s="210"/>
      <c r="R675" s="210"/>
      <c r="S675" s="210"/>
      <c r="T675" s="210"/>
      <c r="U675" s="210"/>
      <c r="V675" s="210"/>
      <c r="W675" s="210"/>
      <c r="X675" s="210"/>
      <c r="Y675" s="210"/>
      <c r="Z675" s="210"/>
      <c r="AA675" s="210"/>
      <c r="AB675" s="210"/>
    </row>
    <row r="676" ht="12.75" customHeight="1">
      <c r="A676" s="212">
        <v>44735</v>
      </c>
      <c r="B676" s="107"/>
      <c r="C676" t="s" s="115">
        <v>34</v>
      </c>
      <c r="D676" t="s" s="109">
        <v>788</v>
      </c>
      <c r="E676" s="110"/>
      <c r="F676" s="111"/>
      <c r="G676" s="112">
        <v>4597.76</v>
      </c>
      <c r="H676" s="113" cm="1">
        <f t="array" ref="H676">G676/I676</f>
        <v>21.0378157336184</v>
      </c>
      <c r="I676" s="114" cm="1">
        <f t="array" ref="I676">I675</f>
        <v>218.547403314917</v>
      </c>
      <c r="J676" s="163"/>
      <c r="K676" s="111"/>
      <c r="L676" s="164"/>
      <c r="M676" s="165"/>
      <c r="N676" s="165"/>
      <c r="O676" s="165"/>
      <c r="P676" s="165"/>
      <c r="Q676" s="165"/>
      <c r="R676" s="165"/>
      <c r="S676" s="165"/>
      <c r="T676" s="165"/>
      <c r="U676" s="165"/>
      <c r="V676" s="165"/>
      <c r="W676" s="165"/>
      <c r="X676" s="165"/>
      <c r="Y676" s="165"/>
      <c r="Z676" s="165"/>
      <c r="AA676" s="165"/>
      <c r="AB676" s="166"/>
    </row>
    <row r="677" ht="12.75" customHeight="1">
      <c r="A677" s="205">
        <v>44742</v>
      </c>
      <c r="B677" s="121">
        <v>9907</v>
      </c>
      <c r="C677" t="s" s="116">
        <v>198</v>
      </c>
      <c r="D677" t="s" s="79">
        <v>790</v>
      </c>
      <c r="E677" s="100"/>
      <c r="F677" s="101"/>
      <c r="G677" s="102">
        <v>2766.93</v>
      </c>
      <c r="H677" s="103">
        <v>12</v>
      </c>
      <c r="I677" s="104" cm="1">
        <f t="array" ref="I677">G677/H677</f>
        <v>230.5775</v>
      </c>
      <c r="J677" s="105"/>
      <c r="K677" s="101"/>
      <c r="L677" s="209"/>
      <c r="M677" s="210"/>
      <c r="N677" s="210"/>
      <c r="O677" s="210"/>
      <c r="P677" s="210"/>
      <c r="Q677" s="210"/>
      <c r="R677" s="210"/>
      <c r="S677" s="210"/>
      <c r="T677" s="210"/>
      <c r="U677" s="210"/>
      <c r="V677" s="210"/>
      <c r="W677" s="210"/>
      <c r="X677" s="210"/>
      <c r="Y677" s="210"/>
      <c r="Z677" s="210"/>
      <c r="AA677" s="210"/>
      <c r="AB677" s="210"/>
    </row>
    <row r="678" ht="12.75" customHeight="1">
      <c r="A678" s="212">
        <v>44748</v>
      </c>
      <c r="B678" s="107"/>
      <c r="C678" t="s" s="115">
        <v>99</v>
      </c>
      <c r="D678" t="s" s="109">
        <v>791</v>
      </c>
      <c r="E678" s="110"/>
      <c r="F678" s="111"/>
      <c r="G678" s="112">
        <v>5012.51</v>
      </c>
      <c r="H678" s="113" cm="1">
        <f t="array" ref="H678">G678/I678</f>
        <v>22.7841363636364</v>
      </c>
      <c r="I678" s="114">
        <v>220</v>
      </c>
      <c r="J678" s="163"/>
      <c r="K678" s="111"/>
      <c r="L678" s="164"/>
      <c r="M678" s="165"/>
      <c r="N678" s="165"/>
      <c r="O678" s="165"/>
      <c r="P678" s="165"/>
      <c r="Q678" s="165"/>
      <c r="R678" s="165"/>
      <c r="S678" s="165"/>
      <c r="T678" s="165"/>
      <c r="U678" s="165"/>
      <c r="V678" s="165"/>
      <c r="W678" s="165"/>
      <c r="X678" s="165"/>
      <c r="Y678" s="165"/>
      <c r="Z678" s="165"/>
      <c r="AA678" s="165"/>
      <c r="AB678" s="166"/>
    </row>
    <row r="679" ht="12.75" customHeight="1">
      <c r="A679" s="205">
        <v>44756</v>
      </c>
      <c r="B679" s="98"/>
      <c r="C679" t="s" s="116">
        <v>299</v>
      </c>
      <c r="D679" t="s" s="79">
        <v>792</v>
      </c>
      <c r="E679" s="100"/>
      <c r="F679" s="101"/>
      <c r="G679" s="102">
        <v>783310</v>
      </c>
      <c r="H679" s="103" cm="1">
        <f t="array" ref="H679">G679/I679</f>
        <v>3560.5</v>
      </c>
      <c r="I679" s="104" cm="1">
        <f t="array" ref="I679">I678</f>
        <v>220</v>
      </c>
      <c r="J679" s="105"/>
      <c r="K679" s="101"/>
      <c r="L679" s="209"/>
      <c r="M679" s="210"/>
      <c r="N679" s="210"/>
      <c r="O679" s="210"/>
      <c r="P679" s="210"/>
      <c r="Q679" s="210"/>
      <c r="R679" s="210"/>
      <c r="S679" s="210"/>
      <c r="T679" s="210"/>
      <c r="U679" s="210"/>
      <c r="V679" s="210"/>
      <c r="W679" s="210"/>
      <c r="X679" s="210"/>
      <c r="Y679" s="210"/>
      <c r="Z679" s="210"/>
      <c r="AA679" s="210"/>
      <c r="AB679" s="210"/>
    </row>
    <row r="680" ht="12.75" customHeight="1">
      <c r="A680" s="212">
        <v>44760</v>
      </c>
      <c r="B680" s="107"/>
      <c r="C680" t="s" s="115">
        <v>41</v>
      </c>
      <c r="D680" t="s" s="109">
        <v>793</v>
      </c>
      <c r="E680" s="110"/>
      <c r="F680" s="111"/>
      <c r="G680" s="112">
        <v>21413.75</v>
      </c>
      <c r="H680" s="113" cm="1">
        <f t="array" ref="H680">G680/I680</f>
        <v>97.33522727272729</v>
      </c>
      <c r="I680" s="114" cm="1">
        <f t="array" ref="I680">I678</f>
        <v>220</v>
      </c>
      <c r="J680" s="163"/>
      <c r="K680" s="111"/>
      <c r="L680" s="164"/>
      <c r="M680" s="165"/>
      <c r="N680" s="165"/>
      <c r="O680" s="165"/>
      <c r="P680" s="165"/>
      <c r="Q680" s="165"/>
      <c r="R680" s="165"/>
      <c r="S680" s="165"/>
      <c r="T680" s="165"/>
      <c r="U680" s="165"/>
      <c r="V680" s="165"/>
      <c r="W680" s="165"/>
      <c r="X680" s="165"/>
      <c r="Y680" s="165"/>
      <c r="Z680" s="165"/>
      <c r="AA680" s="165"/>
      <c r="AB680" s="166"/>
    </row>
    <row r="681" ht="12.75" customHeight="1">
      <c r="A681" s="205">
        <v>44763</v>
      </c>
      <c r="B681" s="121">
        <v>10081</v>
      </c>
      <c r="C681" t="s" s="116">
        <v>198</v>
      </c>
      <c r="D681" t="s" s="79">
        <v>794</v>
      </c>
      <c r="E681" s="100"/>
      <c r="F681" s="101"/>
      <c r="G681" s="102">
        <v>35825.07</v>
      </c>
      <c r="H681" s="103">
        <v>120</v>
      </c>
      <c r="I681" s="104" cm="1">
        <f t="array" ref="I681">G681/H681</f>
        <v>298.54225</v>
      </c>
      <c r="J681" s="105"/>
      <c r="K681" s="101"/>
      <c r="L681" s="209"/>
      <c r="M681" s="210"/>
      <c r="N681" s="210"/>
      <c r="O681" s="210"/>
      <c r="P681" s="210"/>
      <c r="Q681" s="210"/>
      <c r="R681" s="210"/>
      <c r="S681" s="210"/>
      <c r="T681" s="210"/>
      <c r="U681" s="210"/>
      <c r="V681" s="210"/>
      <c r="W681" s="210"/>
      <c r="X681" s="210"/>
      <c r="Y681" s="210"/>
      <c r="Z681" s="210"/>
      <c r="AA681" s="210"/>
      <c r="AB681" s="210"/>
    </row>
    <row r="682" ht="12.75" customHeight="1">
      <c r="A682" s="212">
        <v>44764</v>
      </c>
      <c r="B682" s="107"/>
      <c r="C682" t="s" s="115">
        <v>34</v>
      </c>
      <c r="D682" t="s" s="109">
        <v>793</v>
      </c>
      <c r="E682" s="110"/>
      <c r="F682" s="111"/>
      <c r="G682" s="112">
        <v>5048.08</v>
      </c>
      <c r="H682" s="113" cm="1">
        <f t="array" ref="H682">G682/I682</f>
        <v>22.9458181818182</v>
      </c>
      <c r="I682" s="114" cm="1">
        <f t="array" ref="I682">I680</f>
        <v>220</v>
      </c>
      <c r="J682" s="163"/>
      <c r="K682" s="111"/>
      <c r="L682" s="164"/>
      <c r="M682" s="165"/>
      <c r="N682" s="165"/>
      <c r="O682" s="165"/>
      <c r="P682" s="165"/>
      <c r="Q682" s="165"/>
      <c r="R682" s="165"/>
      <c r="S682" s="165"/>
      <c r="T682" s="165"/>
      <c r="U682" s="165"/>
      <c r="V682" s="165"/>
      <c r="W682" s="165"/>
      <c r="X682" s="165"/>
      <c r="Y682" s="165"/>
      <c r="Z682" s="165"/>
      <c r="AA682" s="165"/>
      <c r="AB682" s="166"/>
    </row>
    <row r="683" ht="12.75" customHeight="1">
      <c r="A683" s="205">
        <v>44781</v>
      </c>
      <c r="B683" s="98"/>
      <c r="C683" t="s" s="116">
        <v>99</v>
      </c>
      <c r="D683" t="s" s="79">
        <v>795</v>
      </c>
      <c r="E683" s="100"/>
      <c r="F683" s="101"/>
      <c r="G683" s="102">
        <v>5687.51</v>
      </c>
      <c r="H683" s="103" cm="1">
        <f t="array" ref="H683">G683/I683</f>
        <v>25.8523181818182</v>
      </c>
      <c r="I683" s="104">
        <v>220</v>
      </c>
      <c r="J683" s="105"/>
      <c r="K683" s="101"/>
      <c r="L683" s="209"/>
      <c r="M683" s="210"/>
      <c r="N683" s="210"/>
      <c r="O683" s="210"/>
      <c r="P683" s="210"/>
      <c r="Q683" s="210"/>
      <c r="R683" s="210"/>
      <c r="S683" s="210"/>
      <c r="T683" s="210"/>
      <c r="U683" s="210"/>
      <c r="V683" s="210"/>
      <c r="W683" s="210"/>
      <c r="X683" s="210"/>
      <c r="Y683" s="210"/>
      <c r="Z683" s="210"/>
      <c r="AA683" s="210"/>
      <c r="AB683" s="210"/>
    </row>
    <row r="684" ht="12.75" customHeight="1">
      <c r="A684" s="212">
        <v>44783</v>
      </c>
      <c r="B684" s="107"/>
      <c r="C684" t="s" s="115">
        <v>41</v>
      </c>
      <c r="D684" t="s" s="109">
        <v>796</v>
      </c>
      <c r="E684" s="110"/>
      <c r="F684" s="111"/>
      <c r="G684" s="112">
        <v>21413.75</v>
      </c>
      <c r="H684" s="113" cm="1">
        <f t="array" ref="H684">G684/I684</f>
        <v>97.33522727272729</v>
      </c>
      <c r="I684" s="114" cm="1">
        <f t="array" ref="I684">I683</f>
        <v>220</v>
      </c>
      <c r="J684" s="163"/>
      <c r="K684" s="111"/>
      <c r="L684" s="164"/>
      <c r="M684" s="165"/>
      <c r="N684" s="165"/>
      <c r="O684" s="165"/>
      <c r="P684" s="165"/>
      <c r="Q684" s="165"/>
      <c r="R684" s="165"/>
      <c r="S684" s="165"/>
      <c r="T684" s="165"/>
      <c r="U684" s="165"/>
      <c r="V684" s="165"/>
      <c r="W684" s="165"/>
      <c r="X684" s="165"/>
      <c r="Y684" s="165"/>
      <c r="Z684" s="165"/>
      <c r="AA684" s="165"/>
      <c r="AB684" s="166"/>
    </row>
    <row r="685" ht="12.75" customHeight="1">
      <c r="A685" s="205">
        <v>44796</v>
      </c>
      <c r="B685" s="98"/>
      <c r="C685" t="s" s="116">
        <v>34</v>
      </c>
      <c r="D685" t="s" s="79">
        <v>797</v>
      </c>
      <c r="E685" s="100"/>
      <c r="F685" s="101"/>
      <c r="G685" s="102">
        <v>4824.77</v>
      </c>
      <c r="H685" s="103" cm="1">
        <f t="array" ref="H685">G685/I685</f>
        <v>16.6371379310345</v>
      </c>
      <c r="I685" s="104">
        <v>290</v>
      </c>
      <c r="J685" s="105"/>
      <c r="K685" s="101"/>
      <c r="L685" s="209"/>
      <c r="M685" s="210"/>
      <c r="N685" s="210"/>
      <c r="O685" s="210"/>
      <c r="P685" s="210"/>
      <c r="Q685" s="210"/>
      <c r="R685" s="210"/>
      <c r="S685" s="210"/>
      <c r="T685" s="210"/>
      <c r="U685" s="210"/>
      <c r="V685" s="210"/>
      <c r="W685" s="210"/>
      <c r="X685" s="210"/>
      <c r="Y685" s="210"/>
      <c r="Z685" s="210"/>
      <c r="AA685" s="210"/>
      <c r="AB685" s="210"/>
    </row>
    <row r="686" ht="12.75" customHeight="1">
      <c r="A686" s="212">
        <v>44797</v>
      </c>
      <c r="B686" s="107"/>
      <c r="C686" t="s" s="115">
        <v>108</v>
      </c>
      <c r="D686" t="s" s="109">
        <v>798</v>
      </c>
      <c r="E686" s="110"/>
      <c r="F686" s="111"/>
      <c r="G686" s="112">
        <v>46324.95</v>
      </c>
      <c r="H686" s="113" cm="1">
        <f t="array" ref="H686">G686/I686</f>
        <v>159.741206896552</v>
      </c>
      <c r="I686" s="114">
        <v>290</v>
      </c>
      <c r="J686" s="163"/>
      <c r="K686" s="111"/>
      <c r="L686" s="164"/>
      <c r="M686" s="165"/>
      <c r="N686" s="165"/>
      <c r="O686" s="165"/>
      <c r="P686" s="165"/>
      <c r="Q686" s="165"/>
      <c r="R686" s="165"/>
      <c r="S686" s="165"/>
      <c r="T686" s="165"/>
      <c r="U686" s="165"/>
      <c r="V686" s="165"/>
      <c r="W686" s="165"/>
      <c r="X686" s="165"/>
      <c r="Y686" s="165"/>
      <c r="Z686" s="165"/>
      <c r="AA686" s="165"/>
      <c r="AB686" s="166"/>
    </row>
    <row r="687" ht="12.75" customHeight="1">
      <c r="A687" s="205">
        <v>44798</v>
      </c>
      <c r="B687" s="121">
        <v>1993</v>
      </c>
      <c r="C687" t="s" s="116">
        <v>67</v>
      </c>
      <c r="D687" t="s" s="79">
        <v>799</v>
      </c>
      <c r="E687" s="100"/>
      <c r="F687" s="101"/>
      <c r="G687" s="102">
        <v>26494.12</v>
      </c>
      <c r="H687" s="103">
        <v>91</v>
      </c>
      <c r="I687" s="104" cm="1">
        <f t="array" ref="I687">G687/H687</f>
        <v>291.144175824176</v>
      </c>
      <c r="J687" s="105"/>
      <c r="K687" s="101"/>
      <c r="L687" s="209"/>
      <c r="M687" s="210"/>
      <c r="N687" s="210"/>
      <c r="O687" s="210"/>
      <c r="P687" s="210"/>
      <c r="Q687" s="210"/>
      <c r="R687" s="210"/>
      <c r="S687" s="210"/>
      <c r="T687" s="210"/>
      <c r="U687" s="210"/>
      <c r="V687" s="210"/>
      <c r="W687" s="210"/>
      <c r="X687" s="210"/>
      <c r="Y687" s="210"/>
      <c r="Z687" s="210"/>
      <c r="AA687" s="210"/>
      <c r="AB687" s="210"/>
    </row>
    <row r="688" ht="12.75" customHeight="1">
      <c r="A688" s="212">
        <v>44811</v>
      </c>
      <c r="B688" s="107"/>
      <c r="C688" t="s" s="115">
        <v>99</v>
      </c>
      <c r="D688" t="s" s="109">
        <v>800</v>
      </c>
      <c r="E688" s="110"/>
      <c r="F688" s="111"/>
      <c r="G688" s="112">
        <v>5687.51</v>
      </c>
      <c r="H688" s="113" cm="1">
        <f t="array" ref="H688">G688/I688</f>
        <v>19.6121034482759</v>
      </c>
      <c r="I688" s="114">
        <v>290</v>
      </c>
      <c r="J688" s="163"/>
      <c r="K688" s="111"/>
      <c r="L688" s="164"/>
      <c r="M688" s="165"/>
      <c r="N688" s="165"/>
      <c r="O688" s="165"/>
      <c r="P688" s="165"/>
      <c r="Q688" s="165"/>
      <c r="R688" s="165"/>
      <c r="S688" s="165"/>
      <c r="T688" s="165"/>
      <c r="U688" s="165"/>
      <c r="V688" s="165"/>
      <c r="W688" s="165"/>
      <c r="X688" s="165"/>
      <c r="Y688" s="165"/>
      <c r="Z688" s="165"/>
      <c r="AA688" s="165"/>
      <c r="AB688" s="166"/>
    </row>
    <row r="689" ht="12.75" customHeight="1">
      <c r="A689" s="205">
        <v>44811</v>
      </c>
      <c r="B689" s="121">
        <v>605</v>
      </c>
      <c r="C689" t="s" s="116">
        <v>299</v>
      </c>
      <c r="D689" t="s" s="79">
        <v>801</v>
      </c>
      <c r="E689" s="100"/>
      <c r="F689" s="101"/>
      <c r="G689" s="102">
        <v>159527.37</v>
      </c>
      <c r="H689" s="103">
        <v>550</v>
      </c>
      <c r="I689" s="104" cm="1">
        <f t="array" ref="I689">G689/H689</f>
        <v>290.049763636364</v>
      </c>
      <c r="J689" s="105"/>
      <c r="K689" s="101"/>
      <c r="L689" s="209"/>
      <c r="M689" s="210"/>
      <c r="N689" s="210"/>
      <c r="O689" s="210"/>
      <c r="P689" s="210"/>
      <c r="Q689" s="210"/>
      <c r="R689" s="210"/>
      <c r="S689" s="210"/>
      <c r="T689" s="210"/>
      <c r="U689" s="210"/>
      <c r="V689" s="210"/>
      <c r="W689" s="210"/>
      <c r="X689" s="210"/>
      <c r="Y689" s="210"/>
      <c r="Z689" s="210"/>
      <c r="AA689" s="210"/>
      <c r="AB689" s="210"/>
    </row>
    <row r="690" ht="12.75" customHeight="1">
      <c r="A690" s="212">
        <v>44814</v>
      </c>
      <c r="B690" s="107"/>
      <c r="C690" t="s" s="115">
        <v>278</v>
      </c>
      <c r="D690" t="s" s="109">
        <v>522</v>
      </c>
      <c r="E690" s="110"/>
      <c r="F690" s="111"/>
      <c r="G690" s="112">
        <v>10672.08</v>
      </c>
      <c r="H690" s="113">
        <v>37</v>
      </c>
      <c r="I690" s="114" cm="1">
        <f t="array" ref="I690">G690/H690</f>
        <v>288.434594594595</v>
      </c>
      <c r="J690" s="163"/>
      <c r="K690" s="111"/>
      <c r="L690" s="164"/>
      <c r="M690" s="165"/>
      <c r="N690" s="165"/>
      <c r="O690" s="165"/>
      <c r="P690" s="165"/>
      <c r="Q690" s="165"/>
      <c r="R690" s="165"/>
      <c r="S690" s="165"/>
      <c r="T690" s="165"/>
      <c r="U690" s="165"/>
      <c r="V690" s="165"/>
      <c r="W690" s="165"/>
      <c r="X690" s="165"/>
      <c r="Y690" s="165"/>
      <c r="Z690" s="165"/>
      <c r="AA690" s="165"/>
      <c r="AB690" s="166"/>
    </row>
    <row r="691" ht="12.75" customHeight="1">
      <c r="A691" s="205">
        <v>44816</v>
      </c>
      <c r="B691" s="98"/>
      <c r="C691" t="s" s="116">
        <v>41</v>
      </c>
      <c r="D691" t="s" s="79">
        <v>802</v>
      </c>
      <c r="E691" s="100"/>
      <c r="F691" s="101"/>
      <c r="G691" s="102">
        <v>21413.75</v>
      </c>
      <c r="H691" s="103" cm="1">
        <f t="array" ref="H691">G691/I691</f>
        <v>73.8405172413793</v>
      </c>
      <c r="I691" s="104">
        <v>290</v>
      </c>
      <c r="J691" s="105"/>
      <c r="K691" s="101"/>
      <c r="L691" s="209"/>
      <c r="M691" s="210"/>
      <c r="N691" s="210"/>
      <c r="O691" s="210"/>
      <c r="P691" s="210"/>
      <c r="Q691" s="210"/>
      <c r="R691" s="210"/>
      <c r="S691" s="210"/>
      <c r="T691" s="210"/>
      <c r="U691" s="210"/>
      <c r="V691" s="210"/>
      <c r="W691" s="210"/>
      <c r="X691" s="210"/>
      <c r="Y691" s="210"/>
      <c r="Z691" s="210"/>
      <c r="AA691" s="210"/>
      <c r="AB691" s="210"/>
    </row>
    <row r="692" ht="12.75" customHeight="1">
      <c r="A692" s="212">
        <v>44817</v>
      </c>
      <c r="B692" s="124">
        <v>10478</v>
      </c>
      <c r="C692" t="s" s="115">
        <v>198</v>
      </c>
      <c r="D692" t="s" s="109">
        <v>803</v>
      </c>
      <c r="E692" s="110"/>
      <c r="F692" s="111"/>
      <c r="G692" s="112">
        <v>33171.47</v>
      </c>
      <c r="H692" s="113">
        <v>114</v>
      </c>
      <c r="I692" s="114" cm="1">
        <f t="array" ref="I692">G692/H692</f>
        <v>290.977807017544</v>
      </c>
      <c r="J692" s="163"/>
      <c r="K692" s="111"/>
      <c r="L692" s="164"/>
      <c r="M692" s="165"/>
      <c r="N692" s="165"/>
      <c r="O692" s="165"/>
      <c r="P692" s="165"/>
      <c r="Q692" s="165"/>
      <c r="R692" s="165"/>
      <c r="S692" s="165"/>
      <c r="T692" s="165"/>
      <c r="U692" s="165"/>
      <c r="V692" s="165"/>
      <c r="W692" s="165"/>
      <c r="X692" s="165"/>
      <c r="Y692" s="165"/>
      <c r="Z692" s="165"/>
      <c r="AA692" s="165"/>
      <c r="AB692" s="166"/>
    </row>
    <row r="693" ht="12.75" customHeight="1">
      <c r="A693" s="205">
        <v>44827</v>
      </c>
      <c r="B693" s="98"/>
      <c r="C693" t="s" s="116">
        <v>34</v>
      </c>
      <c r="D693" t="s" s="79">
        <v>804</v>
      </c>
      <c r="E693" s="100"/>
      <c r="F693" s="101"/>
      <c r="G693" s="102">
        <v>5444.98</v>
      </c>
      <c r="H693" s="103" cm="1">
        <f t="array" ref="H693">G693/I693</f>
        <v>18.7757931034483</v>
      </c>
      <c r="I693" s="104">
        <v>290</v>
      </c>
      <c r="J693" s="105"/>
      <c r="K693" s="101"/>
      <c r="L693" s="209"/>
      <c r="M693" s="210"/>
      <c r="N693" s="210"/>
      <c r="O693" s="210"/>
      <c r="P693" s="210"/>
      <c r="Q693" s="210"/>
      <c r="R693" s="210"/>
      <c r="S693" s="210"/>
      <c r="T693" s="210"/>
      <c r="U693" s="210"/>
      <c r="V693" s="210"/>
      <c r="W693" s="210"/>
      <c r="X693" s="210"/>
      <c r="Y693" s="210"/>
      <c r="Z693" s="210"/>
      <c r="AA693" s="210"/>
      <c r="AB693" s="210"/>
    </row>
    <row r="694" ht="12.75" customHeight="1">
      <c r="A694" s="212">
        <v>44839</v>
      </c>
      <c r="B694" s="107"/>
      <c r="C694" t="s" s="115">
        <v>99</v>
      </c>
      <c r="D694" t="s" s="109">
        <v>805</v>
      </c>
      <c r="E694" s="110"/>
      <c r="F694" s="111"/>
      <c r="G694" s="112">
        <v>5427.59</v>
      </c>
      <c r="H694" s="113" cm="1">
        <f t="array" ref="H694">G694/I694</f>
        <v>18.7158275862069</v>
      </c>
      <c r="I694" s="114">
        <v>290</v>
      </c>
      <c r="J694" s="163"/>
      <c r="K694" s="111"/>
      <c r="L694" s="164"/>
      <c r="M694" s="165"/>
      <c r="N694" s="165"/>
      <c r="O694" s="165"/>
      <c r="P694" s="165"/>
      <c r="Q694" s="165"/>
      <c r="R694" s="165"/>
      <c r="S694" s="165"/>
      <c r="T694" s="165"/>
      <c r="U694" s="165"/>
      <c r="V694" s="165"/>
      <c r="W694" s="165"/>
      <c r="X694" s="165"/>
      <c r="Y694" s="165"/>
      <c r="Z694" s="165"/>
      <c r="AA694" s="165"/>
      <c r="AB694" s="166"/>
    </row>
    <row r="695" ht="12.75" customHeight="1">
      <c r="A695" s="205">
        <v>44845</v>
      </c>
      <c r="B695" s="98"/>
      <c r="C695" t="s" s="116">
        <v>41</v>
      </c>
      <c r="D695" t="s" s="79">
        <v>806</v>
      </c>
      <c r="E695" s="100"/>
      <c r="F695" s="101"/>
      <c r="G695" s="102">
        <v>21413.75</v>
      </c>
      <c r="H695" s="103" cm="1">
        <f t="array" ref="H695">G695/I695</f>
        <v>73.8405172413793</v>
      </c>
      <c r="I695" s="104">
        <v>290</v>
      </c>
      <c r="J695" s="105"/>
      <c r="K695" s="101"/>
      <c r="L695" s="209"/>
      <c r="M695" s="210"/>
      <c r="N695" s="210"/>
      <c r="O695" s="210"/>
      <c r="P695" s="210"/>
      <c r="Q695" s="210"/>
      <c r="R695" s="210"/>
      <c r="S695" s="210"/>
      <c r="T695" s="210"/>
      <c r="U695" s="210"/>
      <c r="V695" s="210"/>
      <c r="W695" s="210"/>
      <c r="X695" s="210"/>
      <c r="Y695" s="210"/>
      <c r="Z695" s="210"/>
      <c r="AA695" s="210"/>
      <c r="AB695" s="210"/>
    </row>
    <row r="696" ht="12.75" customHeight="1">
      <c r="A696" s="212">
        <v>44846</v>
      </c>
      <c r="B696" s="108"/>
      <c r="C696" t="s" s="145">
        <v>807</v>
      </c>
      <c r="D696" t="s" s="109">
        <v>808</v>
      </c>
      <c r="E696" s="114"/>
      <c r="F696" s="213"/>
      <c r="G696" s="112">
        <v>30600000</v>
      </c>
      <c r="H696" s="113">
        <v>106250</v>
      </c>
      <c r="I696" s="114" cm="1">
        <f t="array" ref="I696">G696/H696</f>
        <v>288</v>
      </c>
      <c r="J696" s="163"/>
      <c r="K696" s="111"/>
      <c r="L696" s="164"/>
      <c r="M696" s="165"/>
      <c r="N696" s="165"/>
      <c r="O696" s="165"/>
      <c r="P696" s="165"/>
      <c r="Q696" s="165"/>
      <c r="R696" s="165"/>
      <c r="S696" s="165"/>
      <c r="T696" s="165"/>
      <c r="U696" s="165"/>
      <c r="V696" s="165"/>
      <c r="W696" s="165"/>
      <c r="X696" s="165"/>
      <c r="Y696" s="165"/>
      <c r="Z696" s="165"/>
      <c r="AA696" s="165"/>
      <c r="AB696" s="166"/>
    </row>
    <row r="697" ht="12.75" customHeight="1">
      <c r="A697" s="205">
        <v>44846</v>
      </c>
      <c r="B697" s="121">
        <v>10737</v>
      </c>
      <c r="C697" t="s" s="116">
        <v>198</v>
      </c>
      <c r="D697" t="s" s="79">
        <v>809</v>
      </c>
      <c r="E697" s="100"/>
      <c r="F697" s="101"/>
      <c r="G697" s="102">
        <v>2690</v>
      </c>
      <c r="H697" s="103">
        <v>9</v>
      </c>
      <c r="I697" s="104" cm="1">
        <f t="array" ref="I697">G697/H697</f>
        <v>298.888888888889</v>
      </c>
      <c r="J697" s="105"/>
      <c r="K697" s="101"/>
      <c r="L697" s="209"/>
      <c r="M697" s="210"/>
      <c r="N697" s="210"/>
      <c r="O697" s="210"/>
      <c r="P697" s="210"/>
      <c r="Q697" s="210"/>
      <c r="R697" s="210"/>
      <c r="S697" s="210"/>
      <c r="T697" s="210"/>
      <c r="U697" s="210"/>
      <c r="V697" s="210"/>
      <c r="W697" s="210"/>
      <c r="X697" s="210"/>
      <c r="Y697" s="210"/>
      <c r="Z697" s="210"/>
      <c r="AA697" s="210"/>
      <c r="AB697" s="210"/>
    </row>
    <row r="698" ht="12.75" customHeight="1">
      <c r="A698" s="212">
        <v>44851</v>
      </c>
      <c r="B698" s="124">
        <v>611</v>
      </c>
      <c r="C698" t="s" s="115">
        <v>299</v>
      </c>
      <c r="D698" t="s" s="109">
        <v>810</v>
      </c>
      <c r="E698" s="110"/>
      <c r="F698" s="111"/>
      <c r="G698" s="112">
        <v>654280.3199999999</v>
      </c>
      <c r="H698" s="113">
        <v>2256</v>
      </c>
      <c r="I698" s="114" cm="1">
        <f t="array" ref="I698">G698/H698</f>
        <v>290.017872340426</v>
      </c>
      <c r="J698" s="163"/>
      <c r="K698" s="111"/>
      <c r="L698" s="164"/>
      <c r="M698" s="165"/>
      <c r="N698" s="165"/>
      <c r="O698" s="165"/>
      <c r="P698" s="165"/>
      <c r="Q698" s="165"/>
      <c r="R698" s="165"/>
      <c r="S698" s="165"/>
      <c r="T698" s="165"/>
      <c r="U698" s="165"/>
      <c r="V698" s="165"/>
      <c r="W698" s="165"/>
      <c r="X698" s="165"/>
      <c r="Y698" s="165"/>
      <c r="Z698" s="165"/>
      <c r="AA698" s="165"/>
      <c r="AB698" s="166"/>
    </row>
    <row r="699" ht="12.75" customHeight="1">
      <c r="A699" s="205">
        <v>44858</v>
      </c>
      <c r="B699" s="98"/>
      <c r="C699" t="s" s="116">
        <v>34</v>
      </c>
      <c r="D699" t="s" s="79">
        <v>811</v>
      </c>
      <c r="E699" s="100"/>
      <c r="F699" s="101"/>
      <c r="G699" s="102">
        <v>5364.73</v>
      </c>
      <c r="H699" s="103" cm="1">
        <f t="array" ref="H699">G699/I699</f>
        <v>18.4990689655172</v>
      </c>
      <c r="I699" s="104">
        <v>290</v>
      </c>
      <c r="J699" s="105"/>
      <c r="K699" s="101"/>
      <c r="L699" s="209"/>
      <c r="M699" s="210"/>
      <c r="N699" s="210"/>
      <c r="O699" s="210"/>
      <c r="P699" s="210"/>
      <c r="Q699" s="210"/>
      <c r="R699" s="210"/>
      <c r="S699" s="210"/>
      <c r="T699" s="210"/>
      <c r="U699" s="210"/>
      <c r="V699" s="210"/>
      <c r="W699" s="210"/>
      <c r="X699" s="210"/>
      <c r="Y699" s="210"/>
      <c r="Z699" s="210"/>
      <c r="AA699" s="210"/>
      <c r="AB699" s="210"/>
    </row>
    <row r="700" ht="12.75" customHeight="1">
      <c r="A700" s="212">
        <v>44869</v>
      </c>
      <c r="B700" s="107"/>
      <c r="C700" t="s" s="115">
        <v>99</v>
      </c>
      <c r="D700" t="s" s="109">
        <v>812</v>
      </c>
      <c r="E700" s="110"/>
      <c r="F700" s="111"/>
      <c r="G700" s="112">
        <v>5428.89</v>
      </c>
      <c r="H700" s="113" cm="1">
        <f t="array" ref="H700">G700/I700</f>
        <v>18.7203103448276</v>
      </c>
      <c r="I700" s="114">
        <v>290</v>
      </c>
      <c r="J700" s="163"/>
      <c r="K700" s="111"/>
      <c r="L700" s="164"/>
      <c r="M700" s="165"/>
      <c r="N700" s="165"/>
      <c r="O700" s="165"/>
      <c r="P700" s="165"/>
      <c r="Q700" s="165"/>
      <c r="R700" s="165"/>
      <c r="S700" s="165"/>
      <c r="T700" s="165"/>
      <c r="U700" s="165"/>
      <c r="V700" s="165"/>
      <c r="W700" s="165"/>
      <c r="X700" s="165"/>
      <c r="Y700" s="165"/>
      <c r="Z700" s="165"/>
      <c r="AA700" s="165"/>
      <c r="AB700" s="166"/>
    </row>
    <row r="701" ht="12.75" customHeight="1">
      <c r="A701" s="205">
        <v>45240</v>
      </c>
      <c r="B701" s="98"/>
      <c r="C701" t="s" s="78">
        <v>41</v>
      </c>
      <c r="D701" t="s" s="79">
        <v>813</v>
      </c>
      <c r="E701" s="100"/>
      <c r="F701" s="101"/>
      <c r="G701" s="102">
        <v>21413.75</v>
      </c>
      <c r="H701" s="103" cm="1">
        <f t="array" ref="H701">G701/I701</f>
        <v>73.8405172413793</v>
      </c>
      <c r="I701" s="104" cm="1">
        <f t="array" ref="I701">I700</f>
        <v>290</v>
      </c>
      <c r="J701" s="105"/>
      <c r="K701" s="101"/>
      <c r="L701" s="209"/>
      <c r="M701" s="210"/>
      <c r="N701" s="210"/>
      <c r="O701" s="210"/>
      <c r="P701" s="210"/>
      <c r="Q701" s="210"/>
      <c r="R701" s="210"/>
      <c r="S701" s="210"/>
      <c r="T701" s="210"/>
      <c r="U701" s="210"/>
      <c r="V701" s="210"/>
      <c r="W701" s="210"/>
      <c r="X701" s="210"/>
      <c r="Y701" s="210"/>
      <c r="Z701" s="210"/>
      <c r="AA701" s="210"/>
      <c r="AB701" s="210"/>
    </row>
    <row r="702" ht="12.75" customHeight="1">
      <c r="A702" s="212">
        <v>45253</v>
      </c>
      <c r="B702" s="107"/>
      <c r="C702" t="s" s="145">
        <v>34</v>
      </c>
      <c r="D702" t="s" s="109">
        <v>814</v>
      </c>
      <c r="E702" s="110"/>
      <c r="F702" s="111"/>
      <c r="G702" s="112">
        <v>4981.74</v>
      </c>
      <c r="H702" s="113" cm="1">
        <f t="array" ref="H702">G702/I702</f>
        <v>17.1784137931034</v>
      </c>
      <c r="I702" s="114" cm="1">
        <f t="array" ref="I702">I700</f>
        <v>290</v>
      </c>
      <c r="J702" s="163"/>
      <c r="K702" s="111"/>
      <c r="L702" s="164"/>
      <c r="M702" s="165"/>
      <c r="N702" s="165"/>
      <c r="O702" s="165"/>
      <c r="P702" s="165"/>
      <c r="Q702" s="165"/>
      <c r="R702" s="165"/>
      <c r="S702" s="165"/>
      <c r="T702" s="165"/>
      <c r="U702" s="165"/>
      <c r="V702" s="165"/>
      <c r="W702" s="165"/>
      <c r="X702" s="165"/>
      <c r="Y702" s="165"/>
      <c r="Z702" s="165"/>
      <c r="AA702" s="165"/>
      <c r="AB702" s="166"/>
    </row>
    <row r="703" ht="12.75" customHeight="1">
      <c r="A703" s="205">
        <v>44893</v>
      </c>
      <c r="B703" s="121">
        <v>62</v>
      </c>
      <c r="C703" t="s" s="78">
        <v>807</v>
      </c>
      <c r="D703" t="s" s="79">
        <v>815</v>
      </c>
      <c r="E703" s="100"/>
      <c r="F703" s="101"/>
      <c r="G703" s="102">
        <v>2100000</v>
      </c>
      <c r="H703" s="103">
        <v>7000</v>
      </c>
      <c r="I703" s="104" cm="1">
        <f t="array" ref="I703">G703/H703</f>
        <v>300</v>
      </c>
      <c r="J703" s="105"/>
      <c r="K703" s="101"/>
      <c r="L703" s="209"/>
      <c r="M703" s="210"/>
      <c r="N703" s="210"/>
      <c r="O703" s="210"/>
      <c r="P703" s="210"/>
      <c r="Q703" s="210"/>
      <c r="R703" s="210"/>
      <c r="S703" s="210"/>
      <c r="T703" s="210"/>
      <c r="U703" s="210"/>
      <c r="V703" s="210"/>
      <c r="W703" s="210"/>
      <c r="X703" s="210"/>
      <c r="Y703" s="210"/>
      <c r="Z703" s="210"/>
      <c r="AA703" s="210"/>
      <c r="AB703" s="210"/>
    </row>
    <row r="704" ht="12.75" customHeight="1">
      <c r="A704" s="212">
        <v>45258</v>
      </c>
      <c r="B704" s="124">
        <v>63309</v>
      </c>
      <c r="C704" t="s" s="115">
        <v>276</v>
      </c>
      <c r="D704" t="s" s="109">
        <v>816</v>
      </c>
      <c r="E704" s="110"/>
      <c r="F704" s="111"/>
      <c r="G704" s="112">
        <v>41561.82</v>
      </c>
      <c r="H704" s="113" cm="1">
        <f t="array" ref="H704">G704/I704</f>
        <v>138.5394</v>
      </c>
      <c r="I704" s="114" cm="1">
        <f t="array" ref="I704">I703</f>
        <v>300</v>
      </c>
      <c r="J704" s="163"/>
      <c r="K704" s="111"/>
      <c r="L704" s="164"/>
      <c r="M704" s="165"/>
      <c r="N704" s="165"/>
      <c r="O704" s="165"/>
      <c r="P704" s="165"/>
      <c r="Q704" s="165"/>
      <c r="R704" s="165"/>
      <c r="S704" s="165"/>
      <c r="T704" s="165"/>
      <c r="U704" s="165"/>
      <c r="V704" s="165"/>
      <c r="W704" s="165"/>
      <c r="X704" s="165"/>
      <c r="Y704" s="165"/>
      <c r="Z704" s="165"/>
      <c r="AA704" s="165"/>
      <c r="AB704" s="166"/>
    </row>
    <row r="705" ht="12.75" customHeight="1">
      <c r="A705" s="205">
        <v>44895</v>
      </c>
      <c r="B705" s="121">
        <v>471</v>
      </c>
      <c r="C705" t="s" s="116">
        <v>417</v>
      </c>
      <c r="D705" t="s" s="79">
        <v>817</v>
      </c>
      <c r="E705" s="100"/>
      <c r="F705" s="101"/>
      <c r="G705" s="102">
        <v>348013.1</v>
      </c>
      <c r="H705" s="103">
        <v>1105</v>
      </c>
      <c r="I705" s="104" cm="1">
        <f t="array" ref="I705">G705/H705</f>
        <v>314.943981900452</v>
      </c>
      <c r="J705" s="105"/>
      <c r="K705" s="101"/>
      <c r="L705" s="209"/>
      <c r="M705" s="210"/>
      <c r="N705" s="210"/>
      <c r="O705" s="210"/>
      <c r="P705" s="210"/>
      <c r="Q705" s="210"/>
      <c r="R705" s="210"/>
      <c r="S705" s="210"/>
      <c r="T705" s="210"/>
      <c r="U705" s="210"/>
      <c r="V705" s="210"/>
      <c r="W705" s="210"/>
      <c r="X705" s="210"/>
      <c r="Y705" s="210"/>
      <c r="Z705" s="210"/>
      <c r="AA705" s="210"/>
      <c r="AB705" s="210"/>
    </row>
    <row r="706" ht="12.75" customHeight="1">
      <c r="A706" s="212">
        <v>44897</v>
      </c>
      <c r="B706" s="107"/>
      <c r="C706" t="s" s="115">
        <v>99</v>
      </c>
      <c r="D706" t="s" s="109">
        <v>818</v>
      </c>
      <c r="E706" s="110"/>
      <c r="F706" s="111"/>
      <c r="G706" s="112">
        <v>5970.87</v>
      </c>
      <c r="H706" s="113" cm="1">
        <f t="array" ref="H706">G706/I706</f>
        <v>18.9585143490288</v>
      </c>
      <c r="I706" s="114" cm="1">
        <f t="array" ref="I706">I705</f>
        <v>314.943981900452</v>
      </c>
      <c r="J706" s="163"/>
      <c r="K706" s="111"/>
      <c r="L706" s="164"/>
      <c r="M706" s="165"/>
      <c r="N706" s="165"/>
      <c r="O706" s="165"/>
      <c r="P706" s="165"/>
      <c r="Q706" s="165"/>
      <c r="R706" s="165"/>
      <c r="S706" s="165"/>
      <c r="T706" s="165"/>
      <c r="U706" s="165"/>
      <c r="V706" s="165"/>
      <c r="W706" s="165"/>
      <c r="X706" s="165"/>
      <c r="Y706" s="165"/>
      <c r="Z706" s="165"/>
      <c r="AA706" s="165"/>
      <c r="AB706" s="166"/>
    </row>
    <row r="707" ht="12.75" customHeight="1">
      <c r="A707" s="205">
        <v>44907</v>
      </c>
      <c r="B707" s="98"/>
      <c r="C707" t="s" s="116">
        <v>41</v>
      </c>
      <c r="D707" t="s" s="79">
        <v>819</v>
      </c>
      <c r="E707" s="100"/>
      <c r="F707" s="101"/>
      <c r="G707" s="102">
        <v>21414.77</v>
      </c>
      <c r="H707" s="103" cm="1">
        <f t="array" ref="H707">G707/I707</f>
        <v>67.99548881924279</v>
      </c>
      <c r="I707" s="104" cm="1">
        <f t="array" ref="I707">I705</f>
        <v>314.943981900452</v>
      </c>
      <c r="J707" s="105"/>
      <c r="K707" s="101"/>
      <c r="L707" s="209"/>
      <c r="M707" s="210"/>
      <c r="N707" s="210"/>
      <c r="O707" s="210"/>
      <c r="P707" s="210"/>
      <c r="Q707" s="210"/>
      <c r="R707" s="210"/>
      <c r="S707" s="210"/>
      <c r="T707" s="210"/>
      <c r="U707" s="210"/>
      <c r="V707" s="210"/>
      <c r="W707" s="210"/>
      <c r="X707" s="210"/>
      <c r="Y707" s="210"/>
      <c r="Z707" s="210"/>
      <c r="AA707" s="210"/>
      <c r="AB707" s="210"/>
    </row>
    <row r="708" ht="12.75" customHeight="1">
      <c r="A708" s="212">
        <v>44912</v>
      </c>
      <c r="B708" s="124">
        <v>63911</v>
      </c>
      <c r="C708" t="s" s="115">
        <v>276</v>
      </c>
      <c r="D708" t="s" s="109">
        <v>816</v>
      </c>
      <c r="E708" s="110"/>
      <c r="F708" s="111"/>
      <c r="G708" s="112">
        <v>175314.67</v>
      </c>
      <c r="H708" s="113" cm="1">
        <f t="array" ref="H708">G708/I708</f>
        <v>556.653500543515</v>
      </c>
      <c r="I708" s="114" cm="1">
        <f t="array" ref="I708">I705</f>
        <v>314.943981900452</v>
      </c>
      <c r="J708" s="163"/>
      <c r="K708" s="111"/>
      <c r="L708" s="164"/>
      <c r="M708" s="165"/>
      <c r="N708" s="165"/>
      <c r="O708" s="165"/>
      <c r="P708" s="165"/>
      <c r="Q708" s="165"/>
      <c r="R708" s="165"/>
      <c r="S708" s="165"/>
      <c r="T708" s="165"/>
      <c r="U708" s="165"/>
      <c r="V708" s="165"/>
      <c r="W708" s="165"/>
      <c r="X708" s="165"/>
      <c r="Y708" s="165"/>
      <c r="Z708" s="165"/>
      <c r="AA708" s="165"/>
      <c r="AB708" s="166"/>
    </row>
    <row r="709" ht="12.75" customHeight="1">
      <c r="A709" s="205">
        <v>45283</v>
      </c>
      <c r="B709" s="98"/>
      <c r="C709" t="s" s="116">
        <v>34</v>
      </c>
      <c r="D709" t="s" s="79">
        <v>820</v>
      </c>
      <c r="E709" s="100"/>
      <c r="F709" s="101"/>
      <c r="G709" s="102">
        <v>5370.57</v>
      </c>
      <c r="H709" s="103" cm="1">
        <f t="array" ref="H709">G709/I709</f>
        <v>17.0524610998839</v>
      </c>
      <c r="I709" s="104" cm="1">
        <f t="array" ref="I709">I708</f>
        <v>314.943981900452</v>
      </c>
      <c r="J709" s="105"/>
      <c r="K709" s="101"/>
      <c r="L709" s="209"/>
      <c r="M709" s="210"/>
      <c r="N709" s="210"/>
      <c r="O709" s="210"/>
      <c r="P709" s="210"/>
      <c r="Q709" s="210"/>
      <c r="R709" s="210"/>
      <c r="S709" s="210"/>
      <c r="T709" s="210"/>
      <c r="U709" s="210"/>
      <c r="V709" s="210"/>
      <c r="W709" s="210"/>
      <c r="X709" s="210"/>
      <c r="Y709" s="210"/>
      <c r="Z709" s="210"/>
      <c r="AA709" s="210"/>
      <c r="AB709" s="210"/>
    </row>
    <row r="710" ht="12.75" customHeight="1">
      <c r="A710" s="212">
        <v>44928</v>
      </c>
      <c r="B710" s="107"/>
      <c r="C710" t="s" s="115">
        <v>99</v>
      </c>
      <c r="D710" t="s" s="109">
        <v>821</v>
      </c>
      <c r="E710" s="110"/>
      <c r="F710" s="111"/>
      <c r="G710" s="112">
        <v>5972.16</v>
      </c>
      <c r="H710" s="113" cm="1">
        <f t="array" ref="H710">G710/I710</f>
        <v>18.9592380952381</v>
      </c>
      <c r="I710" s="114">
        <v>315</v>
      </c>
      <c r="J710" s="163"/>
      <c r="K710" s="111"/>
      <c r="L710" s="164"/>
      <c r="M710" s="165"/>
      <c r="N710" s="165"/>
      <c r="O710" s="165"/>
      <c r="P710" s="165"/>
      <c r="Q710" s="165"/>
      <c r="R710" s="165"/>
      <c r="S710" s="165"/>
      <c r="T710" s="165"/>
      <c r="U710" s="165"/>
      <c r="V710" s="165"/>
      <c r="W710" s="165"/>
      <c r="X710" s="165"/>
      <c r="Y710" s="165"/>
      <c r="Z710" s="165"/>
      <c r="AA710" s="165"/>
      <c r="AB710" s="166"/>
    </row>
    <row r="711" ht="12.75" customHeight="1">
      <c r="A711" s="205">
        <v>44930</v>
      </c>
      <c r="B711" s="121">
        <v>5334</v>
      </c>
      <c r="C711" t="s" s="116">
        <v>149</v>
      </c>
      <c r="D711" t="s" s="79">
        <v>822</v>
      </c>
      <c r="E711" s="100"/>
      <c r="F711" s="101"/>
      <c r="G711" s="102">
        <v>34450</v>
      </c>
      <c r="H711" s="103" cm="1">
        <f t="array" ref="H711">G711/I711</f>
        <v>98.4285714285714</v>
      </c>
      <c r="I711" s="104">
        <v>350</v>
      </c>
      <c r="J711" s="105"/>
      <c r="K711" s="101"/>
      <c r="L711" s="209"/>
      <c r="M711" s="210"/>
      <c r="N711" s="210"/>
      <c r="O711" s="210"/>
      <c r="P711" s="210"/>
      <c r="Q711" s="210"/>
      <c r="R711" s="210"/>
      <c r="S711" s="210"/>
      <c r="T711" s="210"/>
      <c r="U711" s="210"/>
      <c r="V711" s="210"/>
      <c r="W711" s="210"/>
      <c r="X711" s="210"/>
      <c r="Y711" s="210"/>
      <c r="Z711" s="210"/>
      <c r="AA711" s="210"/>
      <c r="AB711" s="210"/>
    </row>
    <row r="712" ht="12.75" customHeight="1">
      <c r="A712" s="212">
        <v>44945</v>
      </c>
      <c r="B712" s="107"/>
      <c r="C712" t="s" s="115">
        <v>41</v>
      </c>
      <c r="D712" t="s" s="109">
        <v>823</v>
      </c>
      <c r="E712" s="110"/>
      <c r="F712" s="111"/>
      <c r="G712" s="112">
        <v>36641.15</v>
      </c>
      <c r="H712" s="113" cm="1">
        <f t="array" ref="H712">G712/I712</f>
        <v>99.0301351351351</v>
      </c>
      <c r="I712" s="114">
        <v>370</v>
      </c>
      <c r="J712" s="163"/>
      <c r="K712" s="111"/>
      <c r="L712" s="164"/>
      <c r="M712" s="165"/>
      <c r="N712" s="165"/>
      <c r="O712" s="165"/>
      <c r="P712" s="165"/>
      <c r="Q712" s="165"/>
      <c r="R712" s="165"/>
      <c r="S712" s="165"/>
      <c r="T712" s="165"/>
      <c r="U712" s="165"/>
      <c r="V712" s="165"/>
      <c r="W712" s="165"/>
      <c r="X712" s="165"/>
      <c r="Y712" s="165"/>
      <c r="Z712" s="165"/>
      <c r="AA712" s="165"/>
      <c r="AB712" s="166"/>
    </row>
    <row r="713" ht="12.75" customHeight="1">
      <c r="A713" s="205">
        <v>44950</v>
      </c>
      <c r="B713" s="98"/>
      <c r="C713" t="s" s="116">
        <v>34</v>
      </c>
      <c r="D713" t="s" s="79">
        <v>824</v>
      </c>
      <c r="E713" s="100"/>
      <c r="F713" s="101"/>
      <c r="G713" s="102">
        <v>7327.61</v>
      </c>
      <c r="H713" s="103" cm="1">
        <f t="array" ref="H713">G713/I713</f>
        <v>19.2831842105263</v>
      </c>
      <c r="I713" s="104">
        <v>380</v>
      </c>
      <c r="J713" s="105"/>
      <c r="K713" s="101"/>
      <c r="L713" s="209"/>
      <c r="M713" s="210"/>
      <c r="N713" s="210"/>
      <c r="O713" s="210"/>
      <c r="P713" s="210"/>
      <c r="Q713" s="210"/>
      <c r="R713" s="210"/>
      <c r="S713" s="210"/>
      <c r="T713" s="210"/>
      <c r="U713" s="210"/>
      <c r="V713" s="210"/>
      <c r="W713" s="210"/>
      <c r="X713" s="210"/>
      <c r="Y713" s="210"/>
      <c r="Z713" s="210"/>
      <c r="AA713" s="210"/>
      <c r="AB713" s="210"/>
    </row>
    <row r="714" ht="12.75" customHeight="1">
      <c r="A714" s="212">
        <v>44953</v>
      </c>
      <c r="B714" s="124">
        <v>11697</v>
      </c>
      <c r="C714" t="s" s="115">
        <v>198</v>
      </c>
      <c r="D714" t="s" s="109">
        <v>825</v>
      </c>
      <c r="E714" s="110"/>
      <c r="F714" s="111"/>
      <c r="G714" s="112">
        <v>32843.47</v>
      </c>
      <c r="H714" s="113">
        <v>86</v>
      </c>
      <c r="I714" s="114" cm="1">
        <f t="array" ref="I714">G714/H714</f>
        <v>381.900813953488</v>
      </c>
      <c r="J714" s="163"/>
      <c r="K714" s="111"/>
      <c r="L714" s="164"/>
      <c r="M714" s="165"/>
      <c r="N714" s="165"/>
      <c r="O714" s="165"/>
      <c r="P714" s="165"/>
      <c r="Q714" s="165"/>
      <c r="R714" s="165"/>
      <c r="S714" s="165"/>
      <c r="T714" s="165"/>
      <c r="U714" s="165"/>
      <c r="V714" s="165"/>
      <c r="W714" s="165"/>
      <c r="X714" s="165"/>
      <c r="Y714" s="165"/>
      <c r="Z714" s="165"/>
      <c r="AA714" s="165"/>
      <c r="AB714" s="166"/>
    </row>
    <row r="715" ht="12.75" customHeight="1">
      <c r="A715" s="205">
        <v>44953</v>
      </c>
      <c r="B715" s="121">
        <v>455</v>
      </c>
      <c r="C715" t="s" s="116">
        <v>276</v>
      </c>
      <c r="D715" t="s" s="79">
        <v>826</v>
      </c>
      <c r="E715" s="100"/>
      <c r="F715" s="101"/>
      <c r="G715" s="102">
        <v>3593.38</v>
      </c>
      <c r="H715" s="103" cm="1">
        <f t="array" ref="H715">G715/I715</f>
        <v>9.409197018463651</v>
      </c>
      <c r="I715" s="104" cm="1">
        <f t="array" ref="I715">I714</f>
        <v>381.900813953488</v>
      </c>
      <c r="J715" s="105"/>
      <c r="K715" s="101"/>
      <c r="L715" s="209"/>
      <c r="M715" s="210"/>
      <c r="N715" s="210"/>
      <c r="O715" s="210"/>
      <c r="P715" s="210"/>
      <c r="Q715" s="210"/>
      <c r="R715" s="210"/>
      <c r="S715" s="210"/>
      <c r="T715" s="210"/>
      <c r="U715" s="210"/>
      <c r="V715" s="210"/>
      <c r="W715" s="210"/>
      <c r="X715" s="210"/>
      <c r="Y715" s="210"/>
      <c r="Z715" s="210"/>
      <c r="AA715" s="210"/>
      <c r="AB715" s="210"/>
    </row>
    <row r="716" ht="12.75" customHeight="1">
      <c r="A716" s="206">
        <v>44959</v>
      </c>
      <c r="B716" s="107"/>
      <c r="C716" t="s" s="115">
        <v>99</v>
      </c>
      <c r="D716" t="s" s="109">
        <v>827</v>
      </c>
      <c r="E716" s="110"/>
      <c r="F716" s="111"/>
      <c r="G716" s="112">
        <v>13473.73</v>
      </c>
      <c r="H716" s="113" cm="1">
        <f t="array" ref="H716">G716/I716</f>
        <v>35.4571842105263</v>
      </c>
      <c r="I716" s="114">
        <v>380</v>
      </c>
      <c r="J716" s="163"/>
      <c r="K716" s="111"/>
      <c r="L716" s="164"/>
      <c r="M716" s="165"/>
      <c r="N716" s="165"/>
      <c r="O716" s="165"/>
      <c r="P716" s="165"/>
      <c r="Q716" s="165"/>
      <c r="R716" s="165"/>
      <c r="S716" s="165"/>
      <c r="T716" s="165"/>
      <c r="U716" s="165"/>
      <c r="V716" s="165"/>
      <c r="W716" s="165"/>
      <c r="X716" s="165"/>
      <c r="Y716" s="165"/>
      <c r="Z716" s="165"/>
      <c r="AA716" s="165"/>
      <c r="AB716" s="166"/>
    </row>
    <row r="717" ht="12.75" customHeight="1">
      <c r="A717" s="205">
        <v>44972</v>
      </c>
      <c r="B717" s="121">
        <v>11851</v>
      </c>
      <c r="C717" t="s" s="116">
        <v>198</v>
      </c>
      <c r="D717" t="s" s="79">
        <v>645</v>
      </c>
      <c r="E717" s="100"/>
      <c r="F717" s="101"/>
      <c r="G717" s="102">
        <v>4045.54</v>
      </c>
      <c r="H717" s="103" cm="1">
        <f t="array" ref="H717">G717/I717</f>
        <v>10.6461578947368</v>
      </c>
      <c r="I717" s="104" cm="1">
        <f t="array" ref="I717">I716</f>
        <v>380</v>
      </c>
      <c r="J717" s="105"/>
      <c r="K717" s="101"/>
      <c r="L717" s="209"/>
      <c r="M717" s="210"/>
      <c r="N717" s="210"/>
      <c r="O717" s="210"/>
      <c r="P717" s="210"/>
      <c r="Q717" s="210"/>
      <c r="R717" s="210"/>
      <c r="S717" s="210"/>
      <c r="T717" s="210"/>
      <c r="U717" s="210"/>
      <c r="V717" s="210"/>
      <c r="W717" s="210"/>
      <c r="X717" s="210"/>
      <c r="Y717" s="210"/>
      <c r="Z717" s="210"/>
      <c r="AA717" s="210"/>
      <c r="AB717" s="210"/>
    </row>
    <row r="718" ht="12.75" customHeight="1">
      <c r="A718" s="212">
        <v>44974</v>
      </c>
      <c r="B718" s="124">
        <v>5389</v>
      </c>
      <c r="C718" t="s" s="115">
        <v>149</v>
      </c>
      <c r="D718" t="s" s="109">
        <v>828</v>
      </c>
      <c r="E718" s="110"/>
      <c r="F718" s="111"/>
      <c r="G718" s="112">
        <v>31450</v>
      </c>
      <c r="H718" s="113" cm="1">
        <f t="array" ref="H718">G718/I718</f>
        <v>82.76315789473681</v>
      </c>
      <c r="I718" s="114" cm="1">
        <f t="array" ref="I718">I717</f>
        <v>380</v>
      </c>
      <c r="J718" s="163"/>
      <c r="K718" s="111"/>
      <c r="L718" s="164"/>
      <c r="M718" s="165"/>
      <c r="N718" s="165"/>
      <c r="O718" s="165"/>
      <c r="P718" s="165"/>
      <c r="Q718" s="165"/>
      <c r="R718" s="165"/>
      <c r="S718" s="165"/>
      <c r="T718" s="165"/>
      <c r="U718" s="165"/>
      <c r="V718" s="165"/>
      <c r="W718" s="165"/>
      <c r="X718" s="165"/>
      <c r="Y718" s="165"/>
      <c r="Z718" s="165"/>
      <c r="AA718" s="165"/>
      <c r="AB718" s="166"/>
    </row>
    <row r="719" ht="12.75" customHeight="1">
      <c r="A719" s="205">
        <v>44979</v>
      </c>
      <c r="B719" s="98"/>
      <c r="C719" t="s" s="116">
        <v>32</v>
      </c>
      <c r="D719" t="s" s="79">
        <v>829</v>
      </c>
      <c r="E719" s="100"/>
      <c r="F719" s="101"/>
      <c r="G719" s="102">
        <v>497670.5</v>
      </c>
      <c r="H719" s="103" cm="1">
        <f t="array" ref="H719">G719/I719</f>
        <v>1309.659210526320</v>
      </c>
      <c r="I719" s="104" cm="1">
        <f t="array" ref="I719">I718</f>
        <v>380</v>
      </c>
      <c r="J719" s="105"/>
      <c r="K719" s="101"/>
      <c r="L719" s="209"/>
      <c r="M719" s="210"/>
      <c r="N719" s="210"/>
      <c r="O719" s="210"/>
      <c r="P719" s="210"/>
      <c r="Q719" s="210"/>
      <c r="R719" s="210"/>
      <c r="S719" s="210"/>
      <c r="T719" s="210"/>
      <c r="U719" s="210"/>
      <c r="V719" s="210"/>
      <c r="W719" s="210"/>
      <c r="X719" s="210"/>
      <c r="Y719" s="210"/>
      <c r="Z719" s="210"/>
      <c r="AA719" s="210"/>
      <c r="AB719" s="210"/>
    </row>
    <row r="720" ht="12.75" customHeight="1">
      <c r="A720" s="212">
        <v>44981</v>
      </c>
      <c r="B720" s="107"/>
      <c r="C720" t="s" s="115">
        <v>34</v>
      </c>
      <c r="D720" t="s" s="109">
        <v>830</v>
      </c>
      <c r="E720" s="110"/>
      <c r="F720" s="111"/>
      <c r="G720" s="112">
        <v>7327.61</v>
      </c>
      <c r="H720" s="113" cm="1">
        <f t="array" ref="H720">G720/I720</f>
        <v>19.2831842105263</v>
      </c>
      <c r="I720" s="114">
        <v>380</v>
      </c>
      <c r="J720" s="163"/>
      <c r="K720" s="111"/>
      <c r="L720" s="164"/>
      <c r="M720" s="165"/>
      <c r="N720" s="165"/>
      <c r="O720" s="165"/>
      <c r="P720" s="165"/>
      <c r="Q720" s="165"/>
      <c r="R720" s="165"/>
      <c r="S720" s="165"/>
      <c r="T720" s="165"/>
      <c r="U720" s="165"/>
      <c r="V720" s="165"/>
      <c r="W720" s="165"/>
      <c r="X720" s="165"/>
      <c r="Y720" s="165"/>
      <c r="Z720" s="165"/>
      <c r="AA720" s="165"/>
      <c r="AB720" s="166"/>
    </row>
    <row r="721" ht="12.75" customHeight="1">
      <c r="A721" s="205">
        <v>44984</v>
      </c>
      <c r="B721" s="121">
        <v>1131</v>
      </c>
      <c r="C721" t="s" s="116">
        <v>276</v>
      </c>
      <c r="D721" t="s" s="79">
        <v>826</v>
      </c>
      <c r="E721" s="100"/>
      <c r="F721" s="101"/>
      <c r="G721" s="102">
        <v>2856.74</v>
      </c>
      <c r="H721" s="103">
        <v>8</v>
      </c>
      <c r="I721" s="104">
        <v>380</v>
      </c>
      <c r="J721" s="105"/>
      <c r="K721" s="101"/>
      <c r="L721" s="209"/>
      <c r="M721" s="210"/>
      <c r="N721" s="210"/>
      <c r="O721" s="210"/>
      <c r="P721" s="210"/>
      <c r="Q721" s="210"/>
      <c r="R721" s="210"/>
      <c r="S721" s="210"/>
      <c r="T721" s="210"/>
      <c r="U721" s="210"/>
      <c r="V721" s="210"/>
      <c r="W721" s="210"/>
      <c r="X721" s="210"/>
      <c r="Y721" s="210"/>
      <c r="Z721" s="210"/>
      <c r="AA721" s="210"/>
      <c r="AB721" s="210"/>
    </row>
    <row r="722" ht="12.75" customHeight="1">
      <c r="A722" s="212">
        <v>44991</v>
      </c>
      <c r="B722" s="107"/>
      <c r="C722" t="s" s="115">
        <v>99</v>
      </c>
      <c r="D722" t="s" s="109">
        <v>831</v>
      </c>
      <c r="E722" s="110"/>
      <c r="F722" s="111"/>
      <c r="G722" s="112">
        <v>13473.73</v>
      </c>
      <c r="H722" s="113" cm="1">
        <f t="array" ref="H722">G722/I722</f>
        <v>35.9299466666667</v>
      </c>
      <c r="I722" s="114">
        <v>375</v>
      </c>
      <c r="J722" s="163"/>
      <c r="K722" s="111"/>
      <c r="L722" s="164"/>
      <c r="M722" s="165"/>
      <c r="N722" s="165"/>
      <c r="O722" s="165"/>
      <c r="P722" s="165"/>
      <c r="Q722" s="165"/>
      <c r="R722" s="165"/>
      <c r="S722" s="165"/>
      <c r="T722" s="165"/>
      <c r="U722" s="165"/>
      <c r="V722" s="165"/>
      <c r="W722" s="165"/>
      <c r="X722" s="165"/>
      <c r="Y722" s="165"/>
      <c r="Z722" s="165"/>
      <c r="AA722" s="165"/>
      <c r="AB722" s="166"/>
    </row>
    <row r="723" ht="12.75" customHeight="1">
      <c r="A723" s="205">
        <v>44994</v>
      </c>
      <c r="B723" s="121">
        <v>1320</v>
      </c>
      <c r="C723" t="s" s="116">
        <v>276</v>
      </c>
      <c r="D723" t="s" s="79">
        <v>832</v>
      </c>
      <c r="E723" s="100"/>
      <c r="F723" s="101"/>
      <c r="G723" s="102">
        <v>3998.8</v>
      </c>
      <c r="H723" s="103">
        <v>10</v>
      </c>
      <c r="I723" s="104">
        <v>378</v>
      </c>
      <c r="J723" s="105"/>
      <c r="K723" s="101"/>
      <c r="L723" s="209"/>
      <c r="M723" s="210"/>
      <c r="N723" s="210"/>
      <c r="O723" s="210"/>
      <c r="P723" s="210"/>
      <c r="Q723" s="210"/>
      <c r="R723" s="210"/>
      <c r="S723" s="210"/>
      <c r="T723" s="210"/>
      <c r="U723" s="210"/>
      <c r="V723" s="210"/>
      <c r="W723" s="210"/>
      <c r="X723" s="210"/>
      <c r="Y723" s="210"/>
      <c r="Z723" s="210"/>
      <c r="AA723" s="210"/>
      <c r="AB723" s="210"/>
    </row>
    <row r="724" ht="12.75" customHeight="1">
      <c r="A724" s="212">
        <v>44995</v>
      </c>
      <c r="B724" s="107"/>
      <c r="C724" t="s" s="115">
        <v>41</v>
      </c>
      <c r="D724" t="s" s="109">
        <v>833</v>
      </c>
      <c r="E724" s="110"/>
      <c r="F724" s="111"/>
      <c r="G724" s="112">
        <v>36641.15</v>
      </c>
      <c r="H724" s="113" cm="1">
        <f t="array" ref="H724">G724/I724</f>
        <v>96.93425925925931</v>
      </c>
      <c r="I724" s="114">
        <v>378</v>
      </c>
      <c r="J724" s="163"/>
      <c r="K724" s="111"/>
      <c r="L724" s="164"/>
      <c r="M724" s="165"/>
      <c r="N724" s="165"/>
      <c r="O724" s="165"/>
      <c r="P724" s="165"/>
      <c r="Q724" s="165"/>
      <c r="R724" s="165"/>
      <c r="S724" s="165"/>
      <c r="T724" s="165"/>
      <c r="U724" s="165"/>
      <c r="V724" s="165"/>
      <c r="W724" s="165"/>
      <c r="X724" s="165"/>
      <c r="Y724" s="165"/>
      <c r="Z724" s="165"/>
      <c r="AA724" s="165"/>
      <c r="AB724" s="166"/>
    </row>
    <row r="725" ht="12.75" customHeight="1">
      <c r="A725" s="205">
        <v>45000</v>
      </c>
      <c r="B725" s="121">
        <v>5451</v>
      </c>
      <c r="C725" t="s" s="116">
        <v>149</v>
      </c>
      <c r="D725" t="s" s="79">
        <v>834</v>
      </c>
      <c r="E725" s="100"/>
      <c r="F725" s="101"/>
      <c r="G725" s="102">
        <v>31450</v>
      </c>
      <c r="H725" s="103">
        <v>83</v>
      </c>
      <c r="I725" s="104">
        <v>377</v>
      </c>
      <c r="J725" s="105"/>
      <c r="K725" s="101"/>
      <c r="L725" s="209"/>
      <c r="M725" s="210"/>
      <c r="N725" s="210"/>
      <c r="O725" s="210"/>
      <c r="P725" s="210"/>
      <c r="Q725" s="210"/>
      <c r="R725" s="210"/>
      <c r="S725" s="210"/>
      <c r="T725" s="210"/>
      <c r="U725" s="210"/>
      <c r="V725" s="210"/>
      <c r="W725" s="210"/>
      <c r="X725" s="210"/>
      <c r="Y725" s="210"/>
      <c r="Z725" s="210"/>
      <c r="AA725" s="210"/>
      <c r="AB725" s="210"/>
    </row>
    <row r="726" ht="12.75" customHeight="1">
      <c r="A726" s="212">
        <v>45008</v>
      </c>
      <c r="B726" s="107"/>
      <c r="C726" t="s" s="115">
        <v>34</v>
      </c>
      <c r="D726" t="s" s="109">
        <v>835</v>
      </c>
      <c r="E726" s="110"/>
      <c r="F726" s="111"/>
      <c r="G726" s="112">
        <v>8985.959999999999</v>
      </c>
      <c r="H726" s="113" cm="1">
        <f t="array" ref="H726">G726/I726</f>
        <v>23.1596907216495</v>
      </c>
      <c r="I726" s="114">
        <v>388</v>
      </c>
      <c r="J726" s="163"/>
      <c r="K726" s="111"/>
      <c r="L726" s="164"/>
      <c r="M726" s="165"/>
      <c r="N726" s="165"/>
      <c r="O726" s="165"/>
      <c r="P726" s="165"/>
      <c r="Q726" s="165"/>
      <c r="R726" s="165"/>
      <c r="S726" s="165"/>
      <c r="T726" s="165"/>
      <c r="U726" s="165"/>
      <c r="V726" s="165"/>
      <c r="W726" s="165"/>
      <c r="X726" s="165"/>
      <c r="Y726" s="165"/>
      <c r="Z726" s="165"/>
      <c r="AA726" s="165"/>
      <c r="AB726" s="166"/>
    </row>
    <row r="727" ht="12.75" customHeight="1">
      <c r="A727" s="205">
        <v>45014</v>
      </c>
      <c r="B727" s="121">
        <v>1828</v>
      </c>
      <c r="C727" t="s" s="116">
        <v>276</v>
      </c>
      <c r="D727" t="s" s="79">
        <v>836</v>
      </c>
      <c r="E727" s="100"/>
      <c r="F727" s="101"/>
      <c r="G727" s="102">
        <v>5349.22</v>
      </c>
      <c r="H727" s="103">
        <v>14</v>
      </c>
      <c r="I727" s="104">
        <v>395</v>
      </c>
      <c r="J727" s="105"/>
      <c r="K727" s="101"/>
      <c r="L727" s="209"/>
      <c r="M727" s="210"/>
      <c r="N727" s="210"/>
      <c r="O727" s="210"/>
      <c r="P727" s="210"/>
      <c r="Q727" s="210"/>
      <c r="R727" s="210"/>
      <c r="S727" s="210"/>
      <c r="T727" s="210"/>
      <c r="U727" s="210"/>
      <c r="V727" s="210"/>
      <c r="W727" s="210"/>
      <c r="X727" s="210"/>
      <c r="Y727" s="210"/>
      <c r="Z727" s="210"/>
      <c r="AA727" s="210"/>
      <c r="AB727" s="210"/>
    </row>
    <row r="728" ht="12.75" customHeight="1">
      <c r="A728" s="212">
        <v>45021</v>
      </c>
      <c r="B728" s="107"/>
      <c r="C728" t="s" s="115">
        <v>99</v>
      </c>
      <c r="D728" t="s" s="109">
        <v>837</v>
      </c>
      <c r="E728" s="110"/>
      <c r="F728" s="111"/>
      <c r="G728" s="112">
        <v>21235.01</v>
      </c>
      <c r="H728" s="113" cm="1">
        <f t="array" ref="H728">G728/I728</f>
        <v>54.4487435897436</v>
      </c>
      <c r="I728" s="114">
        <v>390</v>
      </c>
      <c r="J728" s="163"/>
      <c r="K728" s="111"/>
      <c r="L728" s="164"/>
      <c r="M728" s="165"/>
      <c r="N728" s="165"/>
      <c r="O728" s="165"/>
      <c r="P728" s="165"/>
      <c r="Q728" s="165"/>
      <c r="R728" s="165"/>
      <c r="S728" s="165"/>
      <c r="T728" s="165"/>
      <c r="U728" s="165"/>
      <c r="V728" s="165"/>
      <c r="W728" s="165"/>
      <c r="X728" s="165"/>
      <c r="Y728" s="165"/>
      <c r="Z728" s="165"/>
      <c r="AA728" s="165"/>
      <c r="AB728" s="166"/>
    </row>
    <row r="729" ht="12.75" customHeight="1">
      <c r="A729" s="205">
        <v>45026</v>
      </c>
      <c r="B729" s="98"/>
      <c r="C729" t="s" s="116">
        <v>41</v>
      </c>
      <c r="D729" t="s" s="79">
        <v>838</v>
      </c>
      <c r="E729" s="100"/>
      <c r="F729" s="101"/>
      <c r="G729" s="102">
        <v>36640.11</v>
      </c>
      <c r="H729" s="103" cm="1">
        <f t="array" ref="H729">G729/I729</f>
        <v>93.949</v>
      </c>
      <c r="I729" s="104">
        <v>390</v>
      </c>
      <c r="J729" s="105"/>
      <c r="K729" s="101"/>
      <c r="L729" s="209"/>
      <c r="M729" s="210"/>
      <c r="N729" s="210"/>
      <c r="O729" s="210"/>
      <c r="P729" s="210"/>
      <c r="Q729" s="210"/>
      <c r="R729" s="210"/>
      <c r="S729" s="210"/>
      <c r="T729" s="210"/>
      <c r="U729" s="210"/>
      <c r="V729" s="210"/>
      <c r="W729" s="210"/>
      <c r="X729" s="210"/>
      <c r="Y729" s="210"/>
      <c r="Z729" s="210"/>
      <c r="AA729" s="210"/>
      <c r="AB729" s="210"/>
    </row>
    <row r="730" ht="12.75" customHeight="1">
      <c r="A730" s="212">
        <v>45031</v>
      </c>
      <c r="B730" s="124">
        <v>12405</v>
      </c>
      <c r="C730" t="s" s="115">
        <v>839</v>
      </c>
      <c r="D730" t="s" s="109">
        <v>840</v>
      </c>
      <c r="E730" s="110"/>
      <c r="F730" s="111"/>
      <c r="G730" s="112">
        <v>171975.12</v>
      </c>
      <c r="H730" s="113">
        <v>425</v>
      </c>
      <c r="I730" s="114">
        <v>405</v>
      </c>
      <c r="J730" s="163"/>
      <c r="K730" s="111"/>
      <c r="L730" s="164"/>
      <c r="M730" s="165"/>
      <c r="N730" s="165"/>
      <c r="O730" s="165"/>
      <c r="P730" s="165"/>
      <c r="Q730" s="165"/>
      <c r="R730" s="165"/>
      <c r="S730" s="165"/>
      <c r="T730" s="165"/>
      <c r="U730" s="165"/>
      <c r="V730" s="165"/>
      <c r="W730" s="165"/>
      <c r="X730" s="165"/>
      <c r="Y730" s="165"/>
      <c r="Z730" s="165"/>
      <c r="AA730" s="165"/>
      <c r="AB730" s="166"/>
    </row>
    <row r="731" ht="12.75" customHeight="1">
      <c r="A731" s="205">
        <v>45040</v>
      </c>
      <c r="B731" s="98"/>
      <c r="C731" t="s" s="116">
        <v>34</v>
      </c>
      <c r="D731" t="s" s="79">
        <v>841</v>
      </c>
      <c r="E731" s="100"/>
      <c r="F731" s="101"/>
      <c r="G731" s="102">
        <v>9714.82</v>
      </c>
      <c r="H731" s="103" cm="1">
        <f t="array" ref="H731">G731/I731</f>
        <v>21.1191739130435</v>
      </c>
      <c r="I731" s="104">
        <v>460</v>
      </c>
      <c r="J731" s="105"/>
      <c r="K731" s="101"/>
      <c r="L731" s="209"/>
      <c r="M731" s="210"/>
      <c r="N731" s="210"/>
      <c r="O731" s="210"/>
      <c r="P731" s="210"/>
      <c r="Q731" s="210"/>
      <c r="R731" s="210"/>
      <c r="S731" s="210"/>
      <c r="T731" s="210"/>
      <c r="U731" s="210"/>
      <c r="V731" s="210"/>
      <c r="W731" s="210"/>
      <c r="X731" s="210"/>
      <c r="Y731" s="210"/>
      <c r="Z731" s="210"/>
      <c r="AA731" s="210"/>
      <c r="AB731" s="210"/>
    </row>
    <row r="732" ht="12.75" customHeight="1">
      <c r="A732" s="212">
        <v>45043</v>
      </c>
      <c r="B732" s="124">
        <v>5528</v>
      </c>
      <c r="C732" t="s" s="115">
        <v>149</v>
      </c>
      <c r="D732" t="s" s="109">
        <v>842</v>
      </c>
      <c r="E732" s="110"/>
      <c r="F732" s="111"/>
      <c r="G732" s="112">
        <v>7000</v>
      </c>
      <c r="H732" s="113">
        <v>15</v>
      </c>
      <c r="I732" s="114">
        <v>465</v>
      </c>
      <c r="J732" s="163"/>
      <c r="K732" s="111"/>
      <c r="L732" s="164"/>
      <c r="M732" s="165"/>
      <c r="N732" s="165"/>
      <c r="O732" s="165"/>
      <c r="P732" s="165"/>
      <c r="Q732" s="165"/>
      <c r="R732" s="165"/>
      <c r="S732" s="165"/>
      <c r="T732" s="165"/>
      <c r="U732" s="165"/>
      <c r="V732" s="165"/>
      <c r="W732" s="165"/>
      <c r="X732" s="165"/>
      <c r="Y732" s="165"/>
      <c r="Z732" s="165"/>
      <c r="AA732" s="165"/>
      <c r="AB732" s="166"/>
    </row>
    <row r="733" ht="12.75" customHeight="1">
      <c r="A733" s="205">
        <v>45050</v>
      </c>
      <c r="B733" s="98"/>
      <c r="C733" t="s" s="116">
        <v>99</v>
      </c>
      <c r="D733" t="s" s="79">
        <v>843</v>
      </c>
      <c r="E733" s="100"/>
      <c r="F733" s="101"/>
      <c r="G733" s="102">
        <v>21235.01</v>
      </c>
      <c r="H733" s="103" cm="1">
        <f t="array" ref="H733">G733/I733</f>
        <v>45.471113490364</v>
      </c>
      <c r="I733" s="104">
        <v>467</v>
      </c>
      <c r="J733" s="105"/>
      <c r="K733" s="101"/>
      <c r="L733" s="209"/>
      <c r="M733" s="210"/>
      <c r="N733" s="210"/>
      <c r="O733" s="210"/>
      <c r="P733" s="210"/>
      <c r="Q733" s="210"/>
      <c r="R733" s="210"/>
      <c r="S733" s="210"/>
      <c r="T733" s="210"/>
      <c r="U733" s="210"/>
      <c r="V733" s="210"/>
      <c r="W733" s="210"/>
      <c r="X733" s="210"/>
      <c r="Y733" s="210"/>
      <c r="Z733" s="210"/>
      <c r="AA733" s="210"/>
      <c r="AB733" s="210"/>
    </row>
    <row r="734" ht="12.75" customHeight="1">
      <c r="A734" s="212">
        <v>45056</v>
      </c>
      <c r="B734" s="107"/>
      <c r="C734" t="s" s="115">
        <v>41</v>
      </c>
      <c r="D734" t="s" s="109">
        <v>844</v>
      </c>
      <c r="E734" s="110"/>
      <c r="F734" s="111"/>
      <c r="G734" s="112">
        <v>36640.11</v>
      </c>
      <c r="H734" s="113" cm="1">
        <f t="array" ref="H734">G734/I734</f>
        <v>78.1239019189765</v>
      </c>
      <c r="I734" s="114">
        <v>469</v>
      </c>
      <c r="J734" s="163"/>
      <c r="K734" s="111"/>
      <c r="L734" s="164"/>
      <c r="M734" s="165"/>
      <c r="N734" s="165"/>
      <c r="O734" s="165"/>
      <c r="P734" s="165"/>
      <c r="Q734" s="165"/>
      <c r="R734" s="165"/>
      <c r="S734" s="165"/>
      <c r="T734" s="165"/>
      <c r="U734" s="165"/>
      <c r="V734" s="165"/>
      <c r="W734" s="165"/>
      <c r="X734" s="165"/>
      <c r="Y734" s="165"/>
      <c r="Z734" s="165"/>
      <c r="AA734" s="165"/>
      <c r="AB734" s="166"/>
    </row>
    <row r="735" ht="12.75" customHeight="1">
      <c r="A735" s="205">
        <v>45078</v>
      </c>
      <c r="B735" s="98"/>
      <c r="C735" t="s" s="116">
        <v>34</v>
      </c>
      <c r="D735" t="s" s="79">
        <v>845</v>
      </c>
      <c r="E735" s="100"/>
      <c r="F735" s="101"/>
      <c r="G735" s="102">
        <v>9305.111000000001</v>
      </c>
      <c r="H735" s="103" cm="1">
        <f t="array" ref="H735">G735/I735</f>
        <v>19.1070041067762</v>
      </c>
      <c r="I735" s="104">
        <v>487</v>
      </c>
      <c r="J735" s="105"/>
      <c r="K735" s="101"/>
      <c r="L735" s="209"/>
      <c r="M735" s="210"/>
      <c r="N735" s="210"/>
      <c r="O735" s="210"/>
      <c r="P735" s="210"/>
      <c r="Q735" s="210"/>
      <c r="R735" s="210"/>
      <c r="S735" s="210"/>
      <c r="T735" s="210"/>
      <c r="U735" s="210"/>
      <c r="V735" s="210"/>
      <c r="W735" s="210"/>
      <c r="X735" s="210"/>
      <c r="Y735" s="210"/>
      <c r="Z735" s="210"/>
      <c r="AA735" s="210"/>
      <c r="AB735" s="210"/>
    </row>
    <row r="736" ht="12.75" customHeight="1">
      <c r="A736" s="212">
        <v>45078</v>
      </c>
      <c r="B736" s="124">
        <v>6259</v>
      </c>
      <c r="C736" t="s" s="115">
        <v>846</v>
      </c>
      <c r="D736" t="s" s="109">
        <v>847</v>
      </c>
      <c r="E736" s="110"/>
      <c r="F736" s="111"/>
      <c r="G736" s="112">
        <v>1100</v>
      </c>
      <c r="H736" s="113" cm="1">
        <f t="array" ref="H736">G736/I736</f>
        <v>2.25872689938398</v>
      </c>
      <c r="I736" s="114">
        <v>487</v>
      </c>
      <c r="J736" s="163"/>
      <c r="K736" s="111"/>
      <c r="L736" s="164"/>
      <c r="M736" s="165"/>
      <c r="N736" s="165"/>
      <c r="O736" s="165"/>
      <c r="P736" s="165"/>
      <c r="Q736" s="165"/>
      <c r="R736" s="165"/>
      <c r="S736" s="165"/>
      <c r="T736" s="165"/>
      <c r="U736" s="165"/>
      <c r="V736" s="165"/>
      <c r="W736" s="165"/>
      <c r="X736" s="165"/>
      <c r="Y736" s="165"/>
      <c r="Z736" s="165"/>
      <c r="AA736" s="165"/>
      <c r="AB736" s="166"/>
    </row>
    <row r="737" ht="12.75" customHeight="1">
      <c r="A737" s="205">
        <v>45085</v>
      </c>
      <c r="B737" s="98"/>
      <c r="C737" t="s" s="116">
        <v>99</v>
      </c>
      <c r="D737" t="s" s="79">
        <v>848</v>
      </c>
      <c r="E737" s="100"/>
      <c r="F737" s="101"/>
      <c r="G737" s="102">
        <v>11776.12</v>
      </c>
      <c r="H737" s="103" cm="1">
        <f t="array" ref="H737">G737/I737</f>
        <v>24.4317842323651</v>
      </c>
      <c r="I737" s="104">
        <v>482</v>
      </c>
      <c r="J737" s="105"/>
      <c r="K737" s="101"/>
      <c r="L737" s="209"/>
      <c r="M737" s="210"/>
      <c r="N737" s="210"/>
      <c r="O737" s="210"/>
      <c r="P737" s="210"/>
      <c r="Q737" s="210"/>
      <c r="R737" s="210"/>
      <c r="S737" s="210"/>
      <c r="T737" s="210"/>
      <c r="U737" s="210"/>
      <c r="V737" s="210"/>
      <c r="W737" s="210"/>
      <c r="X737" s="210"/>
      <c r="Y737" s="210"/>
      <c r="Z737" s="210"/>
      <c r="AA737" s="210"/>
      <c r="AB737" s="210"/>
    </row>
    <row r="738" ht="12.75" customHeight="1">
      <c r="A738" s="212">
        <v>45085</v>
      </c>
      <c r="B738" s="124">
        <v>82</v>
      </c>
      <c r="C738" t="s" s="115">
        <v>849</v>
      </c>
      <c r="D738" t="s" s="109">
        <v>850</v>
      </c>
      <c r="E738" s="110"/>
      <c r="F738" s="111"/>
      <c r="G738" s="112">
        <v>740000</v>
      </c>
      <c r="H738" s="113" cm="1">
        <f t="array" ref="H738">G738/I738</f>
        <v>1535.269709543570</v>
      </c>
      <c r="I738" s="114">
        <v>482</v>
      </c>
      <c r="J738" s="163"/>
      <c r="K738" s="111"/>
      <c r="L738" s="164"/>
      <c r="M738" s="165"/>
      <c r="N738" s="165"/>
      <c r="O738" s="165"/>
      <c r="P738" s="165"/>
      <c r="Q738" s="165"/>
      <c r="R738" s="165"/>
      <c r="S738" s="165"/>
      <c r="T738" s="165"/>
      <c r="U738" s="165"/>
      <c r="V738" s="165"/>
      <c r="W738" s="165"/>
      <c r="X738" s="165"/>
      <c r="Y738" s="165"/>
      <c r="Z738" s="165"/>
      <c r="AA738" s="165"/>
      <c r="AB738" s="166"/>
    </row>
    <row r="739" ht="12.75" customHeight="1">
      <c r="A739" s="205">
        <v>45086</v>
      </c>
      <c r="B739" t="s" s="78">
        <v>851</v>
      </c>
      <c r="C739" t="s" s="116">
        <v>276</v>
      </c>
      <c r="D739" t="s" s="79">
        <v>816</v>
      </c>
      <c r="E739" s="100"/>
      <c r="F739" s="101"/>
      <c r="G739" s="102">
        <v>61265.4</v>
      </c>
      <c r="H739" s="103">
        <v>127</v>
      </c>
      <c r="I739" s="104">
        <v>482</v>
      </c>
      <c r="J739" s="105"/>
      <c r="K739" s="101"/>
      <c r="L739" s="209"/>
      <c r="M739" s="210"/>
      <c r="N739" s="210"/>
      <c r="O739" s="210"/>
      <c r="P739" s="210"/>
      <c r="Q739" s="210"/>
      <c r="R739" s="210"/>
      <c r="S739" s="210"/>
      <c r="T739" s="210"/>
      <c r="U739" s="210"/>
      <c r="V739" s="210"/>
      <c r="W739" s="210"/>
      <c r="X739" s="210"/>
      <c r="Y739" s="210"/>
      <c r="Z739" s="210"/>
      <c r="AA739" s="210"/>
      <c r="AB739" s="210"/>
    </row>
    <row r="740" ht="12.75" customHeight="1">
      <c r="A740" s="212">
        <v>45089</v>
      </c>
      <c r="B740" s="107"/>
      <c r="C740" t="s" s="115">
        <v>41</v>
      </c>
      <c r="D740" t="s" s="109">
        <v>852</v>
      </c>
      <c r="E740" s="110"/>
      <c r="F740" s="111"/>
      <c r="G740" s="112">
        <v>36640.11</v>
      </c>
      <c r="H740" s="113" cm="1">
        <f t="array" ref="H740">G740/I740</f>
        <v>76.01682572614109</v>
      </c>
      <c r="I740" s="114">
        <v>482</v>
      </c>
      <c r="J740" s="163"/>
      <c r="K740" s="111"/>
      <c r="L740" s="164"/>
      <c r="M740" s="165"/>
      <c r="N740" s="165"/>
      <c r="O740" s="165"/>
      <c r="P740" s="165"/>
      <c r="Q740" s="165"/>
      <c r="R740" s="165"/>
      <c r="S740" s="165"/>
      <c r="T740" s="165"/>
      <c r="U740" s="165"/>
      <c r="V740" s="165"/>
      <c r="W740" s="165"/>
      <c r="X740" s="165"/>
      <c r="Y740" s="165"/>
      <c r="Z740" s="165"/>
      <c r="AA740" s="165"/>
      <c r="AB740" s="166"/>
    </row>
    <row r="741" ht="12.75" customHeight="1">
      <c r="A741" s="205">
        <v>45092</v>
      </c>
      <c r="B741" s="121">
        <v>102586</v>
      </c>
      <c r="C741" t="s" s="116">
        <v>67</v>
      </c>
      <c r="D741" t="s" s="79">
        <v>853</v>
      </c>
      <c r="E741" s="100"/>
      <c r="F741" s="101"/>
      <c r="G741" s="102">
        <v>50000288.28</v>
      </c>
      <c r="H741" s="103">
        <v>100000</v>
      </c>
      <c r="I741" s="104">
        <v>500</v>
      </c>
      <c r="J741" s="105"/>
      <c r="K741" s="101"/>
      <c r="L741" s="209"/>
      <c r="M741" s="210"/>
      <c r="N741" s="210"/>
      <c r="O741" s="210"/>
      <c r="P741" s="210"/>
      <c r="Q741" s="210"/>
      <c r="R741" s="210"/>
      <c r="S741" s="210"/>
      <c r="T741" s="210"/>
      <c r="U741" s="210"/>
      <c r="V741" s="210"/>
      <c r="W741" s="210"/>
      <c r="X741" s="210"/>
      <c r="Y741" s="210"/>
      <c r="Z741" s="210"/>
      <c r="AA741" s="210"/>
      <c r="AB741" s="210"/>
    </row>
    <row r="742" ht="12.75" customHeight="1">
      <c r="A742" s="212">
        <v>45099</v>
      </c>
      <c r="B742" s="124">
        <v>5591</v>
      </c>
      <c r="C742" t="s" s="115">
        <v>149</v>
      </c>
      <c r="D742" t="s" s="109">
        <v>854</v>
      </c>
      <c r="E742" s="110"/>
      <c r="F742" s="111"/>
      <c r="G742" s="112">
        <v>180000</v>
      </c>
      <c r="H742" s="113">
        <v>367</v>
      </c>
      <c r="I742" s="114">
        <v>490</v>
      </c>
      <c r="J742" s="163"/>
      <c r="K742" s="111"/>
      <c r="L742" s="164"/>
      <c r="M742" s="165"/>
      <c r="N742" s="165"/>
      <c r="O742" s="165"/>
      <c r="P742" s="165"/>
      <c r="Q742" s="165"/>
      <c r="R742" s="165"/>
      <c r="S742" s="165"/>
      <c r="T742" s="165"/>
      <c r="U742" s="165"/>
      <c r="V742" s="165"/>
      <c r="W742" s="165"/>
      <c r="X742" s="165"/>
      <c r="Y742" s="165"/>
      <c r="Z742" s="165"/>
      <c r="AA742" s="165"/>
      <c r="AB742" s="166"/>
    </row>
    <row r="743" ht="12.75" customHeight="1">
      <c r="A743" s="205">
        <v>45099</v>
      </c>
      <c r="B743" s="121">
        <v>3504</v>
      </c>
      <c r="C743" t="s" s="116">
        <v>276</v>
      </c>
      <c r="D743" t="s" s="79">
        <v>826</v>
      </c>
      <c r="E743" s="100"/>
      <c r="F743" s="101"/>
      <c r="G743" s="102">
        <v>4212.32</v>
      </c>
      <c r="H743" s="103">
        <v>9</v>
      </c>
      <c r="I743" s="104">
        <v>490</v>
      </c>
      <c r="J743" s="105"/>
      <c r="K743" s="101"/>
      <c r="L743" s="209"/>
      <c r="M743" s="210"/>
      <c r="N743" s="210"/>
      <c r="O743" s="210"/>
      <c r="P743" s="210"/>
      <c r="Q743" s="210"/>
      <c r="R743" s="210"/>
      <c r="S743" s="210"/>
      <c r="T743" s="210"/>
      <c r="U743" s="210"/>
      <c r="V743" s="210"/>
      <c r="W743" s="210"/>
      <c r="X743" s="210"/>
      <c r="Y743" s="210"/>
      <c r="Z743" s="210"/>
      <c r="AA743" s="210"/>
      <c r="AB743" s="210"/>
    </row>
    <row r="744" ht="12.75" customHeight="1">
      <c r="A744" s="212">
        <v>45100</v>
      </c>
      <c r="B744" s="107"/>
      <c r="C744" t="s" s="115">
        <v>34</v>
      </c>
      <c r="D744" t="s" s="109">
        <v>855</v>
      </c>
      <c r="E744" s="110"/>
      <c r="F744" s="111"/>
      <c r="G744" s="112">
        <v>8595.76</v>
      </c>
      <c r="H744" s="113" cm="1">
        <f t="array" ref="H744">G744/I744</f>
        <v>17.4356186612576</v>
      </c>
      <c r="I744" s="114">
        <v>493</v>
      </c>
      <c r="J744" s="163"/>
      <c r="K744" s="111"/>
      <c r="L744" s="164"/>
      <c r="M744" s="165"/>
      <c r="N744" s="165"/>
      <c r="O744" s="165"/>
      <c r="P744" s="165"/>
      <c r="Q744" s="165"/>
      <c r="R744" s="165"/>
      <c r="S744" s="165"/>
      <c r="T744" s="165"/>
      <c r="U744" s="165"/>
      <c r="V744" s="165"/>
      <c r="W744" s="165"/>
      <c r="X744" s="165"/>
      <c r="Y744" s="165"/>
      <c r="Z744" s="165"/>
      <c r="AA744" s="165"/>
      <c r="AB744" s="166"/>
    </row>
    <row r="745" ht="12.75" customHeight="1">
      <c r="A745" s="205">
        <v>45106</v>
      </c>
      <c r="B745" s="121">
        <v>21851</v>
      </c>
      <c r="C745" t="s" s="116">
        <v>856</v>
      </c>
      <c r="D745" t="s" s="79">
        <v>857</v>
      </c>
      <c r="E745" s="100"/>
      <c r="F745" s="101"/>
      <c r="G745" s="102">
        <v>246209.66</v>
      </c>
      <c r="H745" s="103" cm="1">
        <f t="array" ref="H745">G745/I745</f>
        <v>498.400121457490</v>
      </c>
      <c r="I745" s="104">
        <v>494</v>
      </c>
      <c r="J745" s="105"/>
      <c r="K745" s="101"/>
      <c r="L745" s="209"/>
      <c r="M745" s="210"/>
      <c r="N745" s="210"/>
      <c r="O745" s="210"/>
      <c r="P745" s="210"/>
      <c r="Q745" s="210"/>
      <c r="R745" s="210"/>
      <c r="S745" s="210"/>
      <c r="T745" s="210"/>
      <c r="U745" s="210"/>
      <c r="V745" s="210"/>
      <c r="W745" s="210"/>
      <c r="X745" s="210"/>
      <c r="Y745" s="210"/>
      <c r="Z745" s="210"/>
      <c r="AA745" s="210"/>
      <c r="AB745" s="210"/>
    </row>
    <row r="746" ht="12.75" customHeight="1">
      <c r="A746" s="212">
        <v>45117</v>
      </c>
      <c r="B746" s="107"/>
      <c r="C746" t="s" s="115">
        <v>99</v>
      </c>
      <c r="D746" t="s" s="109">
        <v>858</v>
      </c>
      <c r="E746" s="110"/>
      <c r="F746" s="111"/>
      <c r="G746" s="112">
        <v>11794.42</v>
      </c>
      <c r="H746" s="113" cm="1">
        <f t="array" ref="H746">G746/I746</f>
        <v>23.8271111111111</v>
      </c>
      <c r="I746" s="114">
        <v>495</v>
      </c>
      <c r="J746" s="163"/>
      <c r="K746" s="111"/>
      <c r="L746" s="164"/>
      <c r="M746" s="165"/>
      <c r="N746" s="165"/>
      <c r="O746" s="165"/>
      <c r="P746" s="165"/>
      <c r="Q746" s="165"/>
      <c r="R746" s="165"/>
      <c r="S746" s="165"/>
      <c r="T746" s="165"/>
      <c r="U746" s="165"/>
      <c r="V746" s="165"/>
      <c r="W746" s="165"/>
      <c r="X746" s="165"/>
      <c r="Y746" s="165"/>
      <c r="Z746" s="165"/>
      <c r="AA746" s="165"/>
      <c r="AB746" s="166"/>
    </row>
    <row r="747" ht="12.75" customHeight="1">
      <c r="A747" s="205">
        <v>45117</v>
      </c>
      <c r="B747" s="98"/>
      <c r="C747" t="s" s="116">
        <v>41</v>
      </c>
      <c r="D747" t="s" s="79">
        <v>859</v>
      </c>
      <c r="E747" s="100"/>
      <c r="F747" s="101"/>
      <c r="G747" s="102">
        <v>36640.11</v>
      </c>
      <c r="H747" s="103" cm="1">
        <f t="array" ref="H747">G747/I747</f>
        <v>74.0204242424242</v>
      </c>
      <c r="I747" s="104">
        <v>495</v>
      </c>
      <c r="J747" s="105"/>
      <c r="K747" s="101"/>
      <c r="L747" s="209"/>
      <c r="M747" s="210"/>
      <c r="N747" s="210"/>
      <c r="O747" s="210"/>
      <c r="P747" s="210"/>
      <c r="Q747" s="210"/>
      <c r="R747" s="210"/>
      <c r="S747" s="210"/>
      <c r="T747" s="210"/>
      <c r="U747" s="210"/>
      <c r="V747" s="210"/>
      <c r="W747" s="210"/>
      <c r="X747" s="210"/>
      <c r="Y747" s="210"/>
      <c r="Z747" s="210"/>
      <c r="AA747" s="210"/>
      <c r="AB747" s="210"/>
    </row>
    <row r="748" ht="12.75" customHeight="1">
      <c r="A748" s="212">
        <v>45118</v>
      </c>
      <c r="B748" s="124">
        <v>135156</v>
      </c>
      <c r="C748" t="s" s="115">
        <v>839</v>
      </c>
      <c r="D748" t="s" s="109">
        <v>860</v>
      </c>
      <c r="E748" s="110"/>
      <c r="F748" s="111"/>
      <c r="G748" s="112">
        <v>86302.55</v>
      </c>
      <c r="H748" s="113">
        <v>173</v>
      </c>
      <c r="I748" s="114">
        <v>498</v>
      </c>
      <c r="J748" s="163"/>
      <c r="K748" s="111"/>
      <c r="L748" s="164"/>
      <c r="M748" s="165"/>
      <c r="N748" s="165"/>
      <c r="O748" s="165"/>
      <c r="P748" s="165"/>
      <c r="Q748" s="165"/>
      <c r="R748" s="165"/>
      <c r="S748" s="165"/>
      <c r="T748" s="165"/>
      <c r="U748" s="165"/>
      <c r="V748" s="165"/>
      <c r="W748" s="165"/>
      <c r="X748" s="165"/>
      <c r="Y748" s="165"/>
      <c r="Z748" s="165"/>
      <c r="AA748" s="165"/>
      <c r="AB748" s="166"/>
    </row>
    <row r="749" ht="12.75" customHeight="1">
      <c r="A749" s="205">
        <v>45119</v>
      </c>
      <c r="B749" s="121">
        <v>3955</v>
      </c>
      <c r="C749" t="s" s="116">
        <v>276</v>
      </c>
      <c r="D749" t="s" s="79">
        <v>826</v>
      </c>
      <c r="E749" s="100"/>
      <c r="F749" s="101"/>
      <c r="G749" s="102">
        <v>5616.98</v>
      </c>
      <c r="H749" s="103">
        <v>11</v>
      </c>
      <c r="I749" s="104">
        <v>498</v>
      </c>
      <c r="J749" s="105"/>
      <c r="K749" s="101"/>
      <c r="L749" s="209"/>
      <c r="M749" s="210"/>
      <c r="N749" s="210"/>
      <c r="O749" s="210"/>
      <c r="P749" s="210"/>
      <c r="Q749" s="210"/>
      <c r="R749" s="210"/>
      <c r="S749" s="210"/>
      <c r="T749" s="210"/>
      <c r="U749" s="210"/>
      <c r="V749" s="210"/>
      <c r="W749" s="210"/>
      <c r="X749" s="210"/>
      <c r="Y749" s="210"/>
      <c r="Z749" s="210"/>
      <c r="AA749" s="210"/>
      <c r="AB749" s="210"/>
    </row>
    <row r="750" ht="12.75" customHeight="1">
      <c r="A750" s="212">
        <v>45131</v>
      </c>
      <c r="B750" s="107"/>
      <c r="C750" t="s" s="115">
        <v>34</v>
      </c>
      <c r="D750" t="s" s="109">
        <v>861</v>
      </c>
      <c r="E750" s="110"/>
      <c r="F750" s="111"/>
      <c r="G750" s="112">
        <v>9181.059999999999</v>
      </c>
      <c r="H750" s="113" cm="1">
        <f t="array" ref="H750">G750/I750</f>
        <v>16.6323550724638</v>
      </c>
      <c r="I750" s="114">
        <v>552</v>
      </c>
      <c r="J750" s="163"/>
      <c r="K750" s="111"/>
      <c r="L750" s="164"/>
      <c r="M750" s="165"/>
      <c r="N750" s="165"/>
      <c r="O750" s="165"/>
      <c r="P750" s="165"/>
      <c r="Q750" s="165"/>
      <c r="R750" s="165"/>
      <c r="S750" s="165"/>
      <c r="T750" s="165"/>
      <c r="U750" s="165"/>
      <c r="V750" s="165"/>
      <c r="W750" s="165"/>
      <c r="X750" s="165"/>
      <c r="Y750" s="165"/>
      <c r="Z750" s="165"/>
      <c r="AA750" s="165"/>
      <c r="AB750" s="166"/>
    </row>
    <row r="751" ht="12.75" customHeight="1">
      <c r="A751" s="205">
        <v>45141</v>
      </c>
      <c r="B751" t="s" s="78">
        <v>862</v>
      </c>
      <c r="C751" t="s" s="116">
        <v>839</v>
      </c>
      <c r="D751" t="s" s="79">
        <v>863</v>
      </c>
      <c r="E751" s="100"/>
      <c r="F751" s="101"/>
      <c r="G751" s="102">
        <v>208350.93</v>
      </c>
      <c r="H751" s="103">
        <v>360</v>
      </c>
      <c r="I751" s="104">
        <v>570</v>
      </c>
      <c r="J751" s="105"/>
      <c r="K751" s="101"/>
      <c r="L751" s="209"/>
      <c r="M751" s="210"/>
      <c r="N751" s="210"/>
      <c r="O751" s="210"/>
      <c r="P751" s="210"/>
      <c r="Q751" s="210"/>
      <c r="R751" s="210"/>
      <c r="S751" s="210"/>
      <c r="T751" s="210"/>
      <c r="U751" s="210"/>
      <c r="V751" s="210"/>
      <c r="W751" s="210"/>
      <c r="X751" s="210"/>
      <c r="Y751" s="210"/>
      <c r="Z751" s="210"/>
      <c r="AA751" s="210"/>
      <c r="AB751" s="210"/>
    </row>
    <row r="752" ht="12.75" customHeight="1">
      <c r="A752" s="214">
        <v>45141</v>
      </c>
      <c r="B752" s="215">
        <v>4742</v>
      </c>
      <c r="C752" t="s" s="174">
        <v>864</v>
      </c>
      <c r="D752" t="s" s="175">
        <v>865</v>
      </c>
      <c r="E752" s="176"/>
      <c r="F752" s="159"/>
      <c r="G752" s="191">
        <v>395999.99</v>
      </c>
      <c r="H752" s="179" cm="1">
        <f t="array" ref="H752">G752/I752</f>
        <v>694.736824561404</v>
      </c>
      <c r="I752" s="180">
        <v>570</v>
      </c>
      <c r="J752" s="158"/>
      <c r="K752" s="159"/>
      <c r="L752" s="160"/>
      <c r="M752" s="161"/>
      <c r="N752" s="161"/>
      <c r="O752" s="161"/>
      <c r="P752" s="161"/>
      <c r="Q752" s="161"/>
      <c r="R752" s="161"/>
      <c r="S752" s="161"/>
      <c r="T752" s="161"/>
      <c r="U752" s="161"/>
      <c r="V752" s="161"/>
      <c r="W752" s="161"/>
      <c r="X752" s="161"/>
      <c r="Y752" s="161"/>
      <c r="Z752" s="161"/>
      <c r="AA752" s="161"/>
      <c r="AB752" s="162"/>
    </row>
    <row r="753" ht="12.75" customHeight="1">
      <c r="A753" s="205">
        <v>45142</v>
      </c>
      <c r="B753" s="121">
        <v>3890</v>
      </c>
      <c r="C753" t="s" s="116">
        <v>866</v>
      </c>
      <c r="D753" t="s" s="79">
        <v>867</v>
      </c>
      <c r="E753" s="100"/>
      <c r="F753" s="101"/>
      <c r="G753" s="102">
        <v>30000</v>
      </c>
      <c r="H753" s="103" cm="1">
        <f t="array" ref="H753">G753/I753</f>
        <v>52.2648083623693</v>
      </c>
      <c r="I753" s="104">
        <v>574</v>
      </c>
      <c r="J753" s="105"/>
      <c r="K753" s="101"/>
      <c r="L753" s="209"/>
      <c r="M753" s="210"/>
      <c r="N753" s="210"/>
      <c r="O753" s="210"/>
      <c r="P753" s="210"/>
      <c r="Q753" s="210"/>
      <c r="R753" s="210"/>
      <c r="S753" s="210"/>
      <c r="T753" s="210"/>
      <c r="U753" s="210"/>
      <c r="V753" s="210"/>
      <c r="W753" s="210"/>
      <c r="X753" s="210"/>
      <c r="Y753" s="210"/>
      <c r="Z753" s="210"/>
      <c r="AA753" s="210"/>
      <c r="AB753" s="210"/>
    </row>
    <row r="754" ht="12.75" customHeight="1">
      <c r="A754" s="212">
        <v>45142</v>
      </c>
      <c r="B754" s="124">
        <v>4707</v>
      </c>
      <c r="C754" t="s" s="115">
        <v>276</v>
      </c>
      <c r="D754" t="s" s="109">
        <v>816</v>
      </c>
      <c r="E754" s="110"/>
      <c r="F754" s="111"/>
      <c r="G754" s="112">
        <v>79129.66</v>
      </c>
      <c r="H754" s="113">
        <v>138</v>
      </c>
      <c r="I754" s="114">
        <v>574</v>
      </c>
      <c r="J754" s="163"/>
      <c r="K754" s="111"/>
      <c r="L754" s="164"/>
      <c r="M754" s="165"/>
      <c r="N754" s="165"/>
      <c r="O754" s="165"/>
      <c r="P754" s="165"/>
      <c r="Q754" s="165"/>
      <c r="R754" s="165"/>
      <c r="S754" s="165"/>
      <c r="T754" s="165"/>
      <c r="U754" s="165"/>
      <c r="V754" s="165"/>
      <c r="W754" s="165"/>
      <c r="X754" s="165"/>
      <c r="Y754" s="165"/>
      <c r="Z754" s="165"/>
      <c r="AA754" s="165"/>
      <c r="AB754" s="166"/>
    </row>
    <row r="755" ht="12.75" customHeight="1">
      <c r="A755" s="205">
        <v>45142</v>
      </c>
      <c r="B755" s="98"/>
      <c r="C755" t="s" s="116">
        <v>99</v>
      </c>
      <c r="D755" t="s" s="79">
        <v>868</v>
      </c>
      <c r="E755" s="100"/>
      <c r="F755" s="101"/>
      <c r="G755" s="102">
        <v>11909.14</v>
      </c>
      <c r="H755" s="103" cm="1">
        <f t="array" ref="H755">G755/I755</f>
        <v>20.7476306620209</v>
      </c>
      <c r="I755" s="104">
        <v>574</v>
      </c>
      <c r="J755" s="105"/>
      <c r="K755" s="101"/>
      <c r="L755" s="209"/>
      <c r="M755" s="210"/>
      <c r="N755" s="210"/>
      <c r="O755" s="210"/>
      <c r="P755" s="210"/>
      <c r="Q755" s="210"/>
      <c r="R755" s="210"/>
      <c r="S755" s="210"/>
      <c r="T755" s="210"/>
      <c r="U755" s="210"/>
      <c r="V755" s="210"/>
      <c r="W755" s="210"/>
      <c r="X755" s="210"/>
      <c r="Y755" s="210"/>
      <c r="Z755" s="210"/>
      <c r="AA755" s="210"/>
      <c r="AB755" s="210"/>
    </row>
    <row r="756" ht="12.75" customHeight="1">
      <c r="A756" s="212">
        <v>45148</v>
      </c>
      <c r="B756" s="107"/>
      <c r="C756" t="s" s="115">
        <v>41</v>
      </c>
      <c r="D756" t="s" s="109">
        <v>869</v>
      </c>
      <c r="E756" s="110"/>
      <c r="F756" s="111"/>
      <c r="G756" s="112">
        <v>36640.11</v>
      </c>
      <c r="H756" s="113" cm="1">
        <f t="array" ref="H756">G756/I756</f>
        <v>60.8639700996678</v>
      </c>
      <c r="I756" s="114">
        <v>602</v>
      </c>
      <c r="J756" s="163"/>
      <c r="K756" s="111"/>
      <c r="L756" s="164"/>
      <c r="M756" s="165"/>
      <c r="N756" s="165"/>
      <c r="O756" s="165"/>
      <c r="P756" s="165"/>
      <c r="Q756" s="165"/>
      <c r="R756" s="165"/>
      <c r="S756" s="165"/>
      <c r="T756" s="165"/>
      <c r="U756" s="165"/>
      <c r="V756" s="165"/>
      <c r="W756" s="165"/>
      <c r="X756" s="165"/>
      <c r="Y756" s="165"/>
      <c r="Z756" s="165"/>
      <c r="AA756" s="165"/>
      <c r="AB756" s="166"/>
    </row>
    <row r="757" ht="12.75" customHeight="1">
      <c r="A757" s="205">
        <v>45152</v>
      </c>
      <c r="B757" s="121">
        <v>6298</v>
      </c>
      <c r="C757" t="s" s="116">
        <v>67</v>
      </c>
      <c r="D757" t="s" s="79">
        <v>870</v>
      </c>
      <c r="E757" s="100"/>
      <c r="F757" s="101"/>
      <c r="G757" s="102">
        <v>575108.3</v>
      </c>
      <c r="H757" s="103">
        <v>846</v>
      </c>
      <c r="I757" s="104">
        <v>685</v>
      </c>
      <c r="J757" s="105"/>
      <c r="K757" s="101"/>
      <c r="L757" s="209"/>
      <c r="M757" s="210"/>
      <c r="N757" s="210"/>
      <c r="O757" s="210"/>
      <c r="P757" s="210"/>
      <c r="Q757" s="210"/>
      <c r="R757" s="210"/>
      <c r="S757" s="210"/>
      <c r="T757" s="210"/>
      <c r="U757" s="210"/>
      <c r="V757" s="210"/>
      <c r="W757" s="210"/>
      <c r="X757" s="210"/>
      <c r="Y757" s="210"/>
      <c r="Z757" s="210"/>
      <c r="AA757" s="210"/>
      <c r="AB757" s="210"/>
    </row>
    <row r="758" ht="12.75" customHeight="1">
      <c r="A758" s="212">
        <v>45152</v>
      </c>
      <c r="B758" s="124">
        <v>1590</v>
      </c>
      <c r="C758" t="s" s="115">
        <v>871</v>
      </c>
      <c r="D758" t="s" s="109">
        <v>872</v>
      </c>
      <c r="E758" s="110"/>
      <c r="F758" s="111"/>
      <c r="G758" s="112">
        <v>243750</v>
      </c>
      <c r="H758" s="113" cm="1">
        <f t="array" ref="H758">G758/I758</f>
        <v>355.839416058394</v>
      </c>
      <c r="I758" s="114">
        <v>685</v>
      </c>
      <c r="J758" s="163"/>
      <c r="K758" s="111"/>
      <c r="L758" s="164"/>
      <c r="M758" s="165"/>
      <c r="N758" s="165"/>
      <c r="O758" s="165"/>
      <c r="P758" s="165"/>
      <c r="Q758" s="165"/>
      <c r="R758" s="165"/>
      <c r="S758" s="165"/>
      <c r="T758" s="165"/>
      <c r="U758" s="165"/>
      <c r="V758" s="165"/>
      <c r="W758" s="165"/>
      <c r="X758" s="165"/>
      <c r="Y758" s="165"/>
      <c r="Z758" s="165"/>
      <c r="AA758" s="165"/>
      <c r="AB758" s="166"/>
    </row>
    <row r="759" ht="12.75" customHeight="1">
      <c r="A759" s="205">
        <v>45153</v>
      </c>
      <c r="B759" s="121">
        <v>52</v>
      </c>
      <c r="C759" t="s" s="116">
        <v>247</v>
      </c>
      <c r="D759" t="s" s="79">
        <v>873</v>
      </c>
      <c r="E759" s="100"/>
      <c r="F759" s="101"/>
      <c r="G759" s="102">
        <v>9500</v>
      </c>
      <c r="H759" s="103" cm="1">
        <f t="array" ref="H759">G759/I759</f>
        <v>13.013698630137</v>
      </c>
      <c r="I759" s="104">
        <v>730</v>
      </c>
      <c r="J759" s="105"/>
      <c r="K759" s="101"/>
      <c r="L759" s="209"/>
      <c r="M759" s="210"/>
      <c r="N759" s="210"/>
      <c r="O759" s="210"/>
      <c r="P759" s="210"/>
      <c r="Q759" s="210"/>
      <c r="R759" s="210"/>
      <c r="S759" s="210"/>
      <c r="T759" s="210"/>
      <c r="U759" s="210"/>
      <c r="V759" s="210"/>
      <c r="W759" s="210"/>
      <c r="X759" s="210"/>
      <c r="Y759" s="210"/>
      <c r="Z759" s="210"/>
      <c r="AA759" s="210"/>
      <c r="AB759" s="210"/>
    </row>
    <row r="760" ht="12.75" customHeight="1">
      <c r="A760" s="212">
        <v>45154</v>
      </c>
      <c r="B760" s="124">
        <v>6316</v>
      </c>
      <c r="C760" t="s" s="115">
        <v>67</v>
      </c>
      <c r="D760" t="s" s="109">
        <v>874</v>
      </c>
      <c r="E760" s="110"/>
      <c r="F760" s="111"/>
      <c r="G760" s="112">
        <v>123443.45</v>
      </c>
      <c r="H760" s="113">
        <v>158</v>
      </c>
      <c r="I760" s="114">
        <v>780</v>
      </c>
      <c r="J760" s="163"/>
      <c r="K760" s="111"/>
      <c r="L760" s="164"/>
      <c r="M760" s="165"/>
      <c r="N760" s="165"/>
      <c r="O760" s="165"/>
      <c r="P760" s="165"/>
      <c r="Q760" s="165"/>
      <c r="R760" s="165"/>
      <c r="S760" s="165"/>
      <c r="T760" s="165"/>
      <c r="U760" s="165"/>
      <c r="V760" s="165"/>
      <c r="W760" s="165"/>
      <c r="X760" s="165"/>
      <c r="Y760" s="165"/>
      <c r="Z760" s="165"/>
      <c r="AA760" s="165"/>
      <c r="AB760" s="166"/>
    </row>
    <row r="761" ht="12.75" customHeight="1">
      <c r="A761" s="205">
        <v>45162</v>
      </c>
      <c r="B761" s="98"/>
      <c r="C761" t="s" s="116">
        <v>34</v>
      </c>
      <c r="D761" t="s" s="79">
        <v>869</v>
      </c>
      <c r="E761" s="100"/>
      <c r="F761" s="101"/>
      <c r="G761" s="102">
        <v>8693.309999999999</v>
      </c>
      <c r="H761" s="103" cm="1">
        <f t="array" ref="H761">G761/I761</f>
        <v>11.9907724137931</v>
      </c>
      <c r="I761" s="104">
        <v>725</v>
      </c>
      <c r="J761" s="105"/>
      <c r="K761" s="101"/>
      <c r="L761" s="209"/>
      <c r="M761" s="210"/>
      <c r="N761" s="210"/>
      <c r="O761" s="210"/>
      <c r="P761" s="210"/>
      <c r="Q761" s="210"/>
      <c r="R761" s="210"/>
      <c r="S761" s="210"/>
      <c r="T761" s="210"/>
      <c r="U761" s="210"/>
      <c r="V761" s="210"/>
      <c r="W761" s="210"/>
      <c r="X761" s="210"/>
      <c r="Y761" s="210"/>
      <c r="Z761" s="210"/>
      <c r="AA761" s="210"/>
      <c r="AB761" s="210"/>
    </row>
    <row r="762" ht="12.75" customHeight="1">
      <c r="A762" s="212">
        <v>45162</v>
      </c>
      <c r="B762" s="124">
        <v>13534</v>
      </c>
      <c r="C762" t="s" s="115">
        <v>875</v>
      </c>
      <c r="D762" t="s" s="109">
        <v>876</v>
      </c>
      <c r="E762" s="110"/>
      <c r="F762" s="111"/>
      <c r="G762" s="112">
        <v>649203.97</v>
      </c>
      <c r="H762" s="113">
        <v>895</v>
      </c>
      <c r="I762" s="114">
        <v>725</v>
      </c>
      <c r="J762" s="163"/>
      <c r="K762" s="111"/>
      <c r="L762" s="164"/>
      <c r="M762" s="165"/>
      <c r="N762" s="165"/>
      <c r="O762" s="165"/>
      <c r="P762" s="165"/>
      <c r="Q762" s="165"/>
      <c r="R762" s="165"/>
      <c r="S762" s="165"/>
      <c r="T762" s="165"/>
      <c r="U762" s="165"/>
      <c r="V762" s="165"/>
      <c r="W762" s="165"/>
      <c r="X762" s="165"/>
      <c r="Y762" s="165"/>
      <c r="Z762" s="165"/>
      <c r="AA762" s="165"/>
      <c r="AB762" s="166"/>
    </row>
    <row r="763" ht="12.75" customHeight="1">
      <c r="A763" s="205">
        <v>45162</v>
      </c>
      <c r="B763" s="121">
        <v>5770</v>
      </c>
      <c r="C763" t="s" s="116">
        <v>149</v>
      </c>
      <c r="D763" t="s" s="79">
        <v>877</v>
      </c>
      <c r="E763" s="100"/>
      <c r="F763" s="101"/>
      <c r="G763" s="102">
        <v>40000</v>
      </c>
      <c r="H763" s="103" cm="1">
        <f t="array" ref="H763">G763/I763</f>
        <v>55.1724137931034</v>
      </c>
      <c r="I763" s="104">
        <v>725</v>
      </c>
      <c r="J763" s="105"/>
      <c r="K763" s="101"/>
      <c r="L763" s="209"/>
      <c r="M763" s="210"/>
      <c r="N763" s="210"/>
      <c r="O763" s="210"/>
      <c r="P763" s="210"/>
      <c r="Q763" s="210"/>
      <c r="R763" s="210"/>
      <c r="S763" s="210"/>
      <c r="T763" s="210"/>
      <c r="U763" s="210"/>
      <c r="V763" s="210"/>
      <c r="W763" s="210"/>
      <c r="X763" s="210"/>
      <c r="Y763" s="210"/>
      <c r="Z763" s="210"/>
      <c r="AA763" s="210"/>
      <c r="AB763" s="210"/>
    </row>
    <row r="764" ht="12.75" customHeight="1">
      <c r="A764" s="212">
        <v>45163</v>
      </c>
      <c r="B764" s="124">
        <v>13454</v>
      </c>
      <c r="C764" t="s" s="115">
        <v>875</v>
      </c>
      <c r="D764" t="s" s="109">
        <v>878</v>
      </c>
      <c r="E764" s="110"/>
      <c r="F764" s="111"/>
      <c r="G764" s="112">
        <v>50858.18</v>
      </c>
      <c r="H764" s="113">
        <v>70</v>
      </c>
      <c r="I764" s="114">
        <v>730</v>
      </c>
      <c r="J764" s="163"/>
      <c r="K764" s="111"/>
      <c r="L764" s="164"/>
      <c r="M764" s="165"/>
      <c r="N764" s="165"/>
      <c r="O764" s="165"/>
      <c r="P764" s="165"/>
      <c r="Q764" s="165"/>
      <c r="R764" s="165"/>
      <c r="S764" s="165"/>
      <c r="T764" s="165"/>
      <c r="U764" s="165"/>
      <c r="V764" s="165"/>
      <c r="W764" s="165"/>
      <c r="X764" s="165"/>
      <c r="Y764" s="165"/>
      <c r="Z764" s="165"/>
      <c r="AA764" s="165"/>
      <c r="AB764" s="166"/>
    </row>
    <row r="765" ht="12.75" customHeight="1">
      <c r="A765" s="205">
        <v>45166</v>
      </c>
      <c r="B765" s="121">
        <v>104012</v>
      </c>
      <c r="C765" t="s" s="116">
        <v>67</v>
      </c>
      <c r="D765" t="s" s="79">
        <v>879</v>
      </c>
      <c r="E765" s="100"/>
      <c r="F765" s="101"/>
      <c r="G765" s="102">
        <v>206374.1</v>
      </c>
      <c r="H765" s="103">
        <v>282</v>
      </c>
      <c r="I765" s="104">
        <v>730</v>
      </c>
      <c r="J765" s="105"/>
      <c r="K765" s="101"/>
      <c r="L765" s="209"/>
      <c r="M765" s="210"/>
      <c r="N765" s="210"/>
      <c r="O765" s="210"/>
      <c r="P765" s="210"/>
      <c r="Q765" s="210"/>
      <c r="R765" s="210"/>
      <c r="S765" s="210"/>
      <c r="T765" s="210"/>
      <c r="U765" s="210"/>
      <c r="V765" s="210"/>
      <c r="W765" s="210"/>
      <c r="X765" s="210"/>
      <c r="Y765" s="210"/>
      <c r="Z765" s="210"/>
      <c r="AA765" s="210"/>
      <c r="AB765" s="210"/>
    </row>
    <row r="766" ht="12.75" customHeight="1">
      <c r="A766" s="212">
        <v>45169</v>
      </c>
      <c r="B766" s="107"/>
      <c r="C766" t="s" s="115">
        <v>880</v>
      </c>
      <c r="D766" t="s" s="109">
        <v>881</v>
      </c>
      <c r="E766" s="110"/>
      <c r="F766" s="111"/>
      <c r="G766" s="112">
        <v>39000000</v>
      </c>
      <c r="H766" s="113" cm="1">
        <f t="array" ref="H766">G766/I766</f>
        <v>53424.6575342466</v>
      </c>
      <c r="I766" s="114">
        <v>730</v>
      </c>
      <c r="J766" s="163"/>
      <c r="K766" s="111"/>
      <c r="L766" s="164"/>
      <c r="M766" s="165"/>
      <c r="N766" s="165"/>
      <c r="O766" s="165"/>
      <c r="P766" s="165"/>
      <c r="Q766" s="165"/>
      <c r="R766" s="165"/>
      <c r="S766" s="165"/>
      <c r="T766" s="165"/>
      <c r="U766" s="165"/>
      <c r="V766" s="165"/>
      <c r="W766" s="165"/>
      <c r="X766" s="165"/>
      <c r="Y766" s="165"/>
      <c r="Z766" s="165"/>
      <c r="AA766" s="165"/>
      <c r="AB766" s="166"/>
    </row>
    <row r="767" ht="12.75" customHeight="1">
      <c r="A767" s="205">
        <v>45170</v>
      </c>
      <c r="B767" s="98"/>
      <c r="C767" t="s" s="116">
        <v>882</v>
      </c>
      <c r="D767" t="s" s="79">
        <v>883</v>
      </c>
      <c r="E767" s="100"/>
      <c r="F767" s="101"/>
      <c r="G767" s="102">
        <v>86424.39</v>
      </c>
      <c r="H767" s="103" cm="1">
        <f t="array" ref="H767">G767/I767</f>
        <v>118.389575342466</v>
      </c>
      <c r="I767" s="104">
        <v>730</v>
      </c>
      <c r="J767" s="105"/>
      <c r="K767" s="101"/>
      <c r="L767" s="209"/>
      <c r="M767" s="210"/>
      <c r="N767" s="210"/>
      <c r="O767" s="210"/>
      <c r="P767" s="210"/>
      <c r="Q767" s="210"/>
      <c r="R767" s="210"/>
      <c r="S767" s="210"/>
      <c r="T767" s="210"/>
      <c r="U767" s="210"/>
      <c r="V767" s="210"/>
      <c r="W767" s="210"/>
      <c r="X767" s="210"/>
      <c r="Y767" s="210"/>
      <c r="Z767" s="210"/>
      <c r="AA767" s="210"/>
      <c r="AB767" s="210"/>
    </row>
    <row r="768" ht="12.75" customHeight="1">
      <c r="A768" s="212">
        <v>45173</v>
      </c>
      <c r="B768" s="107"/>
      <c r="C768" t="s" s="115">
        <v>99</v>
      </c>
      <c r="D768" t="s" s="109">
        <v>884</v>
      </c>
      <c r="E768" s="110"/>
      <c r="F768" s="111"/>
      <c r="G768" s="112">
        <v>11911.8</v>
      </c>
      <c r="H768" s="113" cm="1">
        <f t="array" ref="H768">G768/I768</f>
        <v>16.4300689655172</v>
      </c>
      <c r="I768" s="114">
        <v>725</v>
      </c>
      <c r="J768" s="163"/>
      <c r="K768" s="111"/>
      <c r="L768" s="164"/>
      <c r="M768" s="165"/>
      <c r="N768" s="165"/>
      <c r="O768" s="165"/>
      <c r="P768" s="165"/>
      <c r="Q768" s="165"/>
      <c r="R768" s="165"/>
      <c r="S768" s="165"/>
      <c r="T768" s="165"/>
      <c r="U768" s="165"/>
      <c r="V768" s="165"/>
      <c r="W768" s="165"/>
      <c r="X768" s="165"/>
      <c r="Y768" s="165"/>
      <c r="Z768" s="165"/>
      <c r="AA768" s="165"/>
      <c r="AB768" s="166"/>
    </row>
    <row r="769" ht="12.75" customHeight="1">
      <c r="A769" s="205">
        <v>45180</v>
      </c>
      <c r="B769" s="98"/>
      <c r="C769" t="s" s="116">
        <v>41</v>
      </c>
      <c r="D769" t="s" s="79">
        <v>885</v>
      </c>
      <c r="E769" s="100"/>
      <c r="F769" s="101"/>
      <c r="G769" s="102">
        <v>36640.11</v>
      </c>
      <c r="H769" s="103" cm="1">
        <f t="array" ref="H769">G769/I769</f>
        <v>51.1019665271967</v>
      </c>
      <c r="I769" s="104">
        <v>717</v>
      </c>
      <c r="J769" s="105"/>
      <c r="K769" s="101"/>
      <c r="L769" s="209"/>
      <c r="M769" s="210"/>
      <c r="N769" s="210"/>
      <c r="O769" s="210"/>
      <c r="P769" s="210"/>
      <c r="Q769" s="210"/>
      <c r="R769" s="210"/>
      <c r="S769" s="210"/>
      <c r="T769" s="210"/>
      <c r="U769" s="210"/>
      <c r="V769" s="210"/>
      <c r="W769" s="210"/>
      <c r="X769" s="210"/>
      <c r="Y769" s="210"/>
      <c r="Z769" s="210"/>
      <c r="AA769" s="210"/>
      <c r="AB769" s="210"/>
    </row>
    <row r="770" ht="12.75" customHeight="1">
      <c r="A770" s="212">
        <v>45180</v>
      </c>
      <c r="B770" s="124">
        <v>19921</v>
      </c>
      <c r="C770" t="s" s="115">
        <v>886</v>
      </c>
      <c r="D770" t="s" s="109">
        <v>887</v>
      </c>
      <c r="E770" s="110"/>
      <c r="F770" s="111"/>
      <c r="G770" s="112">
        <v>5435400.01</v>
      </c>
      <c r="H770" s="113" cm="1">
        <f t="array" ref="H770">G770/I770</f>
        <v>7580.753152022320</v>
      </c>
      <c r="I770" s="114">
        <v>717</v>
      </c>
      <c r="J770" s="163"/>
      <c r="K770" s="111"/>
      <c r="L770" s="164"/>
      <c r="M770" s="165"/>
      <c r="N770" s="165"/>
      <c r="O770" s="165"/>
      <c r="P770" s="165"/>
      <c r="Q770" s="165"/>
      <c r="R770" s="165"/>
      <c r="S770" s="165"/>
      <c r="T770" s="165"/>
      <c r="U770" s="165"/>
      <c r="V770" s="165"/>
      <c r="W770" s="165"/>
      <c r="X770" s="165"/>
      <c r="Y770" s="165"/>
      <c r="Z770" s="165"/>
      <c r="AA770" s="165"/>
      <c r="AB770" s="166"/>
    </row>
    <row r="771" ht="12.75" customHeight="1">
      <c r="A771" s="205">
        <v>45194</v>
      </c>
      <c r="B771" s="98"/>
      <c r="C771" t="s" s="116">
        <v>34</v>
      </c>
      <c r="D771" t="s" s="79">
        <v>885</v>
      </c>
      <c r="E771" s="100"/>
      <c r="F771" s="101"/>
      <c r="G771" s="102">
        <v>9473.709999999999</v>
      </c>
      <c r="H771" s="103" cm="1">
        <f t="array" ref="H771">G771/I771</f>
        <v>12.716389261745</v>
      </c>
      <c r="I771" s="104">
        <v>745</v>
      </c>
      <c r="J771" s="105"/>
      <c r="K771" s="101"/>
      <c r="L771" s="209"/>
      <c r="M771" s="210"/>
      <c r="N771" s="210"/>
      <c r="O771" s="210"/>
      <c r="P771" s="210"/>
      <c r="Q771" s="210"/>
      <c r="R771" s="210"/>
      <c r="S771" s="210"/>
      <c r="T771" s="210"/>
      <c r="U771" s="210"/>
      <c r="V771" s="210"/>
      <c r="W771" s="210"/>
      <c r="X771" s="210"/>
      <c r="Y771" s="210"/>
      <c r="Z771" s="210"/>
      <c r="AA771" s="210"/>
      <c r="AB771" s="210"/>
    </row>
    <row r="772" ht="12.75" customHeight="1">
      <c r="A772" s="212">
        <v>45202</v>
      </c>
      <c r="B772" t="s" s="145">
        <v>888</v>
      </c>
      <c r="C772" t="s" s="115">
        <v>839</v>
      </c>
      <c r="D772" t="s" s="109">
        <v>889</v>
      </c>
      <c r="E772" s="110"/>
      <c r="F772" s="111"/>
      <c r="G772" s="112">
        <v>119845</v>
      </c>
      <c r="H772" s="113">
        <v>148</v>
      </c>
      <c r="I772" s="114">
        <v>810</v>
      </c>
      <c r="J772" s="163"/>
      <c r="K772" s="111"/>
      <c r="L772" s="164"/>
      <c r="M772" s="165"/>
      <c r="N772" s="165"/>
      <c r="O772" s="165"/>
      <c r="P772" s="165"/>
      <c r="Q772" s="165"/>
      <c r="R772" s="165"/>
      <c r="S772" s="165"/>
      <c r="T772" s="165"/>
      <c r="U772" s="165"/>
      <c r="V772" s="165"/>
      <c r="W772" s="165"/>
      <c r="X772" s="165"/>
      <c r="Y772" s="165"/>
      <c r="Z772" s="165"/>
      <c r="AA772" s="165"/>
      <c r="AB772" s="166"/>
    </row>
    <row r="773" ht="12.75" customHeight="1">
      <c r="A773" s="205">
        <v>45205</v>
      </c>
      <c r="B773" s="98"/>
      <c r="C773" t="s" s="116">
        <v>99</v>
      </c>
      <c r="D773" t="s" s="79">
        <v>890</v>
      </c>
      <c r="E773" s="100"/>
      <c r="F773" s="101"/>
      <c r="G773" s="102">
        <v>16199.46</v>
      </c>
      <c r="H773" s="103" cm="1">
        <f t="array" ref="H773">G773/I773</f>
        <v>18.4084772727273</v>
      </c>
      <c r="I773" s="104">
        <v>880</v>
      </c>
      <c r="J773" s="105"/>
      <c r="K773" s="101"/>
      <c r="L773" s="209"/>
      <c r="M773" s="210"/>
      <c r="N773" s="210"/>
      <c r="O773" s="210"/>
      <c r="P773" s="210"/>
      <c r="Q773" s="210"/>
      <c r="R773" s="210"/>
      <c r="S773" s="210"/>
      <c r="T773" s="210"/>
      <c r="U773" s="210"/>
      <c r="V773" s="210"/>
      <c r="W773" s="210"/>
      <c r="X773" s="210"/>
      <c r="Y773" s="210"/>
      <c r="Z773" s="210"/>
      <c r="AA773" s="210"/>
      <c r="AB773" s="210"/>
    </row>
    <row r="774" ht="12.75" customHeight="1">
      <c r="A774" s="212">
        <v>45209</v>
      </c>
      <c r="B774" s="107"/>
      <c r="C774" t="s" s="115">
        <v>41</v>
      </c>
      <c r="D774" t="s" s="109">
        <v>891</v>
      </c>
      <c r="E774" s="110"/>
      <c r="F774" s="111"/>
      <c r="G774" s="112">
        <v>36640.11</v>
      </c>
      <c r="H774" s="113" cm="1">
        <f t="array" ref="H774">G774/I774</f>
        <v>36.2773366336634</v>
      </c>
      <c r="I774" s="114">
        <v>1010</v>
      </c>
      <c r="J774" s="163"/>
      <c r="K774" s="111"/>
      <c r="L774" s="164"/>
      <c r="M774" s="165"/>
      <c r="N774" s="165"/>
      <c r="O774" s="165"/>
      <c r="P774" s="165"/>
      <c r="Q774" s="165"/>
      <c r="R774" s="165"/>
      <c r="S774" s="165"/>
      <c r="T774" s="165"/>
      <c r="U774" s="165"/>
      <c r="V774" s="165"/>
      <c r="W774" s="165"/>
      <c r="X774" s="165"/>
      <c r="Y774" s="165"/>
      <c r="Z774" s="165"/>
      <c r="AA774" s="165"/>
      <c r="AB774" s="166"/>
    </row>
    <row r="775" ht="12.75" customHeight="1">
      <c r="A775" s="205">
        <v>45216</v>
      </c>
      <c r="B775" s="121">
        <v>98185</v>
      </c>
      <c r="C775" t="s" s="116">
        <v>892</v>
      </c>
      <c r="D775" t="s" s="79">
        <v>893</v>
      </c>
      <c r="E775" s="100"/>
      <c r="F775" s="101"/>
      <c r="G775" s="102">
        <v>634027.6800000001</v>
      </c>
      <c r="H775" s="103">
        <v>647</v>
      </c>
      <c r="I775" s="104">
        <v>979</v>
      </c>
      <c r="J775" s="105"/>
      <c r="K775" s="101"/>
      <c r="L775" s="209"/>
      <c r="M775" s="210"/>
      <c r="N775" s="210"/>
      <c r="O775" s="210"/>
      <c r="P775" s="210"/>
      <c r="Q775" s="210"/>
      <c r="R775" s="210"/>
      <c r="S775" s="210"/>
      <c r="T775" s="210"/>
      <c r="U775" s="210"/>
      <c r="V775" s="210"/>
      <c r="W775" s="210"/>
      <c r="X775" s="210"/>
      <c r="Y775" s="210"/>
      <c r="Z775" s="210"/>
      <c r="AA775" s="210"/>
      <c r="AB775" s="210"/>
    </row>
    <row r="776" ht="12.75" customHeight="1">
      <c r="A776" s="212">
        <v>45219</v>
      </c>
      <c r="B776" s="124">
        <v>6064</v>
      </c>
      <c r="C776" t="s" s="115">
        <v>276</v>
      </c>
      <c r="D776" t="s" s="109">
        <v>836</v>
      </c>
      <c r="E776" s="110"/>
      <c r="F776" s="111"/>
      <c r="G776" s="112">
        <v>6656</v>
      </c>
      <c r="H776" s="113">
        <v>7</v>
      </c>
      <c r="I776" s="114">
        <v>900</v>
      </c>
      <c r="J776" s="163"/>
      <c r="K776" s="111"/>
      <c r="L776" s="164"/>
      <c r="M776" s="165"/>
      <c r="N776" s="165"/>
      <c r="O776" s="165"/>
      <c r="P776" s="165"/>
      <c r="Q776" s="165"/>
      <c r="R776" s="165"/>
      <c r="S776" s="165"/>
      <c r="T776" s="165"/>
      <c r="U776" s="165"/>
      <c r="V776" s="165"/>
      <c r="W776" s="165"/>
      <c r="X776" s="165"/>
      <c r="Y776" s="165"/>
      <c r="Z776" s="165"/>
      <c r="AA776" s="165"/>
      <c r="AB776" s="166"/>
    </row>
    <row r="777" ht="12.75" customHeight="1">
      <c r="A777" s="205">
        <v>45223</v>
      </c>
      <c r="B777" s="98"/>
      <c r="C777" t="s" s="116">
        <v>34</v>
      </c>
      <c r="D777" t="s" s="79">
        <v>891</v>
      </c>
      <c r="E777" s="100"/>
      <c r="F777" s="101"/>
      <c r="G777" s="102">
        <v>9714.82</v>
      </c>
      <c r="H777" s="103" cm="1">
        <f t="array" ref="H777">G777/I777</f>
        <v>8.831654545454549</v>
      </c>
      <c r="I777" s="104">
        <v>1100</v>
      </c>
      <c r="J777" s="105"/>
      <c r="K777" s="101"/>
      <c r="L777" s="209"/>
      <c r="M777" s="210"/>
      <c r="N777" s="210"/>
      <c r="O777" s="210"/>
      <c r="P777" s="210"/>
      <c r="Q777" s="210"/>
      <c r="R777" s="210"/>
      <c r="S777" s="210"/>
      <c r="T777" s="210"/>
      <c r="U777" s="210"/>
      <c r="V777" s="210"/>
      <c r="W777" s="210"/>
      <c r="X777" s="210"/>
      <c r="Y777" s="210"/>
      <c r="Z777" s="210"/>
      <c r="AA777" s="210"/>
      <c r="AB777" s="210"/>
    </row>
    <row r="778" ht="12.75" customHeight="1">
      <c r="A778" s="212">
        <v>45236</v>
      </c>
      <c r="B778" s="107"/>
      <c r="C778" t="s" s="115">
        <v>99</v>
      </c>
      <c r="D778" t="s" s="109">
        <v>894</v>
      </c>
      <c r="E778" s="110"/>
      <c r="F778" s="111"/>
      <c r="G778" s="112">
        <v>16199.46</v>
      </c>
      <c r="H778" s="113" cm="1">
        <f t="array" ref="H778">G778/I778</f>
        <v>18.2016404494382</v>
      </c>
      <c r="I778" s="114">
        <v>890</v>
      </c>
      <c r="J778" s="163"/>
      <c r="K778" s="111"/>
      <c r="L778" s="164"/>
      <c r="M778" s="165"/>
      <c r="N778" s="165"/>
      <c r="O778" s="165"/>
      <c r="P778" s="165"/>
      <c r="Q778" s="165"/>
      <c r="R778" s="165"/>
      <c r="S778" s="165"/>
      <c r="T778" s="165"/>
      <c r="U778" s="165"/>
      <c r="V778" s="165"/>
      <c r="W778" s="165"/>
      <c r="X778" s="165"/>
      <c r="Y778" s="165"/>
      <c r="Z778" s="165"/>
      <c r="AA778" s="165"/>
      <c r="AB778" s="166"/>
    </row>
    <row r="779" ht="12.75" customHeight="1">
      <c r="A779" s="205">
        <v>45238</v>
      </c>
      <c r="B779" t="s" s="78">
        <v>895</v>
      </c>
      <c r="C779" t="s" s="116">
        <v>276</v>
      </c>
      <c r="D779" t="s" s="79">
        <v>826</v>
      </c>
      <c r="E779" s="100"/>
      <c r="F779" s="101"/>
      <c r="G779" s="102">
        <v>10623.42</v>
      </c>
      <c r="H779" s="103" cm="1">
        <f t="array" ref="H779">G779/I779</f>
        <v>11.9364269662921</v>
      </c>
      <c r="I779" s="104">
        <v>890</v>
      </c>
      <c r="J779" s="105"/>
      <c r="K779" s="101"/>
      <c r="L779" s="209"/>
      <c r="M779" s="210"/>
      <c r="N779" s="210"/>
      <c r="O779" s="210"/>
      <c r="P779" s="210"/>
      <c r="Q779" s="210"/>
      <c r="R779" s="210"/>
      <c r="S779" s="210"/>
      <c r="T779" s="210"/>
      <c r="U779" s="210"/>
      <c r="V779" s="210"/>
      <c r="W779" s="210"/>
      <c r="X779" s="210"/>
      <c r="Y779" s="210"/>
      <c r="Z779" s="210"/>
      <c r="AA779" s="210"/>
      <c r="AB779" s="210"/>
    </row>
    <row r="780" ht="12.75" customHeight="1">
      <c r="A780" s="212">
        <v>45238</v>
      </c>
      <c r="B780" s="124">
        <v>105596</v>
      </c>
      <c r="C780" t="s" s="115">
        <v>67</v>
      </c>
      <c r="D780" t="s" s="109">
        <v>896</v>
      </c>
      <c r="E780" s="110"/>
      <c r="F780" s="111"/>
      <c r="G780" s="112">
        <v>582772.14</v>
      </c>
      <c r="H780" s="113" cm="1">
        <f t="array" ref="H780">G780/I780</f>
        <v>654.800157303371</v>
      </c>
      <c r="I780" s="114">
        <v>890</v>
      </c>
      <c r="J780" s="163"/>
      <c r="K780" s="111"/>
      <c r="L780" s="164"/>
      <c r="M780" s="165"/>
      <c r="N780" s="165"/>
      <c r="O780" s="165"/>
      <c r="P780" s="165"/>
      <c r="Q780" s="165"/>
      <c r="R780" s="165"/>
      <c r="S780" s="165"/>
      <c r="T780" s="165"/>
      <c r="U780" s="165"/>
      <c r="V780" s="165"/>
      <c r="W780" s="165"/>
      <c r="X780" s="165"/>
      <c r="Y780" s="165"/>
      <c r="Z780" s="165"/>
      <c r="AA780" s="165"/>
      <c r="AB780" s="166"/>
    </row>
    <row r="781" ht="12.75" customHeight="1">
      <c r="A781" s="205">
        <v>45240</v>
      </c>
      <c r="B781" s="98"/>
      <c r="C781" t="s" s="116">
        <v>41</v>
      </c>
      <c r="D781" t="s" s="79">
        <v>897</v>
      </c>
      <c r="E781" s="100"/>
      <c r="F781" s="101"/>
      <c r="G781" s="102">
        <v>36640.11</v>
      </c>
      <c r="H781" s="103" cm="1">
        <f t="array" ref="H781">G781/I781</f>
        <v>38.5685368421053</v>
      </c>
      <c r="I781" s="104">
        <v>950</v>
      </c>
      <c r="J781" s="105"/>
      <c r="K781" s="101"/>
      <c r="L781" s="209"/>
      <c r="M781" s="210"/>
      <c r="N781" s="210"/>
      <c r="O781" s="210"/>
      <c r="P781" s="210"/>
      <c r="Q781" s="210"/>
      <c r="R781" s="210"/>
      <c r="S781" s="210"/>
      <c r="T781" s="210"/>
      <c r="U781" s="210"/>
      <c r="V781" s="210"/>
      <c r="W781" s="210"/>
      <c r="X781" s="210"/>
      <c r="Y781" s="210"/>
      <c r="Z781" s="210"/>
      <c r="AA781" s="210"/>
      <c r="AB781" s="210"/>
    </row>
    <row r="782" ht="12.75" customHeight="1">
      <c r="A782" s="212">
        <v>45245</v>
      </c>
      <c r="B782" t="s" s="145">
        <v>898</v>
      </c>
      <c r="C782" t="s" s="115">
        <v>880</v>
      </c>
      <c r="D782" t="s" s="109">
        <v>899</v>
      </c>
      <c r="E782" s="110"/>
      <c r="F782" s="111"/>
      <c r="G782" s="112">
        <v>13663.56</v>
      </c>
      <c r="H782" s="113" cm="1">
        <f t="array" ref="H782">G782/I782</f>
        <v>14.0861443298969</v>
      </c>
      <c r="I782" s="114">
        <v>970</v>
      </c>
      <c r="J782" s="163"/>
      <c r="K782" s="111"/>
      <c r="L782" s="164"/>
      <c r="M782" s="165"/>
      <c r="N782" s="165"/>
      <c r="O782" s="165"/>
      <c r="P782" s="165"/>
      <c r="Q782" s="165"/>
      <c r="R782" s="165"/>
      <c r="S782" s="165"/>
      <c r="T782" s="165"/>
      <c r="U782" s="165"/>
      <c r="V782" s="165"/>
      <c r="W782" s="165"/>
      <c r="X782" s="165"/>
      <c r="Y782" s="165"/>
      <c r="Z782" s="165"/>
      <c r="AA782" s="165"/>
      <c r="AB782" s="166"/>
    </row>
    <row r="783" ht="12.75" customHeight="1">
      <c r="A783" s="205">
        <v>45245</v>
      </c>
      <c r="B783" s="121">
        <v>20583</v>
      </c>
      <c r="C783" t="s" s="116">
        <v>886</v>
      </c>
      <c r="D783" t="s" s="79">
        <v>900</v>
      </c>
      <c r="E783" s="100"/>
      <c r="F783" s="101"/>
      <c r="G783" s="102">
        <v>12000000</v>
      </c>
      <c r="H783" s="103" cm="1">
        <f t="array" ref="H783">G783/I783</f>
        <v>12371.1340206186</v>
      </c>
      <c r="I783" s="104">
        <v>970</v>
      </c>
      <c r="J783" s="105"/>
      <c r="K783" s="101"/>
      <c r="L783" s="209"/>
      <c r="M783" s="210"/>
      <c r="N783" s="210"/>
      <c r="O783" s="210"/>
      <c r="P783" s="210"/>
      <c r="Q783" s="210"/>
      <c r="R783" s="210"/>
      <c r="S783" s="210"/>
      <c r="T783" s="210"/>
      <c r="U783" s="210"/>
      <c r="V783" s="210"/>
      <c r="W783" s="210"/>
      <c r="X783" s="210"/>
      <c r="Y783" s="210"/>
      <c r="Z783" s="210"/>
      <c r="AA783" s="210"/>
      <c r="AB783" s="210"/>
    </row>
    <row r="784" ht="12.75" customHeight="1">
      <c r="A784" s="212">
        <v>45254</v>
      </c>
      <c r="B784" s="107"/>
      <c r="C784" t="s" s="115">
        <v>34</v>
      </c>
      <c r="D784" t="s" s="109">
        <v>897</v>
      </c>
      <c r="E784" s="110"/>
      <c r="F784" s="111"/>
      <c r="G784" s="112">
        <v>16756.51</v>
      </c>
      <c r="H784" s="113" cm="1">
        <f t="array" ref="H784">G784/I784</f>
        <v>16.8407135678392</v>
      </c>
      <c r="I784" s="114">
        <v>995</v>
      </c>
      <c r="J784" s="163"/>
      <c r="K784" s="111"/>
      <c r="L784" s="164"/>
      <c r="M784" s="165"/>
      <c r="N784" s="165"/>
      <c r="O784" s="165"/>
      <c r="P784" s="165"/>
      <c r="Q784" s="165"/>
      <c r="R784" s="165"/>
      <c r="S784" s="165"/>
      <c r="T784" s="165"/>
      <c r="U784" s="165"/>
      <c r="V784" s="165"/>
      <c r="W784" s="165"/>
      <c r="X784" s="165"/>
      <c r="Y784" s="165"/>
      <c r="Z784" s="165"/>
      <c r="AA784" s="165"/>
      <c r="AB784" s="166"/>
    </row>
    <row r="785" ht="12.75" customHeight="1">
      <c r="A785" s="205">
        <v>45254</v>
      </c>
      <c r="B785" s="121">
        <v>5778</v>
      </c>
      <c r="C785" t="s" s="116">
        <v>149</v>
      </c>
      <c r="D785" t="s" s="79">
        <v>901</v>
      </c>
      <c r="E785" s="100"/>
      <c r="F785" s="101"/>
      <c r="G785" s="102">
        <v>459800</v>
      </c>
      <c r="H785" s="103" cm="1">
        <f t="array" ref="H785">G785/I785</f>
        <v>462.110552763819</v>
      </c>
      <c r="I785" s="104">
        <v>995</v>
      </c>
      <c r="J785" s="105"/>
      <c r="K785" s="101"/>
      <c r="L785" s="209"/>
      <c r="M785" s="210"/>
      <c r="N785" s="210"/>
      <c r="O785" s="210"/>
      <c r="P785" s="210"/>
      <c r="Q785" s="210"/>
      <c r="R785" s="210"/>
      <c r="S785" s="210"/>
      <c r="T785" s="210"/>
      <c r="U785" s="210"/>
      <c r="V785" s="210"/>
      <c r="W785" s="210"/>
      <c r="X785" s="210"/>
      <c r="Y785" s="210"/>
      <c r="Z785" s="210"/>
      <c r="AA785" s="210"/>
      <c r="AB785" s="210"/>
    </row>
    <row r="786" ht="12.75" customHeight="1">
      <c r="A786" s="212">
        <v>45264</v>
      </c>
      <c r="B786" s="107"/>
      <c r="C786" t="s" s="115">
        <v>99</v>
      </c>
      <c r="D786" t="s" s="109">
        <v>902</v>
      </c>
      <c r="E786" s="110"/>
      <c r="F786" s="111"/>
      <c r="G786" s="112">
        <v>14213.73</v>
      </c>
      <c r="H786" s="113" cm="1">
        <f t="array" ref="H786">G786/I786</f>
        <v>15.7930333333333</v>
      </c>
      <c r="I786" s="114">
        <v>900</v>
      </c>
      <c r="J786" s="163"/>
      <c r="K786" s="111"/>
      <c r="L786" s="164"/>
      <c r="M786" s="165"/>
      <c r="N786" s="165"/>
      <c r="O786" s="165"/>
      <c r="P786" s="165"/>
      <c r="Q786" s="165"/>
      <c r="R786" s="165"/>
      <c r="S786" s="165"/>
      <c r="T786" s="165"/>
      <c r="U786" s="165"/>
      <c r="V786" s="165"/>
      <c r="W786" s="165"/>
      <c r="X786" s="165"/>
      <c r="Y786" s="165"/>
      <c r="Z786" s="165"/>
      <c r="AA786" s="165"/>
      <c r="AB786" s="166"/>
    </row>
    <row r="787" ht="12.75" customHeight="1">
      <c r="A787" s="205">
        <v>45265</v>
      </c>
      <c r="B787" s="121">
        <v>7964</v>
      </c>
      <c r="C787" t="s" s="116">
        <v>903</v>
      </c>
      <c r="D787" t="s" s="79">
        <v>904</v>
      </c>
      <c r="E787" s="100"/>
      <c r="F787" s="101"/>
      <c r="G787" s="102">
        <v>43891.12</v>
      </c>
      <c r="H787" s="103" cm="1">
        <f t="array" ref="H787">G787/I787</f>
        <v>48.7679111111111</v>
      </c>
      <c r="I787" s="104">
        <v>900</v>
      </c>
      <c r="J787" s="105"/>
      <c r="K787" s="101"/>
      <c r="L787" s="209"/>
      <c r="M787" s="210"/>
      <c r="N787" s="210"/>
      <c r="O787" s="210"/>
      <c r="P787" s="210"/>
      <c r="Q787" s="210"/>
      <c r="R787" s="210"/>
      <c r="S787" s="210"/>
      <c r="T787" s="210"/>
      <c r="U787" s="210"/>
      <c r="V787" s="210"/>
      <c r="W787" s="210"/>
      <c r="X787" s="210"/>
      <c r="Y787" s="210"/>
      <c r="Z787" s="210"/>
      <c r="AA787" s="210"/>
      <c r="AB787" s="210"/>
    </row>
    <row r="788" ht="12.75" customHeight="1">
      <c r="A788" s="212">
        <v>45265</v>
      </c>
      <c r="B788" s="124">
        <v>14390</v>
      </c>
      <c r="C788" t="s" s="115">
        <v>198</v>
      </c>
      <c r="D788" t="s" s="109">
        <v>905</v>
      </c>
      <c r="E788" s="110"/>
      <c r="F788" s="111"/>
      <c r="G788" s="112">
        <v>15708.24</v>
      </c>
      <c r="H788" s="113" cm="1">
        <f t="array" ref="H788">G788/I788</f>
        <v>17.4536</v>
      </c>
      <c r="I788" s="114">
        <v>900</v>
      </c>
      <c r="J788" s="163"/>
      <c r="K788" s="111"/>
      <c r="L788" s="164"/>
      <c r="M788" s="165"/>
      <c r="N788" s="165"/>
      <c r="O788" s="165"/>
      <c r="P788" s="165"/>
      <c r="Q788" s="165"/>
      <c r="R788" s="165"/>
      <c r="S788" s="165"/>
      <c r="T788" s="165"/>
      <c r="U788" s="165"/>
      <c r="V788" s="165"/>
      <c r="W788" s="165"/>
      <c r="X788" s="165"/>
      <c r="Y788" s="165"/>
      <c r="Z788" s="165"/>
      <c r="AA788" s="165"/>
      <c r="AB788" s="166"/>
    </row>
    <row r="789" ht="12.75" customHeight="1">
      <c r="A789" s="205">
        <v>45271</v>
      </c>
      <c r="B789" s="98"/>
      <c r="C789" t="s" s="116">
        <v>41</v>
      </c>
      <c r="D789" t="s" s="79">
        <v>906</v>
      </c>
      <c r="E789" s="100"/>
      <c r="F789" s="101"/>
      <c r="G789" s="102">
        <v>36637.15</v>
      </c>
      <c r="H789" s="103" cm="1">
        <f t="array" ref="H789">G789/I789</f>
        <v>37.7702577319588</v>
      </c>
      <c r="I789" s="104">
        <v>970</v>
      </c>
      <c r="J789" s="105"/>
      <c r="K789" s="101"/>
      <c r="L789" s="209"/>
      <c r="M789" s="210"/>
      <c r="N789" s="210"/>
      <c r="O789" s="210"/>
      <c r="P789" s="210"/>
      <c r="Q789" s="210"/>
      <c r="R789" s="210"/>
      <c r="S789" s="210"/>
      <c r="T789" s="210"/>
      <c r="U789" s="210"/>
      <c r="V789" s="210"/>
      <c r="W789" s="210"/>
      <c r="X789" s="210"/>
      <c r="Y789" s="210"/>
      <c r="Z789" s="210"/>
      <c r="AA789" s="210"/>
      <c r="AB789" s="210"/>
    </row>
    <row r="790" ht="12.75" customHeight="1">
      <c r="A790" s="212">
        <v>45282</v>
      </c>
      <c r="B790" s="107"/>
      <c r="C790" t="s" s="115">
        <v>34</v>
      </c>
      <c r="D790" t="s" s="109">
        <v>906</v>
      </c>
      <c r="E790" s="110"/>
      <c r="F790" s="111"/>
      <c r="G790" s="112">
        <v>15408.04</v>
      </c>
      <c r="H790" s="113" cm="1">
        <f t="array" ref="H790">G790/I790</f>
        <v>15.8845773195876</v>
      </c>
      <c r="I790" s="114">
        <v>970</v>
      </c>
      <c r="J790" s="163"/>
      <c r="K790" s="111"/>
      <c r="L790" s="164"/>
      <c r="M790" s="165"/>
      <c r="N790" s="165"/>
      <c r="O790" s="165"/>
      <c r="P790" s="165"/>
      <c r="Q790" s="165"/>
      <c r="R790" s="165"/>
      <c r="S790" s="165"/>
      <c r="T790" s="165"/>
      <c r="U790" s="165"/>
      <c r="V790" s="165"/>
      <c r="W790" s="165"/>
      <c r="X790" s="165"/>
      <c r="Y790" s="165"/>
      <c r="Z790" s="165"/>
      <c r="AA790" s="165"/>
      <c r="AB790" s="166"/>
    </row>
    <row r="791" ht="12.75" customHeight="1">
      <c r="A791" s="205">
        <v>45294</v>
      </c>
      <c r="B791" s="98"/>
      <c r="C791" t="s" s="116">
        <v>99</v>
      </c>
      <c r="D791" t="s" s="79">
        <v>907</v>
      </c>
      <c r="E791" s="100"/>
      <c r="F791" s="101"/>
      <c r="G791" s="102">
        <v>14235.68</v>
      </c>
      <c r="H791" s="103" cm="1">
        <f t="array" ref="H791">G791/I791</f>
        <v>14.5262040816327</v>
      </c>
      <c r="I791" s="104">
        <v>980</v>
      </c>
      <c r="J791" s="105"/>
      <c r="K791" s="101"/>
      <c r="L791" s="209"/>
      <c r="M791" s="210"/>
      <c r="N791" s="210"/>
      <c r="O791" s="210"/>
      <c r="P791" s="210"/>
      <c r="Q791" s="210"/>
      <c r="R791" s="210"/>
      <c r="S791" s="210"/>
      <c r="T791" s="210"/>
      <c r="U791" s="210"/>
      <c r="V791" s="210"/>
      <c r="W791" s="210"/>
      <c r="X791" s="210"/>
      <c r="Y791" s="210"/>
      <c r="Z791" s="210"/>
      <c r="AA791" s="210"/>
      <c r="AB791" s="210"/>
    </row>
    <row r="792" ht="12.75" customHeight="1">
      <c r="A792" s="212">
        <v>45309</v>
      </c>
      <c r="B792" s="107"/>
      <c r="C792" t="s" s="115">
        <v>149</v>
      </c>
      <c r="D792" t="s" s="109">
        <v>908</v>
      </c>
      <c r="E792" s="110"/>
      <c r="F792" s="111"/>
      <c r="G792" s="112">
        <v>80750</v>
      </c>
      <c r="H792" s="113" cm="1">
        <f t="array" ref="H792">G792/I792</f>
        <v>67.2916666666667</v>
      </c>
      <c r="I792" s="114">
        <v>1200</v>
      </c>
      <c r="J792" s="163"/>
      <c r="K792" s="111"/>
      <c r="L792" s="164"/>
      <c r="M792" s="165"/>
      <c r="N792" s="165"/>
      <c r="O792" s="165"/>
      <c r="P792" s="165"/>
      <c r="Q792" s="165"/>
      <c r="R792" s="165"/>
      <c r="S792" s="165"/>
      <c r="T792" s="165"/>
      <c r="U792" s="165"/>
      <c r="V792" s="165"/>
      <c r="W792" s="165"/>
      <c r="X792" s="165"/>
      <c r="Y792" s="165"/>
      <c r="Z792" s="165"/>
      <c r="AA792" s="165"/>
      <c r="AB792" s="166"/>
    </row>
    <row r="793" ht="12.75" customHeight="1">
      <c r="A793" s="205">
        <v>45310</v>
      </c>
      <c r="B793" s="98"/>
      <c r="C793" t="s" s="116">
        <v>41</v>
      </c>
      <c r="D793" t="s" s="79">
        <v>909</v>
      </c>
      <c r="E793" s="100"/>
      <c r="F793" s="101"/>
      <c r="G793" s="102">
        <v>80608.259999999995</v>
      </c>
      <c r="H793" s="103" cm="1">
        <f t="array" ref="H793">G793/I793</f>
        <v>67.17355000000001</v>
      </c>
      <c r="I793" s="104">
        <v>1200</v>
      </c>
      <c r="J793" s="105"/>
      <c r="K793" s="101"/>
      <c r="L793" s="209"/>
      <c r="M793" s="210"/>
      <c r="N793" s="210"/>
      <c r="O793" s="210"/>
      <c r="P793" s="210"/>
      <c r="Q793" s="210"/>
      <c r="R793" s="210"/>
      <c r="S793" s="210"/>
      <c r="T793" s="210"/>
      <c r="U793" s="210"/>
      <c r="V793" s="210"/>
      <c r="W793" s="210"/>
      <c r="X793" s="210"/>
      <c r="Y793" s="210"/>
      <c r="Z793" s="210"/>
      <c r="AA793" s="210"/>
      <c r="AB793" s="210"/>
    </row>
    <row r="794" ht="12.75" customHeight="1">
      <c r="A794" s="212">
        <v>45315</v>
      </c>
      <c r="B794" s="107"/>
      <c r="C794" t="s" s="115">
        <v>34</v>
      </c>
      <c r="D794" t="s" s="109">
        <v>909</v>
      </c>
      <c r="E794" s="110"/>
      <c r="F794" s="111"/>
      <c r="G794" s="112">
        <v>35636.7</v>
      </c>
      <c r="H794" s="113" cm="1">
        <f t="array" ref="H794">G794/I794</f>
        <v>29.0911836734694</v>
      </c>
      <c r="I794" s="114">
        <v>1225</v>
      </c>
      <c r="J794" s="163"/>
      <c r="K794" s="111"/>
      <c r="L794" s="164"/>
      <c r="M794" s="165"/>
      <c r="N794" s="165"/>
      <c r="O794" s="165"/>
      <c r="P794" s="165"/>
      <c r="Q794" s="165"/>
      <c r="R794" s="165"/>
      <c r="S794" s="165"/>
      <c r="T794" s="165"/>
      <c r="U794" s="165"/>
      <c r="V794" s="165"/>
      <c r="W794" s="165"/>
      <c r="X794" s="165"/>
      <c r="Y794" s="165"/>
      <c r="Z794" s="165"/>
      <c r="AA794" s="165"/>
      <c r="AB794" s="166"/>
    </row>
    <row r="795" ht="12.75" customHeight="1">
      <c r="A795" s="169">
        <v>45324</v>
      </c>
      <c r="B795" s="98"/>
      <c r="C795" t="s" s="116">
        <v>99</v>
      </c>
      <c r="D795" t="s" s="79">
        <v>910</v>
      </c>
      <c r="E795" s="100"/>
      <c r="F795" s="101"/>
      <c r="G795" s="102">
        <v>9574.75</v>
      </c>
      <c r="H795" s="103" cm="1">
        <f t="array" ref="H795">G795/I795</f>
        <v>8.25409482758621</v>
      </c>
      <c r="I795" s="104">
        <v>1160</v>
      </c>
      <c r="J795" s="105"/>
      <c r="K795" s="101"/>
      <c r="L795" s="209"/>
      <c r="M795" s="210"/>
      <c r="N795" s="210"/>
      <c r="O795" s="210"/>
      <c r="P795" s="210"/>
      <c r="Q795" s="210"/>
      <c r="R795" s="210"/>
      <c r="S795" s="210"/>
      <c r="T795" s="210"/>
      <c r="U795" s="210"/>
      <c r="V795" s="210"/>
      <c r="W795" s="210"/>
      <c r="X795" s="210"/>
      <c r="Y795" s="210"/>
      <c r="Z795" s="210"/>
      <c r="AA795" s="210"/>
      <c r="AB795" s="210"/>
    </row>
    <row r="796" ht="12.75" customHeight="1">
      <c r="A796" s="170">
        <v>45324</v>
      </c>
      <c r="B796" s="124">
        <v>21235</v>
      </c>
      <c r="C796" t="s" s="115">
        <v>911</v>
      </c>
      <c r="D796" t="s" s="109">
        <v>912</v>
      </c>
      <c r="E796" s="110"/>
      <c r="F796" s="111"/>
      <c r="G796" s="112">
        <v>7506422.55</v>
      </c>
      <c r="H796" s="113" cm="1">
        <f t="array" ref="H796">G796/I796</f>
        <v>7506.42255</v>
      </c>
      <c r="I796" s="114">
        <v>1000</v>
      </c>
      <c r="J796" s="163"/>
      <c r="K796" s="111"/>
      <c r="L796" s="164"/>
      <c r="M796" s="165"/>
      <c r="N796" s="165"/>
      <c r="O796" s="165"/>
      <c r="P796" s="165"/>
      <c r="Q796" s="165"/>
      <c r="R796" s="165"/>
      <c r="S796" s="165"/>
      <c r="T796" s="165"/>
      <c r="U796" s="165"/>
      <c r="V796" s="165"/>
      <c r="W796" s="165"/>
      <c r="X796" s="165"/>
      <c r="Y796" s="165"/>
      <c r="Z796" s="165"/>
      <c r="AA796" s="165"/>
      <c r="AB796" s="166"/>
    </row>
    <row r="797" ht="12.75" customHeight="1">
      <c r="A797" s="169">
        <v>45324</v>
      </c>
      <c r="B797" s="98"/>
      <c r="C797" t="s" s="116">
        <v>880</v>
      </c>
      <c r="D797" t="s" s="79">
        <v>913</v>
      </c>
      <c r="E797" s="100"/>
      <c r="F797" s="101"/>
      <c r="G797" s="102">
        <v>964041.51</v>
      </c>
      <c r="H797" s="103" cm="1">
        <f t="array" ref="H797">G797/I797</f>
        <v>964.04151</v>
      </c>
      <c r="I797" s="104">
        <v>1000</v>
      </c>
      <c r="J797" s="105"/>
      <c r="K797" s="101"/>
      <c r="L797" s="209"/>
      <c r="M797" s="210"/>
      <c r="N797" s="210"/>
      <c r="O797" s="210"/>
      <c r="P797" s="210"/>
      <c r="Q797" s="210"/>
      <c r="R797" s="210"/>
      <c r="S797" s="210"/>
      <c r="T797" s="210"/>
      <c r="U797" s="210"/>
      <c r="V797" s="210"/>
      <c r="W797" s="210"/>
      <c r="X797" s="210"/>
      <c r="Y797" s="210"/>
      <c r="Z797" s="210"/>
      <c r="AA797" s="210"/>
      <c r="AB797" s="210"/>
    </row>
    <row r="798" ht="12.75" customHeight="1">
      <c r="A798" s="212">
        <v>45328</v>
      </c>
      <c r="B798" t="s" s="145">
        <v>914</v>
      </c>
      <c r="C798" t="s" s="115">
        <v>880</v>
      </c>
      <c r="D798" t="s" s="109">
        <v>915</v>
      </c>
      <c r="E798" s="110"/>
      <c r="F798" s="111"/>
      <c r="G798" s="112" cm="1">
        <f t="array" ref="G798">5000058+9000000</f>
        <v>14000058</v>
      </c>
      <c r="H798" s="113" cm="1">
        <f t="array" ref="H798">G798/I798</f>
        <v>14000.058</v>
      </c>
      <c r="I798" s="114">
        <v>1000</v>
      </c>
      <c r="J798" s="163"/>
      <c r="K798" s="111"/>
      <c r="L798" s="164"/>
      <c r="M798" s="165"/>
      <c r="N798" s="165"/>
      <c r="O798" s="165"/>
      <c r="P798" s="165"/>
      <c r="Q798" s="165"/>
      <c r="R798" s="165"/>
      <c r="S798" s="165"/>
      <c r="T798" s="165"/>
      <c r="U798" s="165"/>
      <c r="V798" s="165"/>
      <c r="W798" s="165"/>
      <c r="X798" s="165"/>
      <c r="Y798" s="165"/>
      <c r="Z798" s="165"/>
      <c r="AA798" s="165"/>
      <c r="AB798" s="166"/>
    </row>
    <row r="799" ht="12.75" customHeight="1">
      <c r="A799" s="205">
        <v>45336</v>
      </c>
      <c r="B799" s="98"/>
      <c r="C799" t="s" s="116">
        <v>41</v>
      </c>
      <c r="D799" t="s" s="79">
        <v>916</v>
      </c>
      <c r="E799" s="100"/>
      <c r="F799" s="101"/>
      <c r="G799" s="102">
        <v>80608.259999999995</v>
      </c>
      <c r="H799" s="103" cm="1">
        <f t="array" ref="H799">G799/I799</f>
        <v>73.9525321100917</v>
      </c>
      <c r="I799" s="104">
        <v>1090</v>
      </c>
      <c r="J799" s="105"/>
      <c r="K799" s="101"/>
      <c r="L799" s="209"/>
      <c r="M799" s="210"/>
      <c r="N799" s="210"/>
      <c r="O799" s="210"/>
      <c r="P799" s="210"/>
      <c r="Q799" s="210"/>
      <c r="R799" s="210"/>
      <c r="S799" s="210"/>
      <c r="T799" s="210"/>
      <c r="U799" s="210"/>
      <c r="V799" s="210"/>
      <c r="W799" s="210"/>
      <c r="X799" s="210"/>
      <c r="Y799" s="210"/>
      <c r="Z799" s="210"/>
      <c r="AA799" s="210"/>
      <c r="AB799" s="210"/>
    </row>
    <row r="800" ht="12.75" customHeight="1">
      <c r="A800" s="212">
        <v>45341</v>
      </c>
      <c r="B800" s="107"/>
      <c r="C800" t="s" s="115">
        <v>32</v>
      </c>
      <c r="D800" t="s" s="109">
        <v>917</v>
      </c>
      <c r="E800" s="110"/>
      <c r="F800" s="111"/>
      <c r="G800" s="112">
        <v>632293.9</v>
      </c>
      <c r="H800" s="113" cm="1">
        <f t="array" ref="H800">G800/I800</f>
        <v>580.086146788991</v>
      </c>
      <c r="I800" s="114">
        <v>1090</v>
      </c>
      <c r="J800" s="163"/>
      <c r="K800" s="111"/>
      <c r="L800" s="164"/>
      <c r="M800" s="165"/>
      <c r="N800" s="165"/>
      <c r="O800" s="165"/>
      <c r="P800" s="165"/>
      <c r="Q800" s="165"/>
      <c r="R800" s="165"/>
      <c r="S800" s="165"/>
      <c r="T800" s="165"/>
      <c r="U800" s="165"/>
      <c r="V800" s="165"/>
      <c r="W800" s="165"/>
      <c r="X800" s="165"/>
      <c r="Y800" s="165"/>
      <c r="Z800" s="165"/>
      <c r="AA800" s="165"/>
      <c r="AB800" s="166"/>
    </row>
    <row r="801" ht="12.75" customHeight="1">
      <c r="A801" s="205">
        <v>45345</v>
      </c>
      <c r="B801" s="98"/>
      <c r="C801" t="s" s="116">
        <v>34</v>
      </c>
      <c r="D801" t="s" s="79">
        <v>916</v>
      </c>
      <c r="E801" s="100"/>
      <c r="F801" s="101"/>
      <c r="G801" s="102">
        <v>17743.58</v>
      </c>
      <c r="H801" s="103" cm="1">
        <f t="array" ref="H801">G801/I801</f>
        <v>16.582785046729</v>
      </c>
      <c r="I801" s="104">
        <v>1070</v>
      </c>
      <c r="J801" s="105"/>
      <c r="K801" s="101"/>
      <c r="L801" s="209"/>
      <c r="M801" s="210"/>
      <c r="N801" s="210"/>
      <c r="O801" s="210"/>
      <c r="P801" s="210"/>
      <c r="Q801" s="210"/>
      <c r="R801" s="210"/>
      <c r="S801" s="210"/>
      <c r="T801" s="210"/>
      <c r="U801" s="210"/>
      <c r="V801" s="210"/>
      <c r="W801" s="210"/>
      <c r="X801" s="210"/>
      <c r="Y801" s="210"/>
      <c r="Z801" s="210"/>
      <c r="AA801" s="210"/>
      <c r="AB801" s="210"/>
    </row>
    <row r="802" ht="12.75" customHeight="1">
      <c r="A802" s="212">
        <v>45345</v>
      </c>
      <c r="B802" s="107"/>
      <c r="C802" t="s" s="115">
        <v>99</v>
      </c>
      <c r="D802" t="s" s="109">
        <v>918</v>
      </c>
      <c r="E802" s="110"/>
      <c r="F802" s="111"/>
      <c r="G802" s="112">
        <v>550959.61</v>
      </c>
      <c r="H802" s="113" cm="1">
        <f t="array" ref="H802">G802/I802</f>
        <v>514.915523364486</v>
      </c>
      <c r="I802" s="114">
        <v>1070</v>
      </c>
      <c r="J802" s="163"/>
      <c r="K802" s="111"/>
      <c r="L802" s="164"/>
      <c r="M802" s="165"/>
      <c r="N802" s="165"/>
      <c r="O802" s="165"/>
      <c r="P802" s="165"/>
      <c r="Q802" s="165"/>
      <c r="R802" s="165"/>
      <c r="S802" s="165"/>
      <c r="T802" s="165"/>
      <c r="U802" s="165"/>
      <c r="V802" s="165"/>
      <c r="W802" s="165"/>
      <c r="X802" s="165"/>
      <c r="Y802" s="165"/>
      <c r="Z802" s="165"/>
      <c r="AA802" s="165"/>
      <c r="AB802" s="166"/>
    </row>
    <row r="803" ht="12.75" customHeight="1">
      <c r="A803" s="205">
        <v>45348</v>
      </c>
      <c r="B803" s="121">
        <v>6095</v>
      </c>
      <c r="C803" t="s" s="116">
        <v>149</v>
      </c>
      <c r="D803" t="s" s="79">
        <v>919</v>
      </c>
      <c r="E803" s="100"/>
      <c r="F803" s="101"/>
      <c r="G803" s="102">
        <v>108800</v>
      </c>
      <c r="H803" s="103" cm="1">
        <f t="array" ref="H803">G803/I803</f>
        <v>101.682242990654</v>
      </c>
      <c r="I803" s="104">
        <v>1070</v>
      </c>
      <c r="J803" s="105"/>
      <c r="K803" s="101"/>
      <c r="L803" s="209"/>
      <c r="M803" s="210"/>
      <c r="N803" s="210"/>
      <c r="O803" s="210"/>
      <c r="P803" s="210"/>
      <c r="Q803" s="210"/>
      <c r="R803" s="210"/>
      <c r="S803" s="210"/>
      <c r="T803" s="210"/>
      <c r="U803" s="210"/>
      <c r="V803" s="210"/>
      <c r="W803" s="210"/>
      <c r="X803" s="210"/>
      <c r="Y803" s="210"/>
      <c r="Z803" s="210"/>
      <c r="AA803" s="210"/>
      <c r="AB803" s="210"/>
    </row>
    <row r="804" ht="12.75" customHeight="1">
      <c r="A804" s="212">
        <v>45352</v>
      </c>
      <c r="B804" s="124">
        <v>6327</v>
      </c>
      <c r="C804" t="s" s="115">
        <v>920</v>
      </c>
      <c r="D804" t="s" s="109">
        <v>921</v>
      </c>
      <c r="E804" s="110"/>
      <c r="F804" s="111"/>
      <c r="G804" s="112">
        <v>145999.98</v>
      </c>
      <c r="H804" s="113">
        <v>145</v>
      </c>
      <c r="I804" s="114">
        <v>1007</v>
      </c>
      <c r="J804" s="163"/>
      <c r="K804" s="111"/>
      <c r="L804" s="164"/>
      <c r="M804" s="165"/>
      <c r="N804" s="165"/>
      <c r="O804" s="165"/>
      <c r="P804" s="165"/>
      <c r="Q804" s="165"/>
      <c r="R804" s="165"/>
      <c r="S804" s="165"/>
      <c r="T804" s="165"/>
      <c r="U804" s="165"/>
      <c r="V804" s="165"/>
      <c r="W804" s="165"/>
      <c r="X804" s="165"/>
      <c r="Y804" s="165"/>
      <c r="Z804" s="165"/>
      <c r="AA804" s="165"/>
      <c r="AB804" s="166"/>
    </row>
    <row r="805" ht="12.75" customHeight="1">
      <c r="A805" s="205">
        <v>45355</v>
      </c>
      <c r="B805" s="98"/>
      <c r="C805" t="s" s="116">
        <v>99</v>
      </c>
      <c r="D805" t="s" s="79">
        <v>922</v>
      </c>
      <c r="E805" s="100"/>
      <c r="F805" s="101"/>
      <c r="G805" s="102">
        <v>9580.18</v>
      </c>
      <c r="H805" s="103" cm="1">
        <f t="array" ref="H805">G805/I805</f>
        <v>9.58018</v>
      </c>
      <c r="I805" s="104">
        <v>1000</v>
      </c>
      <c r="J805" s="105"/>
      <c r="K805" s="101"/>
      <c r="L805" s="209"/>
      <c r="M805" s="210"/>
      <c r="N805" s="210"/>
      <c r="O805" s="210"/>
      <c r="P805" s="210"/>
      <c r="Q805" s="210"/>
      <c r="R805" s="210"/>
      <c r="S805" s="210"/>
      <c r="T805" s="210"/>
      <c r="U805" s="210"/>
      <c r="V805" s="210"/>
      <c r="W805" s="210"/>
      <c r="X805" s="210"/>
      <c r="Y805" s="210"/>
      <c r="Z805" s="210"/>
      <c r="AA805" s="210"/>
      <c r="AB805" s="210"/>
    </row>
    <row r="806" ht="12.75" customHeight="1">
      <c r="A806" s="212">
        <v>45356</v>
      </c>
      <c r="B806" s="124">
        <v>6192</v>
      </c>
      <c r="C806" t="s" s="115">
        <v>923</v>
      </c>
      <c r="D806" t="s" s="109">
        <v>924</v>
      </c>
      <c r="E806" s="110"/>
      <c r="F806" s="111"/>
      <c r="G806" s="112">
        <v>127330</v>
      </c>
      <c r="H806" s="113" cm="1">
        <f t="array" ref="H806">G806/I806</f>
        <v>127.33</v>
      </c>
      <c r="I806" s="114">
        <v>1000</v>
      </c>
      <c r="J806" s="163"/>
      <c r="K806" s="111"/>
      <c r="L806" s="164"/>
      <c r="M806" s="165"/>
      <c r="N806" s="165"/>
      <c r="O806" s="165"/>
      <c r="P806" s="165"/>
      <c r="Q806" s="165"/>
      <c r="R806" s="165"/>
      <c r="S806" s="165"/>
      <c r="T806" s="165"/>
      <c r="U806" s="165"/>
      <c r="V806" s="165"/>
      <c r="W806" s="165"/>
      <c r="X806" s="165"/>
      <c r="Y806" s="165"/>
      <c r="Z806" s="165"/>
      <c r="AA806" s="165"/>
      <c r="AB806" s="166"/>
    </row>
    <row r="807" ht="12.75" customHeight="1">
      <c r="A807" s="205">
        <v>45357</v>
      </c>
      <c r="B807" s="121">
        <v>1323</v>
      </c>
      <c r="C807" t="s" s="116">
        <v>247</v>
      </c>
      <c r="D807" t="s" s="79">
        <v>925</v>
      </c>
      <c r="E807" s="100"/>
      <c r="F807" s="101"/>
      <c r="G807" s="102">
        <v>30000</v>
      </c>
      <c r="H807" s="103" cm="1">
        <f t="array" ref="H807">G807/I807</f>
        <v>30.7692307692308</v>
      </c>
      <c r="I807" s="104">
        <v>975</v>
      </c>
      <c r="J807" s="105"/>
      <c r="K807" s="101"/>
      <c r="L807" s="209"/>
      <c r="M807" s="210"/>
      <c r="N807" s="210"/>
      <c r="O807" s="210"/>
      <c r="P807" s="210"/>
      <c r="Q807" s="210"/>
      <c r="R807" s="210"/>
      <c r="S807" s="210"/>
      <c r="T807" s="210"/>
      <c r="U807" s="210"/>
      <c r="V807" s="210"/>
      <c r="W807" s="210"/>
      <c r="X807" s="210"/>
      <c r="Y807" s="210"/>
      <c r="Z807" s="210"/>
      <c r="AA807" s="210"/>
      <c r="AB807" s="210"/>
    </row>
    <row r="808" ht="12.75" customHeight="1">
      <c r="A808" s="212">
        <v>45370</v>
      </c>
      <c r="B808" s="107"/>
      <c r="C808" t="s" s="115">
        <v>99</v>
      </c>
      <c r="D808" t="s" s="109">
        <v>916</v>
      </c>
      <c r="E808" s="110"/>
      <c r="F808" s="111"/>
      <c r="G808" s="112">
        <v>646921.05</v>
      </c>
      <c r="H808" s="113" cm="1">
        <f t="array" ref="H808">G808/I808</f>
        <v>637.360640394089</v>
      </c>
      <c r="I808" s="114">
        <v>1015</v>
      </c>
      <c r="J808" s="163"/>
      <c r="K808" s="111"/>
      <c r="L808" s="164"/>
      <c r="M808" s="165"/>
      <c r="N808" s="165"/>
      <c r="O808" s="165"/>
      <c r="P808" s="165"/>
      <c r="Q808" s="165"/>
      <c r="R808" s="165"/>
      <c r="S808" s="165"/>
      <c r="T808" s="165"/>
      <c r="U808" s="165"/>
      <c r="V808" s="165"/>
      <c r="W808" s="165"/>
      <c r="X808" s="165"/>
      <c r="Y808" s="165"/>
      <c r="Z808" s="165"/>
      <c r="AA808" s="165"/>
      <c r="AB808" s="166"/>
    </row>
    <row r="809" ht="12.75" customHeight="1">
      <c r="A809" s="205">
        <v>45371</v>
      </c>
      <c r="B809" s="98"/>
      <c r="C809" t="s" s="116">
        <v>41</v>
      </c>
      <c r="D809" t="s" s="79">
        <v>926</v>
      </c>
      <c r="E809" s="100"/>
      <c r="F809" s="101"/>
      <c r="G809" s="102">
        <v>102801.64</v>
      </c>
      <c r="H809" s="103" cm="1">
        <f t="array" ref="H809">G809/I809</f>
        <v>101.282403940887</v>
      </c>
      <c r="I809" s="104">
        <v>1015</v>
      </c>
      <c r="J809" s="105"/>
      <c r="K809" s="101"/>
      <c r="L809" s="209"/>
      <c r="M809" s="210"/>
      <c r="N809" s="210"/>
      <c r="O809" s="210"/>
      <c r="P809" s="210"/>
      <c r="Q809" s="210"/>
      <c r="R809" s="210"/>
      <c r="S809" s="210"/>
      <c r="T809" s="210"/>
      <c r="U809" s="210"/>
      <c r="V809" s="210"/>
      <c r="W809" s="210"/>
      <c r="X809" s="210"/>
      <c r="Y809" s="210"/>
      <c r="Z809" s="210"/>
      <c r="AA809" s="210"/>
      <c r="AB809" s="210"/>
    </row>
    <row r="810" ht="12.75" customHeight="1">
      <c r="A810" s="212">
        <v>45373</v>
      </c>
      <c r="B810" s="107"/>
      <c r="C810" t="s" s="115">
        <v>34</v>
      </c>
      <c r="D810" t="s" s="109">
        <v>926</v>
      </c>
      <c r="E810" s="110"/>
      <c r="F810" s="111"/>
      <c r="G810" s="112">
        <v>23451.09</v>
      </c>
      <c r="H810" s="113" cm="1">
        <f t="array" ref="H810">G810/I810</f>
        <v>23.218900990099</v>
      </c>
      <c r="I810" s="114">
        <v>1010</v>
      </c>
      <c r="J810" s="163"/>
      <c r="K810" s="111"/>
      <c r="L810" s="164"/>
      <c r="M810" s="165"/>
      <c r="N810" s="165"/>
      <c r="O810" s="165"/>
      <c r="P810" s="165"/>
      <c r="Q810" s="165"/>
      <c r="R810" s="165"/>
      <c r="S810" s="165"/>
      <c r="T810" s="165"/>
      <c r="U810" s="165"/>
      <c r="V810" s="165"/>
      <c r="W810" s="165"/>
      <c r="X810" s="165"/>
      <c r="Y810" s="165"/>
      <c r="Z810" s="165"/>
      <c r="AA810" s="165"/>
      <c r="AB810" s="166"/>
    </row>
    <row r="811" ht="12.75" customHeight="1">
      <c r="A811" s="205">
        <v>45377</v>
      </c>
      <c r="B811" s="98"/>
      <c r="C811" t="s" s="116">
        <v>198</v>
      </c>
      <c r="D811" s="216"/>
      <c r="E811" s="100"/>
      <c r="F811" s="101"/>
      <c r="G811" s="102">
        <v>194724</v>
      </c>
      <c r="H811" s="103" cm="1">
        <f t="array" ref="H811">G811/I811</f>
        <v>193.755223880597</v>
      </c>
      <c r="I811" s="104">
        <v>1005</v>
      </c>
      <c r="J811" s="105"/>
      <c r="K811" s="101"/>
      <c r="L811" s="209"/>
      <c r="M811" s="210"/>
      <c r="N811" s="210"/>
      <c r="O811" s="210"/>
      <c r="P811" s="210"/>
      <c r="Q811" s="210"/>
      <c r="R811" s="210"/>
      <c r="S811" s="210"/>
      <c r="T811" s="210"/>
      <c r="U811" s="210"/>
      <c r="V811" s="210"/>
      <c r="W811" s="210"/>
      <c r="X811" s="210"/>
      <c r="Y811" s="210"/>
      <c r="Z811" s="210"/>
      <c r="AA811" s="210"/>
      <c r="AB811" s="210"/>
    </row>
    <row r="812" ht="12.75" customHeight="1">
      <c r="A812" s="212">
        <v>45392</v>
      </c>
      <c r="B812" s="107"/>
      <c r="C812" t="s" s="115">
        <v>32</v>
      </c>
      <c r="D812" t="s" s="109">
        <v>927</v>
      </c>
      <c r="E812" s="110"/>
      <c r="F812" s="111"/>
      <c r="G812" s="112">
        <v>742435.3</v>
      </c>
      <c r="H812" s="113" cm="1">
        <f t="array" ref="H812">G812/I812</f>
        <v>753.741421319797</v>
      </c>
      <c r="I812" s="114">
        <v>985</v>
      </c>
      <c r="J812" s="163"/>
      <c r="K812" s="111"/>
      <c r="L812" s="164"/>
      <c r="M812" s="165"/>
      <c r="N812" s="165"/>
      <c r="O812" s="165"/>
      <c r="P812" s="165"/>
      <c r="Q812" s="165"/>
      <c r="R812" s="165"/>
      <c r="S812" s="165"/>
      <c r="T812" s="165"/>
      <c r="U812" s="165"/>
      <c r="V812" s="165"/>
      <c r="W812" s="165"/>
      <c r="X812" s="165"/>
      <c r="Y812" s="165"/>
      <c r="Z812" s="165"/>
      <c r="AA812" s="165"/>
      <c r="AB812" s="166"/>
    </row>
    <row r="813" ht="12.75" customHeight="1">
      <c r="A813" s="205">
        <v>45397</v>
      </c>
      <c r="B813" s="98"/>
      <c r="C813" t="s" s="116">
        <v>41</v>
      </c>
      <c r="D813" t="s" s="79">
        <v>928</v>
      </c>
      <c r="E813" s="100"/>
      <c r="F813" s="101"/>
      <c r="G813" s="102">
        <v>102801.64</v>
      </c>
      <c r="H813" s="103" cm="1">
        <f t="array" ref="H813">G813/I813</f>
        <v>102.80164</v>
      </c>
      <c r="I813" s="104">
        <v>1000</v>
      </c>
      <c r="J813" s="105"/>
      <c r="K813" s="101"/>
      <c r="L813" s="209"/>
      <c r="M813" s="210"/>
      <c r="N813" s="210"/>
      <c r="O813" s="210"/>
      <c r="P813" s="210"/>
      <c r="Q813" s="210"/>
      <c r="R813" s="210"/>
      <c r="S813" s="210"/>
      <c r="T813" s="210"/>
      <c r="U813" s="210"/>
      <c r="V813" s="210"/>
      <c r="W813" s="210"/>
      <c r="X813" s="210"/>
      <c r="Y813" s="210"/>
      <c r="Z813" s="210"/>
      <c r="AA813" s="210"/>
      <c r="AB813" s="210"/>
    </row>
    <row r="814" ht="12.75" customHeight="1">
      <c r="A814" s="212">
        <v>45406</v>
      </c>
      <c r="B814" s="107"/>
      <c r="C814" t="s" s="115">
        <v>34</v>
      </c>
      <c r="D814" t="s" s="109">
        <v>928</v>
      </c>
      <c r="E814" s="110"/>
      <c r="F814" s="111"/>
      <c r="G814" s="112">
        <v>28346.11</v>
      </c>
      <c r="H814" s="113" cm="1">
        <f t="array" ref="H814">G814/I814</f>
        <v>27.7903039215686</v>
      </c>
      <c r="I814" s="114">
        <v>1020</v>
      </c>
      <c r="J814" s="163"/>
      <c r="K814" s="111"/>
      <c r="L814" s="164"/>
      <c r="M814" s="165"/>
      <c r="N814" s="165"/>
      <c r="O814" s="165"/>
      <c r="P814" s="165"/>
      <c r="Q814" s="165"/>
      <c r="R814" s="165"/>
      <c r="S814" s="165"/>
      <c r="T814" s="165"/>
      <c r="U814" s="165"/>
      <c r="V814" s="165"/>
      <c r="W814" s="165"/>
      <c r="X814" s="165"/>
      <c r="Y814" s="165"/>
      <c r="Z814" s="165"/>
      <c r="AA814" s="165"/>
      <c r="AB814" s="166"/>
    </row>
    <row r="815" ht="12.75" customHeight="1">
      <c r="A815" s="205">
        <v>45411</v>
      </c>
      <c r="B815" s="98"/>
      <c r="C815" t="s" s="116">
        <v>99</v>
      </c>
      <c r="D815" t="s" s="79">
        <v>929</v>
      </c>
      <c r="E815" s="100"/>
      <c r="F815" s="101"/>
      <c r="G815" s="102">
        <v>1092077.89</v>
      </c>
      <c r="H815" s="103" cm="1">
        <f t="array" ref="H815">G815/I815</f>
        <v>1060.2697961165</v>
      </c>
      <c r="I815" s="104">
        <v>1030</v>
      </c>
      <c r="J815" s="105"/>
      <c r="K815" s="101"/>
      <c r="L815" s="209"/>
      <c r="M815" s="210"/>
      <c r="N815" s="210"/>
      <c r="O815" s="210"/>
      <c r="P815" s="210"/>
      <c r="Q815" s="210"/>
      <c r="R815" s="210"/>
      <c r="S815" s="210"/>
      <c r="T815" s="210"/>
      <c r="U815" s="210"/>
      <c r="V815" s="210"/>
      <c r="W815" s="210"/>
      <c r="X815" s="210"/>
      <c r="Y815" s="210"/>
      <c r="Z815" s="210"/>
      <c r="AA815" s="210"/>
      <c r="AB815" s="210"/>
    </row>
    <row r="816" ht="12.75" customHeight="1">
      <c r="A816" s="212">
        <v>45432</v>
      </c>
      <c r="B816" s="107"/>
      <c r="C816" t="s" s="115">
        <v>99</v>
      </c>
      <c r="D816" t="s" s="109">
        <v>930</v>
      </c>
      <c r="E816" s="110"/>
      <c r="F816" s="111"/>
      <c r="G816" s="112">
        <v>1406106.77</v>
      </c>
      <c r="H816" s="113" cm="1">
        <f t="array" ref="H816">G816/I816</f>
        <v>1191.615906779660</v>
      </c>
      <c r="I816" s="114">
        <v>1180</v>
      </c>
      <c r="J816" s="163"/>
      <c r="K816" s="111"/>
      <c r="L816" s="164"/>
      <c r="M816" s="165"/>
      <c r="N816" s="165"/>
      <c r="O816" s="165"/>
      <c r="P816" s="165"/>
      <c r="Q816" s="165"/>
      <c r="R816" s="165"/>
      <c r="S816" s="165"/>
      <c r="T816" s="165"/>
      <c r="U816" s="165"/>
      <c r="V816" s="165"/>
      <c r="W816" s="165"/>
      <c r="X816" s="165"/>
      <c r="Y816" s="165"/>
      <c r="Z816" s="165"/>
      <c r="AA816" s="165"/>
      <c r="AB816" s="166"/>
    </row>
    <row r="817" ht="12.75" customHeight="1">
      <c r="A817" s="205">
        <v>45432</v>
      </c>
      <c r="B817" s="98"/>
      <c r="C817" t="s" s="116">
        <v>41</v>
      </c>
      <c r="D817" t="s" s="79">
        <v>931</v>
      </c>
      <c r="E817" s="100"/>
      <c r="F817" s="101"/>
      <c r="G817" s="102">
        <v>102801.64</v>
      </c>
      <c r="H817" s="103" cm="1">
        <f t="array" ref="H817">G817/I817</f>
        <v>87.1200338983051</v>
      </c>
      <c r="I817" s="104">
        <v>1180</v>
      </c>
      <c r="J817" s="105"/>
      <c r="K817" s="101"/>
      <c r="L817" s="209"/>
      <c r="M817" s="210"/>
      <c r="N817" s="210"/>
      <c r="O817" s="210"/>
      <c r="P817" s="210"/>
      <c r="Q817" s="210"/>
      <c r="R817" s="210"/>
      <c r="S817" s="210"/>
      <c r="T817" s="210"/>
      <c r="U817" s="210"/>
      <c r="V817" s="210"/>
      <c r="W817" s="210"/>
      <c r="X817" s="210"/>
      <c r="Y817" s="210"/>
      <c r="Z817" s="210"/>
      <c r="AA817" s="210"/>
      <c r="AB817" s="210"/>
    </row>
    <row r="818" ht="12.75" customHeight="1">
      <c r="A818" s="212">
        <v>45436</v>
      </c>
      <c r="B818" s="171"/>
      <c r="C818" t="s" s="217">
        <v>34</v>
      </c>
      <c r="D818" t="s" s="109">
        <v>931</v>
      </c>
      <c r="E818" s="110"/>
      <c r="F818" s="111"/>
      <c r="G818" s="112">
        <v>33048.29</v>
      </c>
      <c r="H818" s="113" cm="1">
        <f t="array" ref="H818">G818/I818</f>
        <v>27.088762295082</v>
      </c>
      <c r="I818" s="114">
        <v>1220</v>
      </c>
      <c r="J818" s="163"/>
      <c r="K818" s="111"/>
      <c r="L818" s="164"/>
      <c r="M818" s="165"/>
      <c r="N818" s="165"/>
      <c r="O818" s="165"/>
      <c r="P818" s="165"/>
      <c r="Q818" s="165"/>
      <c r="R818" s="165"/>
      <c r="S818" s="165"/>
      <c r="T818" s="165"/>
      <c r="U818" s="165"/>
      <c r="V818" s="165"/>
      <c r="W818" s="165"/>
      <c r="X818" s="165"/>
      <c r="Y818" s="165"/>
      <c r="Z818" s="165"/>
      <c r="AA818" s="165"/>
      <c r="AB818" s="166"/>
    </row>
    <row r="819" ht="12.75" customHeight="1">
      <c r="A819" s="205">
        <v>45450</v>
      </c>
      <c r="B819" s="98"/>
      <c r="C819" t="s" s="116">
        <v>932</v>
      </c>
      <c r="D819" t="s" s="79">
        <v>933</v>
      </c>
      <c r="E819" s="100"/>
      <c r="F819" s="101"/>
      <c r="G819" s="102">
        <v>136575</v>
      </c>
      <c r="H819" s="103" cm="1">
        <f t="array" ref="H819">G819/I819</f>
        <v>107.964426877470</v>
      </c>
      <c r="I819" s="104">
        <v>1265</v>
      </c>
      <c r="J819" s="105"/>
      <c r="K819" s="101"/>
      <c r="L819" s="209"/>
      <c r="M819" s="210"/>
      <c r="N819" s="210"/>
      <c r="O819" s="210"/>
      <c r="P819" s="210"/>
      <c r="Q819" s="210"/>
      <c r="R819" s="210"/>
      <c r="S819" s="210"/>
      <c r="T819" s="210"/>
      <c r="U819" s="210"/>
      <c r="V819" s="210"/>
      <c r="W819" s="210"/>
      <c r="X819" s="210"/>
      <c r="Y819" s="210"/>
      <c r="Z819" s="210"/>
      <c r="AA819" s="210"/>
      <c r="AB819" s="210"/>
    </row>
    <row r="820" ht="12.75" customHeight="1">
      <c r="A820" s="212">
        <v>45454</v>
      </c>
      <c r="B820" s="107"/>
      <c r="C820" t="s" s="115">
        <v>32</v>
      </c>
      <c r="D820" t="s" s="109">
        <v>934</v>
      </c>
      <c r="E820" s="110"/>
      <c r="F820" s="111"/>
      <c r="G820" s="112">
        <v>742435.3</v>
      </c>
      <c r="H820" s="113" cm="1">
        <f t="array" ref="H820">G820/I820</f>
        <v>573.309111969112</v>
      </c>
      <c r="I820" s="114">
        <v>1295</v>
      </c>
      <c r="J820" s="163"/>
      <c r="K820" s="111"/>
      <c r="L820" s="164"/>
      <c r="M820" s="165"/>
      <c r="N820" s="165"/>
      <c r="O820" s="165"/>
      <c r="P820" s="165"/>
      <c r="Q820" s="165"/>
      <c r="R820" s="165"/>
      <c r="S820" s="165"/>
      <c r="T820" s="165"/>
      <c r="U820" s="165"/>
      <c r="V820" s="165"/>
      <c r="W820" s="165"/>
      <c r="X820" s="165"/>
      <c r="Y820" s="165"/>
      <c r="Z820" s="165"/>
      <c r="AA820" s="165"/>
      <c r="AB820" s="166"/>
    </row>
    <row r="821" ht="12.75" customHeight="1">
      <c r="A821" s="205">
        <v>45457</v>
      </c>
      <c r="B821" s="98"/>
      <c r="C821" t="s" s="116">
        <v>41</v>
      </c>
      <c r="D821" t="s" s="79">
        <v>935</v>
      </c>
      <c r="E821" s="100"/>
      <c r="F821" s="101"/>
      <c r="G821" s="102">
        <v>102801.64</v>
      </c>
      <c r="H821" s="103" cm="1">
        <f t="array" ref="H821">G821/I821</f>
        <v>82.57159839357431</v>
      </c>
      <c r="I821" s="104">
        <v>1245</v>
      </c>
      <c r="J821" s="105"/>
      <c r="K821" s="101"/>
      <c r="L821" s="209"/>
      <c r="M821" s="210"/>
      <c r="N821" s="210"/>
      <c r="O821" s="210"/>
      <c r="P821" s="210"/>
      <c r="Q821" s="210"/>
      <c r="R821" s="210"/>
      <c r="S821" s="210"/>
      <c r="T821" s="210"/>
      <c r="U821" s="210"/>
      <c r="V821" s="210"/>
      <c r="W821" s="210"/>
      <c r="X821" s="210"/>
      <c r="Y821" s="210"/>
      <c r="Z821" s="210"/>
      <c r="AA821" s="210"/>
      <c r="AB821" s="210"/>
    </row>
    <row r="822" ht="12.75" customHeight="1">
      <c r="A822" s="212">
        <v>45460</v>
      </c>
      <c r="B822" s="171"/>
      <c r="C822" t="s" s="217">
        <v>149</v>
      </c>
      <c r="D822" t="s" s="109">
        <v>936</v>
      </c>
      <c r="E822" s="110"/>
      <c r="F822" s="111"/>
      <c r="G822" s="112">
        <v>323000</v>
      </c>
      <c r="H822" s="113" cm="1">
        <f t="array" ref="H822">G822/I822</f>
        <v>249.420849420849</v>
      </c>
      <c r="I822" s="114">
        <v>1295</v>
      </c>
      <c r="J822" s="163"/>
      <c r="K822" s="111"/>
      <c r="L822" s="164"/>
      <c r="M822" s="165"/>
      <c r="N822" s="165"/>
      <c r="O822" s="165"/>
      <c r="P822" s="165"/>
      <c r="Q822" s="165"/>
      <c r="R822" s="165"/>
      <c r="S822" s="165"/>
      <c r="T822" s="165"/>
      <c r="U822" s="165"/>
      <c r="V822" s="165"/>
      <c r="W822" s="165"/>
      <c r="X822" s="165"/>
      <c r="Y822" s="165"/>
      <c r="Z822" s="165"/>
      <c r="AA822" s="165"/>
      <c r="AB822" s="166"/>
    </row>
    <row r="823" ht="12.75" customHeight="1">
      <c r="A823" s="205">
        <v>45460</v>
      </c>
      <c r="B823" s="98"/>
      <c r="C823" t="s" s="116">
        <v>937</v>
      </c>
      <c r="D823" t="s" s="79">
        <v>938</v>
      </c>
      <c r="E823" s="100"/>
      <c r="F823" s="101"/>
      <c r="G823" s="102">
        <v>40574.47</v>
      </c>
      <c r="H823" s="103" cm="1">
        <f t="array" ref="H823">G823/I823</f>
        <v>31.3316370656371</v>
      </c>
      <c r="I823" s="104">
        <v>1295</v>
      </c>
      <c r="J823" s="105"/>
      <c r="K823" s="101"/>
      <c r="L823" s="209"/>
      <c r="M823" s="210"/>
      <c r="N823" s="210"/>
      <c r="O823" s="210"/>
      <c r="P823" s="210"/>
      <c r="Q823" s="210"/>
      <c r="R823" s="210"/>
      <c r="S823" s="210"/>
      <c r="T823" s="210"/>
      <c r="U823" s="210"/>
      <c r="V823" s="210"/>
      <c r="W823" s="210"/>
      <c r="X823" s="210"/>
      <c r="Y823" s="210"/>
      <c r="Z823" s="210"/>
      <c r="AA823" s="210"/>
      <c r="AB823" s="210"/>
    </row>
    <row r="824" ht="12.75" customHeight="1">
      <c r="A824" s="212">
        <v>45467</v>
      </c>
      <c r="B824" s="107"/>
      <c r="C824" t="s" s="115">
        <v>939</v>
      </c>
      <c r="D824" t="s" s="109">
        <v>935</v>
      </c>
      <c r="E824" s="110"/>
      <c r="F824" s="111"/>
      <c r="G824" s="112">
        <v>30728.68</v>
      </c>
      <c r="H824" s="113" cm="1">
        <f t="array" ref="H824">G824/I824</f>
        <v>23.3678174904943</v>
      </c>
      <c r="I824" s="114">
        <v>1315</v>
      </c>
      <c r="J824" s="163"/>
      <c r="K824" s="111"/>
      <c r="L824" s="164"/>
      <c r="M824" s="165"/>
      <c r="N824" s="165"/>
      <c r="O824" s="165"/>
      <c r="P824" s="165"/>
      <c r="Q824" s="165"/>
      <c r="R824" s="165"/>
      <c r="S824" s="165"/>
      <c r="T824" s="165"/>
      <c r="U824" s="165"/>
      <c r="V824" s="165"/>
      <c r="W824" s="165"/>
      <c r="X824" s="165"/>
      <c r="Y824" s="165"/>
      <c r="Z824" s="165"/>
      <c r="AA824" s="165"/>
      <c r="AB824" s="166"/>
    </row>
    <row r="825" ht="12.75" customHeight="1">
      <c r="A825" s="205">
        <v>45467</v>
      </c>
      <c r="B825" s="98"/>
      <c r="C825" t="s" s="116">
        <v>99</v>
      </c>
      <c r="D825" t="s" s="79">
        <v>940</v>
      </c>
      <c r="E825" s="100"/>
      <c r="F825" s="101"/>
      <c r="G825" s="102">
        <v>488083.67</v>
      </c>
      <c r="H825" s="103" cm="1">
        <f t="array" ref="H825">G825/I825</f>
        <v>371.166288973384</v>
      </c>
      <c r="I825" s="104">
        <v>1315</v>
      </c>
      <c r="J825" s="105"/>
      <c r="K825" s="101"/>
      <c r="L825" s="209"/>
      <c r="M825" s="210"/>
      <c r="N825" s="210"/>
      <c r="O825" s="210"/>
      <c r="P825" s="210"/>
      <c r="Q825" s="210"/>
      <c r="R825" s="210"/>
      <c r="S825" s="210"/>
      <c r="T825" s="210"/>
      <c r="U825" s="210"/>
      <c r="V825" s="210"/>
      <c r="W825" s="210"/>
      <c r="X825" s="210"/>
      <c r="Y825" s="210"/>
      <c r="Z825" s="210"/>
      <c r="AA825" s="210"/>
      <c r="AB825" s="210"/>
    </row>
    <row r="826" ht="12.75" customHeight="1">
      <c r="A826" s="212">
        <v>45476</v>
      </c>
      <c r="B826" s="124">
        <v>110367</v>
      </c>
      <c r="C826" t="s" s="115">
        <v>67</v>
      </c>
      <c r="D826" t="s" s="109">
        <v>941</v>
      </c>
      <c r="E826" s="110"/>
      <c r="F826" s="111"/>
      <c r="G826" s="112">
        <v>162721.41</v>
      </c>
      <c r="H826" s="113" cm="1">
        <f t="array" ref="H826">G826/I826</f>
        <v>117.065762589928</v>
      </c>
      <c r="I826" s="114">
        <v>1390</v>
      </c>
      <c r="J826" s="163"/>
      <c r="K826" s="111"/>
      <c r="L826" s="164"/>
      <c r="M826" s="165"/>
      <c r="N826" s="165"/>
      <c r="O826" s="165"/>
      <c r="P826" s="165"/>
      <c r="Q826" s="165"/>
      <c r="R826" s="165"/>
      <c r="S826" s="165"/>
      <c r="T826" s="165"/>
      <c r="U826" s="165"/>
      <c r="V826" s="165"/>
      <c r="W826" s="165"/>
      <c r="X826" s="165"/>
      <c r="Y826" s="165"/>
      <c r="Z826" s="165"/>
      <c r="AA826" s="165"/>
      <c r="AB826" s="166"/>
    </row>
    <row r="827" ht="12.75" customHeight="1">
      <c r="A827" s="205">
        <v>45477</v>
      </c>
      <c r="B827" s="121">
        <v>36961</v>
      </c>
      <c r="C827" t="s" s="116">
        <v>67</v>
      </c>
      <c r="D827" t="s" s="79">
        <v>942</v>
      </c>
      <c r="E827" s="100"/>
      <c r="F827" s="101"/>
      <c r="G827" s="102">
        <v>174344.36</v>
      </c>
      <c r="H827" s="103" cm="1">
        <f t="array" ref="H827">G827/I827</f>
        <v>125.427597122302</v>
      </c>
      <c r="I827" s="104">
        <v>1390</v>
      </c>
      <c r="J827" s="105"/>
      <c r="K827" s="101"/>
      <c r="L827" s="209"/>
      <c r="M827" s="210"/>
      <c r="N827" s="210"/>
      <c r="O827" s="210"/>
      <c r="P827" s="210"/>
      <c r="Q827" s="210"/>
      <c r="R827" s="210"/>
      <c r="S827" s="210"/>
      <c r="T827" s="210"/>
      <c r="U827" s="210"/>
      <c r="V827" s="210"/>
      <c r="W827" s="210"/>
      <c r="X827" s="210"/>
      <c r="Y827" s="210"/>
      <c r="Z827" s="210"/>
      <c r="AA827" s="210"/>
      <c r="AB827" s="210"/>
    </row>
    <row r="828" ht="12.75" customHeight="1">
      <c r="A828" s="212">
        <v>45491</v>
      </c>
      <c r="B828" s="107"/>
      <c r="C828" t="s" s="115">
        <v>99</v>
      </c>
      <c r="D828" t="s" s="109">
        <v>943</v>
      </c>
      <c r="E828" s="110"/>
      <c r="F828" s="111"/>
      <c r="G828" s="112">
        <v>474457.88</v>
      </c>
      <c r="H828" s="113" cm="1">
        <f t="array" ref="H828">G828/I828</f>
        <v>329.484638888889</v>
      </c>
      <c r="I828" s="114">
        <v>1440</v>
      </c>
      <c r="J828" s="163"/>
      <c r="K828" s="111"/>
      <c r="L828" s="164"/>
      <c r="M828" s="165"/>
      <c r="N828" s="165"/>
      <c r="O828" s="165"/>
      <c r="P828" s="165"/>
      <c r="Q828" s="165"/>
      <c r="R828" s="165"/>
      <c r="S828" s="165"/>
      <c r="T828" s="165"/>
      <c r="U828" s="165"/>
      <c r="V828" s="165"/>
      <c r="W828" s="165"/>
      <c r="X828" s="165"/>
      <c r="Y828" s="165"/>
      <c r="Z828" s="165"/>
      <c r="AA828" s="165"/>
      <c r="AB828" s="166"/>
    </row>
    <row r="829" ht="12.75" customHeight="1">
      <c r="A829" s="205">
        <v>45492</v>
      </c>
      <c r="B829" s="98"/>
      <c r="C829" t="s" s="116">
        <v>41</v>
      </c>
      <c r="D829" t="s" s="79">
        <v>944</v>
      </c>
      <c r="E829" s="100"/>
      <c r="F829" s="101"/>
      <c r="G829" s="102">
        <v>115885.86</v>
      </c>
      <c r="H829" s="103" cm="1">
        <f t="array" ref="H829">G829/I829</f>
        <v>81.03906293706289</v>
      </c>
      <c r="I829" s="104">
        <v>1430</v>
      </c>
      <c r="J829" s="105"/>
      <c r="K829" s="101"/>
      <c r="L829" s="209"/>
      <c r="M829" s="210"/>
      <c r="N829" s="210"/>
      <c r="O829" s="210"/>
      <c r="P829" s="210"/>
      <c r="Q829" s="210"/>
      <c r="R829" s="210"/>
      <c r="S829" s="210"/>
      <c r="T829" s="210"/>
      <c r="U829" s="210"/>
      <c r="V829" s="210"/>
      <c r="W829" s="210"/>
      <c r="X829" s="210"/>
      <c r="Y829" s="210"/>
      <c r="Z829" s="210"/>
      <c r="AA829" s="210"/>
      <c r="AB829" s="210"/>
    </row>
    <row r="830" ht="12.75" customHeight="1">
      <c r="A830" s="212">
        <v>45496</v>
      </c>
      <c r="B830" s="107"/>
      <c r="C830" t="s" s="115">
        <v>34</v>
      </c>
      <c r="D830" t="s" s="109">
        <v>944</v>
      </c>
      <c r="E830" s="110"/>
      <c r="F830" s="111"/>
      <c r="G830" s="112">
        <v>32628.97</v>
      </c>
      <c r="H830" s="113" cm="1">
        <f t="array" ref="H830">G830/I830</f>
        <v>22.8174615384615</v>
      </c>
      <c r="I830" s="114">
        <v>1430</v>
      </c>
      <c r="J830" s="163"/>
      <c r="K830" s="111"/>
      <c r="L830" s="164"/>
      <c r="M830" s="165"/>
      <c r="N830" s="165"/>
      <c r="O830" s="165"/>
      <c r="P830" s="165"/>
      <c r="Q830" s="165"/>
      <c r="R830" s="165"/>
      <c r="S830" s="165"/>
      <c r="T830" s="165"/>
      <c r="U830" s="165"/>
      <c r="V830" s="165"/>
      <c r="W830" s="165"/>
      <c r="X830" s="165"/>
      <c r="Y830" s="165"/>
      <c r="Z830" s="165"/>
      <c r="AA830" s="165"/>
      <c r="AB830" s="166"/>
    </row>
    <row r="831" ht="12.75" customHeight="1">
      <c r="A831" s="205">
        <v>45504</v>
      </c>
      <c r="B831" s="121">
        <v>12402</v>
      </c>
      <c r="C831" t="s" s="116">
        <v>276</v>
      </c>
      <c r="D831" t="s" s="79">
        <v>945</v>
      </c>
      <c r="E831" s="100"/>
      <c r="F831" s="101"/>
      <c r="G831" s="102">
        <v>8423.969999999999</v>
      </c>
      <c r="H831" s="103" cm="1">
        <f t="array" ref="H831">G831/I831</f>
        <v>6.2169520295203</v>
      </c>
      <c r="I831" s="104">
        <v>1355</v>
      </c>
      <c r="J831" s="105"/>
      <c r="K831" s="101"/>
      <c r="L831" s="209"/>
      <c r="M831" s="210"/>
      <c r="N831" s="210"/>
      <c r="O831" s="210"/>
      <c r="P831" s="210"/>
      <c r="Q831" s="210"/>
      <c r="R831" s="210"/>
      <c r="S831" s="210"/>
      <c r="T831" s="210"/>
      <c r="U831" s="210"/>
      <c r="V831" s="210"/>
      <c r="W831" s="210"/>
      <c r="X831" s="210"/>
      <c r="Y831" s="210"/>
      <c r="Z831" s="210"/>
      <c r="AA831" s="210"/>
      <c r="AB831" s="210"/>
    </row>
    <row r="832" ht="12.75" customHeight="1">
      <c r="A832" s="212">
        <v>45516</v>
      </c>
      <c r="B832" s="124">
        <v>111170</v>
      </c>
      <c r="C832" t="s" s="115">
        <v>67</v>
      </c>
      <c r="D832" t="s" s="109">
        <v>946</v>
      </c>
      <c r="E832" s="110"/>
      <c r="F832" s="111"/>
      <c r="G832" s="112">
        <v>28699.69</v>
      </c>
      <c r="H832" s="113" cm="1">
        <f t="array" ref="H832">G832/I832</f>
        <v>21.4176791044776</v>
      </c>
      <c r="I832" s="114">
        <v>1340</v>
      </c>
      <c r="J832" s="163"/>
      <c r="K832" s="111"/>
      <c r="L832" s="164"/>
      <c r="M832" s="165"/>
      <c r="N832" s="165"/>
      <c r="O832" s="165"/>
      <c r="P832" s="165"/>
      <c r="Q832" s="165"/>
      <c r="R832" s="165"/>
      <c r="S832" s="165"/>
      <c r="T832" s="165"/>
      <c r="U832" s="165"/>
      <c r="V832" s="165"/>
      <c r="W832" s="165"/>
      <c r="X832" s="165"/>
      <c r="Y832" s="165"/>
      <c r="Z832" s="165"/>
      <c r="AA832" s="165"/>
      <c r="AB832" s="166"/>
    </row>
    <row r="833" ht="12.75" customHeight="1">
      <c r="A833" s="205">
        <v>45517</v>
      </c>
      <c r="B833" s="98"/>
      <c r="C833" t="s" s="116">
        <v>32</v>
      </c>
      <c r="D833" t="s" s="79">
        <v>947</v>
      </c>
      <c r="E833" s="100"/>
      <c r="F833" s="101"/>
      <c r="G833" s="102">
        <v>742435.3</v>
      </c>
      <c r="H833" s="103" cm="1">
        <f t="array" ref="H833">G833/I833</f>
        <v>551.9965055762081</v>
      </c>
      <c r="I833" s="104">
        <v>1345</v>
      </c>
      <c r="J833" s="105"/>
      <c r="K833" s="101"/>
      <c r="L833" s="209"/>
      <c r="M833" s="210"/>
      <c r="N833" s="210"/>
      <c r="O833" s="210"/>
      <c r="P833" s="210"/>
      <c r="Q833" s="210"/>
      <c r="R833" s="210"/>
      <c r="S833" s="210"/>
      <c r="T833" s="210"/>
      <c r="U833" s="210"/>
      <c r="V833" s="210"/>
      <c r="W833" s="210"/>
      <c r="X833" s="210"/>
      <c r="Y833" s="210"/>
      <c r="Z833" s="210"/>
      <c r="AA833" s="210"/>
      <c r="AB833" s="210"/>
    </row>
    <row r="834" ht="12.75" customHeight="1">
      <c r="A834" s="212">
        <v>45517</v>
      </c>
      <c r="B834" s="124">
        <v>209</v>
      </c>
      <c r="C834" t="s" s="115">
        <v>948</v>
      </c>
      <c r="D834" t="s" s="109">
        <v>949</v>
      </c>
      <c r="E834" s="110"/>
      <c r="F834" s="111"/>
      <c r="G834" s="112">
        <v>80000</v>
      </c>
      <c r="H834" s="113" cm="1">
        <f t="array" ref="H834">G834/I834</f>
        <v>59.4795539033457</v>
      </c>
      <c r="I834" s="114">
        <v>1345</v>
      </c>
      <c r="J834" s="163"/>
      <c r="K834" s="111"/>
      <c r="L834" s="164"/>
      <c r="M834" s="165"/>
      <c r="N834" s="165"/>
      <c r="O834" s="165"/>
      <c r="P834" s="165"/>
      <c r="Q834" s="165"/>
      <c r="R834" s="165"/>
      <c r="S834" s="165"/>
      <c r="T834" s="165"/>
      <c r="U834" s="165"/>
      <c r="V834" s="165"/>
      <c r="W834" s="165"/>
      <c r="X834" s="165"/>
      <c r="Y834" s="165"/>
      <c r="Z834" s="165"/>
      <c r="AA834" s="165"/>
      <c r="AB834" s="166"/>
    </row>
    <row r="835" ht="12.75" customHeight="1">
      <c r="A835" s="205">
        <v>45519</v>
      </c>
      <c r="B835" s="98"/>
      <c r="C835" t="s" s="116">
        <v>41</v>
      </c>
      <c r="D835" t="s" s="79">
        <v>950</v>
      </c>
      <c r="E835" s="100"/>
      <c r="F835" s="101"/>
      <c r="G835" s="102">
        <v>115885.86</v>
      </c>
      <c r="H835" s="103" cm="1">
        <f t="array" ref="H835">G835/I835</f>
        <v>86.8058876404494</v>
      </c>
      <c r="I835" s="104">
        <v>1335</v>
      </c>
      <c r="J835" s="105"/>
      <c r="K835" s="101"/>
      <c r="L835" s="209"/>
      <c r="M835" s="210"/>
      <c r="N835" s="210"/>
      <c r="O835" s="210"/>
      <c r="P835" s="210"/>
      <c r="Q835" s="210"/>
      <c r="R835" s="210"/>
      <c r="S835" s="210"/>
      <c r="T835" s="210"/>
      <c r="U835" s="210"/>
      <c r="V835" s="210"/>
      <c r="W835" s="210"/>
      <c r="X835" s="210"/>
      <c r="Y835" s="210"/>
      <c r="Z835" s="210"/>
      <c r="AA835" s="210"/>
      <c r="AB835" s="210"/>
    </row>
    <row r="836" ht="12.75" customHeight="1">
      <c r="A836" s="212">
        <v>45526</v>
      </c>
      <c r="B836" s="107"/>
      <c r="C836" t="s" s="115">
        <v>99</v>
      </c>
      <c r="D836" t="s" s="109">
        <v>951</v>
      </c>
      <c r="E836" s="110"/>
      <c r="F836" s="111"/>
      <c r="G836" s="112">
        <v>496401.14</v>
      </c>
      <c r="H836" s="113" cm="1">
        <f t="array" ref="H836">G836/I836</f>
        <v>371.836059925094</v>
      </c>
      <c r="I836" s="114">
        <v>1335</v>
      </c>
      <c r="J836" s="163"/>
      <c r="K836" s="111"/>
      <c r="L836" s="164"/>
      <c r="M836" s="165"/>
      <c r="N836" s="165"/>
      <c r="O836" s="165"/>
      <c r="P836" s="165"/>
      <c r="Q836" s="165"/>
      <c r="R836" s="165"/>
      <c r="S836" s="165"/>
      <c r="T836" s="165"/>
      <c r="U836" s="165"/>
      <c r="V836" s="165"/>
      <c r="W836" s="165"/>
      <c r="X836" s="165"/>
      <c r="Y836" s="165"/>
      <c r="Z836" s="165"/>
      <c r="AA836" s="165"/>
      <c r="AB836" s="166"/>
    </row>
    <row r="837" ht="12.75" customHeight="1">
      <c r="A837" s="205">
        <v>45527</v>
      </c>
      <c r="B837" s="98"/>
      <c r="C837" t="s" s="116">
        <v>34</v>
      </c>
      <c r="D837" t="s" s="79">
        <v>950</v>
      </c>
      <c r="E837" s="100"/>
      <c r="F837" s="101"/>
      <c r="G837" s="102">
        <v>34436.38</v>
      </c>
      <c r="H837" s="103" cm="1">
        <f t="array" ref="H837">G837/I837</f>
        <v>25.7950411985019</v>
      </c>
      <c r="I837" s="104">
        <v>1335</v>
      </c>
      <c r="J837" s="105"/>
      <c r="K837" s="101"/>
      <c r="L837" s="209"/>
      <c r="M837" s="210"/>
      <c r="N837" s="210"/>
      <c r="O837" s="210"/>
      <c r="P837" s="210"/>
      <c r="Q837" s="210"/>
      <c r="R837" s="210"/>
      <c r="S837" s="210"/>
      <c r="T837" s="210"/>
      <c r="U837" s="210"/>
      <c r="V837" s="210"/>
      <c r="W837" s="210"/>
      <c r="X837" s="210"/>
      <c r="Y837" s="210"/>
      <c r="Z837" s="210"/>
      <c r="AA837" s="210"/>
      <c r="AB837" s="210"/>
    </row>
    <row r="838" ht="12.75" customHeight="1">
      <c r="A838" s="212">
        <v>45534</v>
      </c>
      <c r="B838" s="107"/>
      <c r="C838" s="108"/>
      <c r="D838" t="s" s="109">
        <v>952</v>
      </c>
      <c r="E838" s="110"/>
      <c r="F838" s="111"/>
      <c r="G838" s="112">
        <v>4100000</v>
      </c>
      <c r="H838" s="113">
        <v>3000</v>
      </c>
      <c r="I838" s="114">
        <v>1365</v>
      </c>
      <c r="J838" s="163"/>
      <c r="K838" s="111"/>
      <c r="L838" s="164"/>
      <c r="M838" s="165"/>
      <c r="N838" s="165"/>
      <c r="O838" s="165"/>
      <c r="P838" s="165"/>
      <c r="Q838" s="165"/>
      <c r="R838" s="165"/>
      <c r="S838" s="165"/>
      <c r="T838" s="165"/>
      <c r="U838" s="165"/>
      <c r="V838" s="165"/>
      <c r="W838" s="165"/>
      <c r="X838" s="165"/>
      <c r="Y838" s="165"/>
      <c r="Z838" s="165"/>
      <c r="AA838" s="165"/>
      <c r="AB838" s="166"/>
    </row>
    <row r="839" ht="12.75" customHeight="1">
      <c r="A839" s="205">
        <v>45537</v>
      </c>
      <c r="B839" s="121">
        <v>6521</v>
      </c>
      <c r="C839" t="s" s="116">
        <v>149</v>
      </c>
      <c r="D839" t="s" s="79">
        <v>953</v>
      </c>
      <c r="E839" s="100"/>
      <c r="F839" s="101"/>
      <c r="G839" s="102">
        <v>120000</v>
      </c>
      <c r="H839" s="103" cm="1">
        <f t="array" ref="H839">G839/I839</f>
        <v>93.0232558139535</v>
      </c>
      <c r="I839" s="104">
        <v>1290</v>
      </c>
      <c r="J839" s="105"/>
      <c r="K839" s="101"/>
      <c r="L839" s="209"/>
      <c r="M839" s="210"/>
      <c r="N839" s="210"/>
      <c r="O839" s="210"/>
      <c r="P839" s="210"/>
      <c r="Q839" s="210"/>
      <c r="R839" s="210"/>
      <c r="S839" s="210"/>
      <c r="T839" s="210"/>
      <c r="U839" s="210"/>
      <c r="V839" s="210"/>
      <c r="W839" s="210"/>
      <c r="X839" s="210"/>
      <c r="Y839" s="210"/>
      <c r="Z839" s="210"/>
      <c r="AA839" s="210"/>
      <c r="AB839" s="210"/>
    </row>
    <row r="840" ht="12.75" customHeight="1">
      <c r="A840" s="212">
        <v>45537</v>
      </c>
      <c r="B840" s="107"/>
      <c r="C840" t="s" s="115">
        <v>882</v>
      </c>
      <c r="D840" t="s" s="109">
        <v>954</v>
      </c>
      <c r="E840" s="110"/>
      <c r="F840" s="111"/>
      <c r="G840" s="112">
        <v>166813.63</v>
      </c>
      <c r="H840" s="113" cm="1">
        <f t="array" ref="H840">G840/I840</f>
        <v>129.312891472868</v>
      </c>
      <c r="I840" s="114">
        <v>1290</v>
      </c>
      <c r="J840" s="163"/>
      <c r="K840" s="111"/>
      <c r="L840" s="164"/>
      <c r="M840" s="165"/>
      <c r="N840" s="165"/>
      <c r="O840" s="165"/>
      <c r="P840" s="165"/>
      <c r="Q840" s="165"/>
      <c r="R840" s="165"/>
      <c r="S840" s="165"/>
      <c r="T840" s="165"/>
      <c r="U840" s="165"/>
      <c r="V840" s="165"/>
      <c r="W840" s="165"/>
      <c r="X840" s="165"/>
      <c r="Y840" s="165"/>
      <c r="Z840" s="165"/>
      <c r="AA840" s="165"/>
      <c r="AB840" s="166"/>
    </row>
    <row r="841" ht="12.75" customHeight="1">
      <c r="A841" s="205">
        <v>45545</v>
      </c>
      <c r="B841" s="121">
        <v>111841</v>
      </c>
      <c r="C841" t="s" s="116">
        <v>67</v>
      </c>
      <c r="D841" t="s" s="79">
        <v>955</v>
      </c>
      <c r="E841" s="100"/>
      <c r="F841" s="101"/>
      <c r="G841" s="102">
        <v>5846913.69</v>
      </c>
      <c r="H841" s="103" cm="1">
        <f t="array" ref="H841">G841/I841</f>
        <v>4622.066158102770</v>
      </c>
      <c r="I841" s="104">
        <v>1265</v>
      </c>
      <c r="J841" s="105"/>
      <c r="K841" s="101"/>
      <c r="L841" s="209"/>
      <c r="M841" s="210"/>
      <c r="N841" s="210"/>
      <c r="O841" s="210"/>
      <c r="P841" s="210"/>
      <c r="Q841" s="210"/>
      <c r="R841" s="210"/>
      <c r="S841" s="210"/>
      <c r="T841" s="210"/>
      <c r="U841" s="210"/>
      <c r="V841" s="210"/>
      <c r="W841" s="210"/>
      <c r="X841" s="210"/>
      <c r="Y841" s="210"/>
      <c r="Z841" s="210"/>
      <c r="AA841" s="210"/>
      <c r="AB841" s="210"/>
    </row>
    <row r="842" ht="12.75" customHeight="1">
      <c r="A842" s="212">
        <v>45547</v>
      </c>
      <c r="B842" s="124">
        <v>2991</v>
      </c>
      <c r="C842" t="s" s="115">
        <v>956</v>
      </c>
      <c r="D842" t="s" s="109">
        <v>957</v>
      </c>
      <c r="E842" s="110"/>
      <c r="F842" s="111"/>
      <c r="G842" s="112">
        <v>7329.3</v>
      </c>
      <c r="H842" s="113" cm="1">
        <f t="array" ref="H842">G842/I842</f>
        <v>5.79391304347826</v>
      </c>
      <c r="I842" s="114">
        <v>1265</v>
      </c>
      <c r="J842" s="163"/>
      <c r="K842" s="111"/>
      <c r="L842" s="164"/>
      <c r="M842" s="165"/>
      <c r="N842" s="165"/>
      <c r="O842" s="165"/>
      <c r="P842" s="165"/>
      <c r="Q842" s="165"/>
      <c r="R842" s="165"/>
      <c r="S842" s="165"/>
      <c r="T842" s="165"/>
      <c r="U842" s="165"/>
      <c r="V842" s="165"/>
      <c r="W842" s="165"/>
      <c r="X842" s="165"/>
      <c r="Y842" s="165"/>
      <c r="Z842" s="165"/>
      <c r="AA842" s="165"/>
      <c r="AB842" s="166"/>
    </row>
    <row r="843" ht="12.75" customHeight="1">
      <c r="A843" s="205">
        <v>45548</v>
      </c>
      <c r="B843" s="121">
        <v>13359</v>
      </c>
      <c r="C843" t="s" s="116">
        <v>276</v>
      </c>
      <c r="D843" t="s" s="79">
        <v>958</v>
      </c>
      <c r="E843" s="100"/>
      <c r="F843" s="101"/>
      <c r="G843" s="102">
        <v>166848.17</v>
      </c>
      <c r="H843" s="103" cm="1">
        <f t="array" ref="H843">G843/I843</f>
        <v>132.946749003984</v>
      </c>
      <c r="I843" s="104">
        <v>1255</v>
      </c>
      <c r="J843" s="105"/>
      <c r="K843" s="101"/>
      <c r="L843" s="209"/>
      <c r="M843" s="210"/>
      <c r="N843" s="210"/>
      <c r="O843" s="210"/>
      <c r="P843" s="210"/>
      <c r="Q843" s="210"/>
      <c r="R843" s="210"/>
      <c r="S843" s="210"/>
      <c r="T843" s="210"/>
      <c r="U843" s="210"/>
      <c r="V843" s="210"/>
      <c r="W843" s="210"/>
      <c r="X843" s="210"/>
      <c r="Y843" s="210"/>
      <c r="Z843" s="210"/>
      <c r="AA843" s="210"/>
      <c r="AB843" s="210"/>
    </row>
    <row r="844" ht="12.75" customHeight="1">
      <c r="A844" s="212">
        <v>45554</v>
      </c>
      <c r="B844" s="107"/>
      <c r="C844" t="s" s="115">
        <v>99</v>
      </c>
      <c r="D844" t="s" s="109">
        <v>959</v>
      </c>
      <c r="E844" s="110"/>
      <c r="F844" s="111"/>
      <c r="G844" s="112">
        <v>477886.33</v>
      </c>
      <c r="H844" s="113" cm="1">
        <f t="array" ref="H844">G844/I844</f>
        <v>390.111289795918</v>
      </c>
      <c r="I844" s="114">
        <v>1225</v>
      </c>
      <c r="J844" s="163"/>
      <c r="K844" s="111"/>
      <c r="L844" s="164"/>
      <c r="M844" s="165"/>
      <c r="N844" s="165"/>
      <c r="O844" s="165"/>
      <c r="P844" s="165"/>
      <c r="Q844" s="165"/>
      <c r="R844" s="165"/>
      <c r="S844" s="165"/>
      <c r="T844" s="165"/>
      <c r="U844" s="165"/>
      <c r="V844" s="165"/>
      <c r="W844" s="165"/>
      <c r="X844" s="165"/>
      <c r="Y844" s="165"/>
      <c r="Z844" s="165"/>
      <c r="AA844" s="165"/>
      <c r="AB844" s="166"/>
    </row>
    <row r="845" ht="12.75" customHeight="1">
      <c r="A845" s="205">
        <v>45554</v>
      </c>
      <c r="B845" s="98"/>
      <c r="C845" t="s" s="116">
        <v>41</v>
      </c>
      <c r="D845" t="s" s="79">
        <v>960</v>
      </c>
      <c r="E845" s="100"/>
      <c r="F845" s="101"/>
      <c r="G845" s="102">
        <v>115885.86</v>
      </c>
      <c r="H845" s="103" cm="1">
        <f t="array" ref="H845">G845/I845</f>
        <v>94.6007020408163</v>
      </c>
      <c r="I845" s="104">
        <v>1225</v>
      </c>
      <c r="J845" s="105"/>
      <c r="K845" s="101"/>
      <c r="L845" s="209"/>
      <c r="M845" s="210"/>
      <c r="N845" s="210"/>
      <c r="O845" s="210"/>
      <c r="P845" s="210"/>
      <c r="Q845" s="210"/>
      <c r="R845" s="210"/>
      <c r="S845" s="210"/>
      <c r="T845" s="210"/>
      <c r="U845" s="210"/>
      <c r="V845" s="210"/>
      <c r="W845" s="210"/>
      <c r="X845" s="210"/>
      <c r="Y845" s="210"/>
      <c r="Z845" s="210"/>
      <c r="AA845" s="210"/>
      <c r="AB845" s="210"/>
    </row>
    <row r="846" ht="12.75" customHeight="1">
      <c r="A846" s="212">
        <v>45559</v>
      </c>
      <c r="B846" s="124">
        <v>112119</v>
      </c>
      <c r="C846" t="s" s="115">
        <v>67</v>
      </c>
      <c r="D846" t="s" s="109">
        <v>961</v>
      </c>
      <c r="E846" s="110"/>
      <c r="F846" s="111"/>
      <c r="G846" s="112">
        <v>614170</v>
      </c>
      <c r="H846" s="113" cm="1">
        <f t="array" ref="H846">G846/I846</f>
        <v>499.325203252033</v>
      </c>
      <c r="I846" s="114">
        <v>1230</v>
      </c>
      <c r="J846" s="163"/>
      <c r="K846" s="111"/>
      <c r="L846" s="164"/>
      <c r="M846" s="165"/>
      <c r="N846" s="165"/>
      <c r="O846" s="165"/>
      <c r="P846" s="165"/>
      <c r="Q846" s="165"/>
      <c r="R846" s="165"/>
      <c r="S846" s="165"/>
      <c r="T846" s="165"/>
      <c r="U846" s="165"/>
      <c r="V846" s="165"/>
      <c r="W846" s="165"/>
      <c r="X846" s="165"/>
      <c r="Y846" s="165"/>
      <c r="Z846" s="165"/>
      <c r="AA846" s="165"/>
      <c r="AB846" s="166"/>
    </row>
    <row r="847" ht="12.75" customHeight="1">
      <c r="A847" s="205">
        <v>45559</v>
      </c>
      <c r="B847" s="98"/>
      <c r="C847" t="s" s="116">
        <v>34</v>
      </c>
      <c r="D847" t="s" s="79">
        <v>960</v>
      </c>
      <c r="E847" s="100"/>
      <c r="F847" s="101"/>
      <c r="G847" s="102">
        <v>45567.78</v>
      </c>
      <c r="H847" s="103" cm="1">
        <f t="array" ref="H847">G847/I847</f>
        <v>37.0469756097561</v>
      </c>
      <c r="I847" s="104">
        <v>1230</v>
      </c>
      <c r="J847" s="105"/>
      <c r="K847" s="101"/>
      <c r="L847" s="209"/>
      <c r="M847" s="210"/>
      <c r="N847" s="210"/>
      <c r="O847" s="210"/>
      <c r="P847" s="210"/>
      <c r="Q847" s="210"/>
      <c r="R847" s="210"/>
      <c r="S847" s="210"/>
      <c r="T847" s="210"/>
      <c r="U847" s="210"/>
      <c r="V847" s="210"/>
      <c r="W847" s="210"/>
      <c r="X847" s="210"/>
      <c r="Y847" s="210"/>
      <c r="Z847" s="210"/>
      <c r="AA847" s="210"/>
      <c r="AB847" s="210"/>
    </row>
    <row r="848" ht="12.75" customHeight="1">
      <c r="A848" s="212">
        <v>45570</v>
      </c>
      <c r="B848" s="124">
        <v>21238</v>
      </c>
      <c r="C848" t="s" s="115">
        <v>962</v>
      </c>
      <c r="D848" t="s" s="109">
        <v>963</v>
      </c>
      <c r="E848" s="110"/>
      <c r="F848" s="111"/>
      <c r="G848" s="112">
        <v>219790</v>
      </c>
      <c r="H848" s="113" cm="1">
        <f t="array" ref="H848">G848/I848</f>
        <v>187.854700854701</v>
      </c>
      <c r="I848" s="114">
        <v>1170</v>
      </c>
      <c r="J848" s="163"/>
      <c r="K848" s="111"/>
      <c r="L848" s="164"/>
      <c r="M848" s="165"/>
      <c r="N848" s="165"/>
      <c r="O848" s="165"/>
      <c r="P848" s="165"/>
      <c r="Q848" s="165"/>
      <c r="R848" s="165"/>
      <c r="S848" s="165"/>
      <c r="T848" s="165"/>
      <c r="U848" s="165"/>
      <c r="V848" s="165"/>
      <c r="W848" s="165"/>
      <c r="X848" s="165"/>
      <c r="Y848" s="165"/>
      <c r="Z848" s="165"/>
      <c r="AA848" s="165"/>
      <c r="AB848" s="166"/>
    </row>
    <row r="849" ht="12.75" customHeight="1">
      <c r="A849" s="205">
        <v>45580</v>
      </c>
      <c r="B849" s="98"/>
      <c r="C849" t="s" s="116">
        <v>41</v>
      </c>
      <c r="D849" t="s" s="79">
        <v>964</v>
      </c>
      <c r="E849" s="100"/>
      <c r="F849" s="101"/>
      <c r="G849" s="102">
        <v>115885.86</v>
      </c>
      <c r="H849" s="103" cm="1">
        <f t="array" ref="H849">G849/I849</f>
        <v>94.9884098360656</v>
      </c>
      <c r="I849" s="104">
        <v>1220</v>
      </c>
      <c r="J849" s="105"/>
      <c r="K849" s="101"/>
      <c r="L849" s="209"/>
      <c r="M849" s="210"/>
      <c r="N849" s="210"/>
      <c r="O849" s="210"/>
      <c r="P849" s="210"/>
      <c r="Q849" s="210"/>
      <c r="R849" s="210"/>
      <c r="S849" s="210"/>
      <c r="T849" s="210"/>
      <c r="U849" s="210"/>
      <c r="V849" s="210"/>
      <c r="W849" s="210"/>
      <c r="X849" s="210"/>
      <c r="Y849" s="210"/>
      <c r="Z849" s="210"/>
      <c r="AA849" s="210"/>
      <c r="AB849" s="210"/>
    </row>
    <row r="850" ht="12.75" customHeight="1">
      <c r="A850" s="212">
        <v>45586</v>
      </c>
      <c r="B850" s="107"/>
      <c r="C850" t="s" s="115">
        <v>99</v>
      </c>
      <c r="D850" t="s" s="109">
        <v>965</v>
      </c>
      <c r="E850" s="110"/>
      <c r="F850" s="111"/>
      <c r="G850" s="112">
        <v>499656.41</v>
      </c>
      <c r="H850" s="113" cm="1">
        <f t="array" ref="H850">G850/I850</f>
        <v>407.882783673469</v>
      </c>
      <c r="I850" s="114">
        <v>1225</v>
      </c>
      <c r="J850" s="163"/>
      <c r="K850" s="111"/>
      <c r="L850" s="164"/>
      <c r="M850" s="165"/>
      <c r="N850" s="165"/>
      <c r="O850" s="165"/>
      <c r="P850" s="165"/>
      <c r="Q850" s="165"/>
      <c r="R850" s="165"/>
      <c r="S850" s="165"/>
      <c r="T850" s="165"/>
      <c r="U850" s="165"/>
      <c r="V850" s="165"/>
      <c r="W850" s="165"/>
      <c r="X850" s="165"/>
      <c r="Y850" s="165"/>
      <c r="Z850" s="165"/>
      <c r="AA850" s="165"/>
      <c r="AB850" s="166"/>
    </row>
    <row r="851" ht="12.75" customHeight="1">
      <c r="A851" s="205">
        <v>45589</v>
      </c>
      <c r="B851" s="98"/>
      <c r="C851" t="s" s="116">
        <v>34</v>
      </c>
      <c r="D851" t="s" s="79">
        <v>964</v>
      </c>
      <c r="E851" s="100"/>
      <c r="F851" s="101"/>
      <c r="G851" s="102">
        <v>36891.66</v>
      </c>
      <c r="H851" s="103" cm="1">
        <f t="array" ref="H851">G851/I851</f>
        <v>28.3782</v>
      </c>
      <c r="I851" s="104">
        <v>1300</v>
      </c>
      <c r="J851" s="105"/>
      <c r="K851" s="101"/>
      <c r="L851" s="209"/>
      <c r="M851" s="210"/>
      <c r="N851" s="210"/>
      <c r="O851" s="210"/>
      <c r="P851" s="210"/>
      <c r="Q851" s="210"/>
      <c r="R851" s="210"/>
      <c r="S851" s="210"/>
      <c r="T851" s="210"/>
      <c r="U851" s="210"/>
      <c r="V851" s="210"/>
      <c r="W851" s="210"/>
      <c r="X851" s="210"/>
      <c r="Y851" s="210"/>
      <c r="Z851" s="210"/>
      <c r="AA851" s="210"/>
      <c r="AB851" s="210"/>
    </row>
    <row r="852" ht="12.75" customHeight="1">
      <c r="A852" s="212">
        <v>45608</v>
      </c>
      <c r="B852" s="124">
        <v>6732</v>
      </c>
      <c r="C852" t="s" s="115">
        <v>149</v>
      </c>
      <c r="D852" t="s" s="109">
        <v>966</v>
      </c>
      <c r="E852" s="110"/>
      <c r="F852" s="111"/>
      <c r="G852" s="112">
        <v>445000</v>
      </c>
      <c r="H852" s="113" cm="1">
        <f t="array" ref="H852">G852/I852</f>
        <v>399.103139013453</v>
      </c>
      <c r="I852" s="114">
        <v>1115</v>
      </c>
      <c r="J852" s="163"/>
      <c r="K852" s="111"/>
      <c r="L852" s="164"/>
      <c r="M852" s="165"/>
      <c r="N852" s="165"/>
      <c r="O852" s="165"/>
      <c r="P852" s="165"/>
      <c r="Q852" s="165"/>
      <c r="R852" s="165"/>
      <c r="S852" s="165"/>
      <c r="T852" s="165"/>
      <c r="U852" s="165"/>
      <c r="V852" s="165"/>
      <c r="W852" s="165"/>
      <c r="X852" s="165"/>
      <c r="Y852" s="165"/>
      <c r="Z852" s="165"/>
      <c r="AA852" s="165"/>
      <c r="AB852" s="166"/>
    </row>
    <row r="853" ht="12.75" customHeight="1">
      <c r="A853" s="205">
        <v>45615</v>
      </c>
      <c r="B853" s="121">
        <v>13359</v>
      </c>
      <c r="C853" t="s" s="116">
        <v>276</v>
      </c>
      <c r="D853" t="s" s="79">
        <v>958</v>
      </c>
      <c r="E853" s="100"/>
      <c r="F853" s="101"/>
      <c r="G853" s="102">
        <v>166848.17</v>
      </c>
      <c r="H853" s="103" cm="1">
        <f t="array" ref="H853">G853/I853</f>
        <v>148.971580357143</v>
      </c>
      <c r="I853" s="104">
        <v>1120</v>
      </c>
      <c r="J853" s="105"/>
      <c r="K853" s="101"/>
      <c r="L853" s="209"/>
      <c r="M853" s="210"/>
      <c r="N853" s="210"/>
      <c r="O853" s="210"/>
      <c r="P853" s="210"/>
      <c r="Q853" s="210"/>
      <c r="R853" s="210"/>
      <c r="S853" s="210"/>
      <c r="T853" s="210"/>
      <c r="U853" s="210"/>
      <c r="V853" s="210"/>
      <c r="W853" s="210"/>
      <c r="X853" s="210"/>
      <c r="Y853" s="210"/>
      <c r="Z853" s="210"/>
      <c r="AA853" s="210"/>
      <c r="AB853" s="210"/>
    </row>
    <row r="854" ht="12.75" customHeight="1">
      <c r="A854" s="212">
        <v>45616</v>
      </c>
      <c r="B854" s="107"/>
      <c r="C854" t="s" s="115">
        <v>41</v>
      </c>
      <c r="D854" t="s" s="109">
        <v>967</v>
      </c>
      <c r="E854" s="110"/>
      <c r="F854" s="111"/>
      <c r="G854" s="112">
        <v>115885.86</v>
      </c>
      <c r="H854" s="113" cm="1">
        <f t="array" ref="H854">G854/I854</f>
        <v>103.933506726457</v>
      </c>
      <c r="I854" s="114">
        <v>1115</v>
      </c>
      <c r="J854" s="163"/>
      <c r="K854" s="111"/>
      <c r="L854" s="164"/>
      <c r="M854" s="165"/>
      <c r="N854" s="165"/>
      <c r="O854" s="165"/>
      <c r="P854" s="165"/>
      <c r="Q854" s="165"/>
      <c r="R854" s="165"/>
      <c r="S854" s="165"/>
      <c r="T854" s="165"/>
      <c r="U854" s="165"/>
      <c r="V854" s="165"/>
      <c r="W854" s="165"/>
      <c r="X854" s="165"/>
      <c r="Y854" s="165"/>
      <c r="Z854" s="165"/>
      <c r="AA854" s="165"/>
      <c r="AB854" s="166"/>
    </row>
    <row r="855" ht="12.75" customHeight="1">
      <c r="A855" t="s" s="78">
        <v>968</v>
      </c>
      <c r="B855" s="98"/>
      <c r="C855" t="s" s="116">
        <v>99</v>
      </c>
      <c r="D855" t="s" s="79">
        <v>969</v>
      </c>
      <c r="E855" s="100"/>
      <c r="F855" s="101"/>
      <c r="G855" s="102">
        <v>529928.24</v>
      </c>
      <c r="H855" s="103" cm="1">
        <f t="array" ref="H855">G855/I855</f>
        <v>475.271964125561</v>
      </c>
      <c r="I855" s="104">
        <v>1115</v>
      </c>
      <c r="J855" s="105"/>
      <c r="K855" s="101"/>
      <c r="L855" s="209"/>
      <c r="M855" s="210"/>
      <c r="N855" s="210"/>
      <c r="O855" s="210"/>
      <c r="P855" s="210"/>
      <c r="Q855" s="210"/>
      <c r="R855" s="210"/>
      <c r="S855" s="210"/>
      <c r="T855" s="210"/>
      <c r="U855" s="210"/>
      <c r="V855" s="210"/>
      <c r="W855" s="210"/>
      <c r="X855" s="210"/>
      <c r="Y855" s="210"/>
      <c r="Z855" s="210"/>
      <c r="AA855" s="210"/>
      <c r="AB855" s="210"/>
    </row>
    <row r="856" ht="12.75" customHeight="1">
      <c r="A856" s="212">
        <v>45621</v>
      </c>
      <c r="B856" s="107"/>
      <c r="C856" t="s" s="115">
        <v>34</v>
      </c>
      <c r="D856" t="s" s="109">
        <v>967</v>
      </c>
      <c r="E856" s="110"/>
      <c r="F856" s="111"/>
      <c r="G856" s="112">
        <v>39761.78</v>
      </c>
      <c r="H856" s="113" cm="1">
        <f t="array" ref="H856">G856/I856</f>
        <v>35.5015892857143</v>
      </c>
      <c r="I856" s="114">
        <v>1120</v>
      </c>
      <c r="J856" s="163"/>
      <c r="K856" s="111"/>
      <c r="L856" s="164"/>
      <c r="M856" s="165"/>
      <c r="N856" s="165"/>
      <c r="O856" s="165"/>
      <c r="P856" s="165"/>
      <c r="Q856" s="165"/>
      <c r="R856" s="165"/>
      <c r="S856" s="165"/>
      <c r="T856" s="165"/>
      <c r="U856" s="165"/>
      <c r="V856" s="165"/>
      <c r="W856" s="165"/>
      <c r="X856" s="165"/>
      <c r="Y856" s="165"/>
      <c r="Z856" s="165"/>
      <c r="AA856" s="165"/>
      <c r="AB856" s="166"/>
    </row>
    <row r="857" ht="12.75" customHeight="1">
      <c r="A857" s="205">
        <v>45642</v>
      </c>
      <c r="B857" s="98"/>
      <c r="C857" t="s" s="116">
        <v>41</v>
      </c>
      <c r="D857" t="s" s="79">
        <v>970</v>
      </c>
      <c r="E857" s="100"/>
      <c r="F857" s="101"/>
      <c r="G857" s="102">
        <v>115885.86</v>
      </c>
      <c r="H857" s="103" cm="1">
        <f t="array" ref="H857">G857/I857</f>
        <v>104.401675675676</v>
      </c>
      <c r="I857" s="104">
        <v>1110</v>
      </c>
      <c r="J857" s="105"/>
      <c r="K857" s="101"/>
      <c r="L857" s="209"/>
      <c r="M857" s="210"/>
      <c r="N857" s="210"/>
      <c r="O857" s="210"/>
      <c r="P857" s="210"/>
      <c r="Q857" s="210"/>
      <c r="R857" s="210"/>
      <c r="S857" s="210"/>
      <c r="T857" s="210"/>
      <c r="U857" s="210"/>
      <c r="V857" s="210"/>
      <c r="W857" s="210"/>
      <c r="X857" s="210"/>
      <c r="Y857" s="210"/>
      <c r="Z857" s="210"/>
      <c r="AA857" s="210"/>
      <c r="AB857" s="210"/>
    </row>
    <row r="858" ht="12.75" customHeight="1">
      <c r="A858" s="212">
        <v>45645</v>
      </c>
      <c r="B858" s="107"/>
      <c r="C858" t="s" s="115">
        <v>99</v>
      </c>
      <c r="D858" t="s" s="109">
        <v>967</v>
      </c>
      <c r="E858" s="110"/>
      <c r="F858" s="111"/>
      <c r="G858" s="112">
        <v>556258.4</v>
      </c>
      <c r="H858" s="113" cm="1">
        <f t="array" ref="H858">G858/I858</f>
        <v>465.488200836820</v>
      </c>
      <c r="I858" s="114">
        <v>1195</v>
      </c>
      <c r="J858" s="163"/>
      <c r="K858" s="111"/>
      <c r="L858" s="164"/>
      <c r="M858" s="165"/>
      <c r="N858" s="165"/>
      <c r="O858" s="165"/>
      <c r="P858" s="165"/>
      <c r="Q858" s="165"/>
      <c r="R858" s="165"/>
      <c r="S858" s="165"/>
      <c r="T858" s="165"/>
      <c r="U858" s="165"/>
      <c r="V858" s="165"/>
      <c r="W858" s="165"/>
      <c r="X858" s="165"/>
      <c r="Y858" s="165"/>
      <c r="Z858" s="165"/>
      <c r="AA858" s="165"/>
      <c r="AB858" s="166"/>
    </row>
    <row r="859" ht="12.75" customHeight="1">
      <c r="A859" s="205">
        <v>45649</v>
      </c>
      <c r="B859" s="98"/>
      <c r="C859" t="s" s="116">
        <v>34</v>
      </c>
      <c r="D859" t="s" s="79">
        <v>970</v>
      </c>
      <c r="E859" s="100"/>
      <c r="F859" s="101"/>
      <c r="G859" s="102">
        <v>41135.16</v>
      </c>
      <c r="H859" s="103" cm="1">
        <f t="array" ref="H859">G859/I859</f>
        <v>35.7697043478261</v>
      </c>
      <c r="I859" s="104">
        <v>1150</v>
      </c>
      <c r="J859" s="105"/>
      <c r="K859" s="101"/>
      <c r="L859" s="209"/>
      <c r="M859" s="210"/>
      <c r="N859" s="210"/>
      <c r="O859" s="210"/>
      <c r="P859" s="210"/>
      <c r="Q859" s="210"/>
      <c r="R859" s="210"/>
      <c r="S859" s="210"/>
      <c r="T859" s="210"/>
      <c r="U859" s="210"/>
      <c r="V859" s="210"/>
      <c r="W859" s="210"/>
      <c r="X859" s="210"/>
      <c r="Y859" s="210"/>
      <c r="Z859" s="210"/>
      <c r="AA859" s="210"/>
      <c r="AB859" s="210"/>
    </row>
    <row r="860" ht="12.75" customHeight="1">
      <c r="A860" s="212">
        <v>45664</v>
      </c>
      <c r="B860" s="124">
        <v>6804</v>
      </c>
      <c r="C860" t="s" s="115">
        <v>149</v>
      </c>
      <c r="D860" t="s" s="109">
        <v>971</v>
      </c>
      <c r="E860" s="110"/>
      <c r="F860" s="111"/>
      <c r="G860" s="112">
        <v>110000</v>
      </c>
      <c r="H860" s="113" cm="1">
        <f t="array" ref="H860">G860/I860</f>
        <v>92.05020920502091</v>
      </c>
      <c r="I860" s="114">
        <v>1195</v>
      </c>
      <c r="J860" s="163"/>
      <c r="K860" s="111"/>
      <c r="L860" s="164"/>
      <c r="M860" s="165"/>
      <c r="N860" s="165"/>
      <c r="O860" s="165"/>
      <c r="P860" s="165"/>
      <c r="Q860" s="165"/>
      <c r="R860" s="165"/>
      <c r="S860" s="165"/>
      <c r="T860" s="165"/>
      <c r="U860" s="165"/>
      <c r="V860" s="165"/>
      <c r="W860" s="165"/>
      <c r="X860" s="165"/>
      <c r="Y860" s="165"/>
      <c r="Z860" s="165"/>
      <c r="AA860" s="165"/>
      <c r="AB860" s="166"/>
    </row>
    <row r="861" ht="12.75" customHeight="1">
      <c r="A861" s="205">
        <v>45674</v>
      </c>
      <c r="B861" s="98"/>
      <c r="C861" t="s" s="116">
        <v>99</v>
      </c>
      <c r="D861" t="s" s="79">
        <v>972</v>
      </c>
      <c r="E861" s="100"/>
      <c r="F861" s="101"/>
      <c r="G861" s="102">
        <v>633290.47</v>
      </c>
      <c r="H861" s="103" cm="1">
        <f t="array" ref="H861">G861/I861</f>
        <v>516.971812244898</v>
      </c>
      <c r="I861" s="104">
        <v>1225</v>
      </c>
      <c r="J861" s="105"/>
      <c r="K861" s="101"/>
      <c r="L861" s="209"/>
      <c r="M861" s="210"/>
      <c r="N861" s="210"/>
      <c r="O861" s="210"/>
      <c r="P861" s="210"/>
      <c r="Q861" s="210"/>
      <c r="R861" s="210"/>
      <c r="S861" s="210"/>
      <c r="T861" s="210"/>
      <c r="U861" s="210"/>
      <c r="V861" s="210"/>
      <c r="W861" s="210"/>
      <c r="X861" s="210"/>
      <c r="Y861" s="210"/>
      <c r="Z861" s="210"/>
      <c r="AA861" s="210"/>
      <c r="AB861" s="210"/>
    </row>
    <row r="862" ht="12.75" customHeight="1">
      <c r="A862" s="212">
        <v>45675</v>
      </c>
      <c r="B862" s="107"/>
      <c r="C862" t="s" s="115">
        <v>34</v>
      </c>
      <c r="D862" t="s" s="109">
        <v>973</v>
      </c>
      <c r="E862" s="110"/>
      <c r="F862" s="111"/>
      <c r="G862" s="112">
        <v>45323.18</v>
      </c>
      <c r="H862" s="113" cm="1">
        <f t="array" ref="H862">G862/I862</f>
        <v>36.9985142857143</v>
      </c>
      <c r="I862" s="114">
        <v>1225</v>
      </c>
      <c r="J862" s="163"/>
      <c r="K862" s="111"/>
      <c r="L862" s="164"/>
      <c r="M862" s="165"/>
      <c r="N862" s="165"/>
      <c r="O862" s="165"/>
      <c r="P862" s="165"/>
      <c r="Q862" s="165"/>
      <c r="R862" s="165"/>
      <c r="S862" s="165"/>
      <c r="T862" s="165"/>
      <c r="U862" s="165"/>
      <c r="V862" s="165"/>
      <c r="W862" s="165"/>
      <c r="X862" s="165"/>
      <c r="Y862" s="165"/>
      <c r="Z862" s="165"/>
      <c r="AA862" s="165"/>
      <c r="AB862" s="166"/>
    </row>
    <row r="863" ht="12.75" customHeight="1">
      <c r="A863" s="205">
        <v>45675</v>
      </c>
      <c r="B863" s="98"/>
      <c r="C863" t="s" s="116">
        <v>41</v>
      </c>
      <c r="D863" t="s" s="79">
        <v>973</v>
      </c>
      <c r="E863" s="100"/>
      <c r="F863" s="101"/>
      <c r="G863" s="102">
        <v>162818.93</v>
      </c>
      <c r="H863" s="103" cm="1">
        <f t="array" ref="H863">G863/I863</f>
        <v>132.913412244898</v>
      </c>
      <c r="I863" s="104">
        <v>1225</v>
      </c>
      <c r="J863" s="105"/>
      <c r="K863" s="101"/>
      <c r="L863" s="209"/>
      <c r="M863" s="210"/>
      <c r="N863" s="210"/>
      <c r="O863" s="210"/>
      <c r="P863" s="210"/>
      <c r="Q863" s="210"/>
      <c r="R863" s="210"/>
      <c r="S863" s="210"/>
      <c r="T863" s="210"/>
      <c r="U863" s="210"/>
      <c r="V863" s="210"/>
      <c r="W863" s="210"/>
      <c r="X863" s="210"/>
      <c r="Y863" s="210"/>
      <c r="Z863" s="210"/>
      <c r="AA863" s="210"/>
      <c r="AB863" s="210"/>
    </row>
    <row r="864" ht="12.75" customHeight="1">
      <c r="A864" s="212">
        <v>45679</v>
      </c>
      <c r="B864" s="107"/>
      <c r="C864" t="s" s="115">
        <v>875</v>
      </c>
      <c r="D864" t="s" s="109">
        <v>974</v>
      </c>
      <c r="E864" s="110"/>
      <c r="F864" s="111"/>
      <c r="G864" s="112">
        <v>6737500</v>
      </c>
      <c r="H864" s="113">
        <v>5500</v>
      </c>
      <c r="I864" s="114">
        <v>1225</v>
      </c>
      <c r="J864" s="163"/>
      <c r="K864" s="111"/>
      <c r="L864" s="164"/>
      <c r="M864" s="165"/>
      <c r="N864" s="165"/>
      <c r="O864" s="165"/>
      <c r="P864" s="165"/>
      <c r="Q864" s="165"/>
      <c r="R864" s="165"/>
      <c r="S864" s="165"/>
      <c r="T864" s="165"/>
      <c r="U864" s="165"/>
      <c r="V864" s="165"/>
      <c r="W864" s="165"/>
      <c r="X864" s="165"/>
      <c r="Y864" s="165"/>
      <c r="Z864" s="165"/>
      <c r="AA864" s="165"/>
      <c r="AB864" s="166"/>
    </row>
    <row r="865" ht="12.75" customHeight="1">
      <c r="A865" s="205">
        <v>45694</v>
      </c>
      <c r="B865" s="121">
        <v>6890</v>
      </c>
      <c r="C865" t="s" s="116">
        <v>149</v>
      </c>
      <c r="D865" t="s" s="79">
        <v>975</v>
      </c>
      <c r="E865" s="100"/>
      <c r="F865" s="101"/>
      <c r="G865" s="102">
        <v>161500</v>
      </c>
      <c r="H865" s="103" cm="1">
        <f t="array" ref="H865">G865/I865</f>
        <v>134.024896265560</v>
      </c>
      <c r="I865" s="104">
        <v>1205</v>
      </c>
      <c r="J865" s="105"/>
      <c r="K865" s="101"/>
      <c r="L865" s="209"/>
      <c r="M865" s="210"/>
      <c r="N865" s="210"/>
      <c r="O865" s="210"/>
      <c r="P865" s="210"/>
      <c r="Q865" s="210"/>
      <c r="R865" s="210"/>
      <c r="S865" s="210"/>
      <c r="T865" s="210"/>
      <c r="U865" s="210"/>
      <c r="V865" s="210"/>
      <c r="W865" s="210"/>
      <c r="X865" s="210"/>
      <c r="Y865" s="210"/>
      <c r="Z865" s="210"/>
      <c r="AA865" s="210"/>
      <c r="AB865" s="210"/>
    </row>
    <row r="866" ht="12.75" customHeight="1">
      <c r="A866" s="212">
        <v>45699</v>
      </c>
      <c r="B866" s="107"/>
      <c r="C866" t="s" s="115">
        <v>41</v>
      </c>
      <c r="D866" t="s" s="109">
        <v>976</v>
      </c>
      <c r="E866" s="110"/>
      <c r="F866" s="111"/>
      <c r="G866" s="112">
        <v>162818.93</v>
      </c>
      <c r="H866" s="113" cm="1">
        <f t="array" ref="H866">G866/I866</f>
        <v>136.250150627615</v>
      </c>
      <c r="I866" s="114">
        <v>1195</v>
      </c>
      <c r="J866" s="163"/>
      <c r="K866" s="111"/>
      <c r="L866" s="164"/>
      <c r="M866" s="165"/>
      <c r="N866" s="165"/>
      <c r="O866" s="165"/>
      <c r="P866" s="165"/>
      <c r="Q866" s="165"/>
      <c r="R866" s="165"/>
      <c r="S866" s="165"/>
      <c r="T866" s="165"/>
      <c r="U866" s="165"/>
      <c r="V866" s="165"/>
      <c r="W866" s="165"/>
      <c r="X866" s="165"/>
      <c r="Y866" s="165"/>
      <c r="Z866" s="165"/>
      <c r="AA866" s="165"/>
      <c r="AB866" s="166"/>
    </row>
    <row r="867" ht="12.75" customHeight="1">
      <c r="A867" s="218">
        <v>45708</v>
      </c>
      <c r="B867" s="121">
        <v>6967</v>
      </c>
      <c r="C867" t="s" s="116">
        <v>149</v>
      </c>
      <c r="D867" t="s" s="79">
        <v>977</v>
      </c>
      <c r="E867" s="100"/>
      <c r="F867" s="101"/>
      <c r="G867" s="102">
        <v>161500</v>
      </c>
      <c r="H867" s="103" cm="1">
        <f t="array" ref="H867">G867/I867</f>
        <v>132.921810699588</v>
      </c>
      <c r="I867" s="104">
        <v>1215</v>
      </c>
      <c r="J867" s="105"/>
      <c r="K867" s="101"/>
      <c r="L867" s="209"/>
      <c r="M867" s="210"/>
      <c r="N867" s="210"/>
      <c r="O867" s="210"/>
      <c r="P867" s="210"/>
      <c r="Q867" s="210"/>
      <c r="R867" s="210"/>
      <c r="S867" s="210"/>
      <c r="T867" s="210"/>
      <c r="U867" s="210"/>
      <c r="V867" s="210"/>
      <c r="W867" s="210"/>
      <c r="X867" s="210"/>
      <c r="Y867" s="210"/>
      <c r="Z867" s="210"/>
      <c r="AA867" s="210"/>
      <c r="AB867" s="210"/>
    </row>
    <row r="868" ht="12.75" customHeight="1">
      <c r="A868" s="212">
        <v>45708</v>
      </c>
      <c r="B868" s="107"/>
      <c r="C868" t="s" s="115">
        <v>99</v>
      </c>
      <c r="D868" t="s" s="109">
        <v>973</v>
      </c>
      <c r="E868" s="110"/>
      <c r="F868" s="111"/>
      <c r="G868" s="112">
        <v>745486.21</v>
      </c>
      <c r="H868" s="113" cm="1">
        <f t="array" ref="H868">G868/I868</f>
        <v>613.568897119342</v>
      </c>
      <c r="I868" s="114">
        <v>1215</v>
      </c>
      <c r="J868" s="163"/>
      <c r="K868" s="111"/>
      <c r="L868" s="164"/>
      <c r="M868" s="165"/>
      <c r="N868" s="165"/>
      <c r="O868" s="165"/>
      <c r="P868" s="165"/>
      <c r="Q868" s="165"/>
      <c r="R868" s="165"/>
      <c r="S868" s="165"/>
      <c r="T868" s="165"/>
      <c r="U868" s="165"/>
      <c r="V868" s="165"/>
      <c r="W868" s="165"/>
      <c r="X868" s="165"/>
      <c r="Y868" s="165"/>
      <c r="Z868" s="165"/>
      <c r="AA868" s="165"/>
      <c r="AB868" s="166"/>
    </row>
    <row r="869" ht="12.75" customHeight="1">
      <c r="A869" s="218">
        <v>45708</v>
      </c>
      <c r="B869" s="98"/>
      <c r="C869" t="s" s="116">
        <v>34</v>
      </c>
      <c r="D869" t="s" s="79">
        <v>976</v>
      </c>
      <c r="E869" s="100"/>
      <c r="F869" s="101"/>
      <c r="G869" s="102">
        <v>46081.65</v>
      </c>
      <c r="H869" s="103" cm="1">
        <f t="array" ref="H869">G869/I869</f>
        <v>37.9272839506173</v>
      </c>
      <c r="I869" s="104">
        <v>1215</v>
      </c>
      <c r="J869" s="105"/>
      <c r="K869" s="101"/>
      <c r="L869" s="209"/>
      <c r="M869" s="210"/>
      <c r="N869" s="210"/>
      <c r="O869" s="210"/>
      <c r="P869" s="210"/>
      <c r="Q869" s="210"/>
      <c r="R869" s="210"/>
      <c r="S869" s="210"/>
      <c r="T869" s="210"/>
      <c r="U869" s="210"/>
      <c r="V869" s="210"/>
      <c r="W869" s="210"/>
      <c r="X869" s="210"/>
      <c r="Y869" s="210"/>
      <c r="Z869" s="210"/>
      <c r="AA869" s="210"/>
      <c r="AB869" s="210"/>
    </row>
    <row r="870" ht="12.75" customHeight="1">
      <c r="A870" s="212">
        <v>45715</v>
      </c>
      <c r="B870" s="107"/>
      <c r="C870" t="s" s="115">
        <v>978</v>
      </c>
      <c r="D870" t="s" s="109">
        <v>979</v>
      </c>
      <c r="E870" s="110"/>
      <c r="F870" s="111"/>
      <c r="G870" s="112">
        <v>242000000</v>
      </c>
      <c r="H870" s="113">
        <v>203800</v>
      </c>
      <c r="I870" s="114">
        <v>1195</v>
      </c>
      <c r="J870" s="163"/>
      <c r="K870" s="111"/>
      <c r="L870" s="164"/>
      <c r="M870" s="165"/>
      <c r="N870" s="165"/>
      <c r="O870" s="165"/>
      <c r="P870" s="165"/>
      <c r="Q870" s="165"/>
      <c r="R870" s="165"/>
      <c r="S870" s="165"/>
      <c r="T870" s="165"/>
      <c r="U870" s="165"/>
      <c r="V870" s="165"/>
      <c r="W870" s="165"/>
      <c r="X870" s="165"/>
      <c r="Y870" s="165"/>
      <c r="Z870" s="165"/>
      <c r="AA870" s="165"/>
      <c r="AB870" s="166"/>
    </row>
    <row r="871" ht="12.75" customHeight="1">
      <c r="A871" s="205">
        <v>45715</v>
      </c>
      <c r="B871" s="98"/>
      <c r="C871" t="s" s="116">
        <v>882</v>
      </c>
      <c r="D871" t="s" s="79">
        <v>980</v>
      </c>
      <c r="E871" s="100"/>
      <c r="F871" s="101"/>
      <c r="G871" s="102">
        <v>362007.89</v>
      </c>
      <c r="H871" s="103" cm="1">
        <f t="array" ref="H871">G871/I871</f>
        <v>302.935472803347</v>
      </c>
      <c r="I871" s="104">
        <v>1195</v>
      </c>
      <c r="J871" s="105"/>
      <c r="K871" s="101"/>
      <c r="L871" s="209"/>
      <c r="M871" s="210"/>
      <c r="N871" s="210"/>
      <c r="O871" s="210"/>
      <c r="P871" s="210"/>
      <c r="Q871" s="210"/>
      <c r="R871" s="210"/>
      <c r="S871" s="210"/>
      <c r="T871" s="210"/>
      <c r="U871" s="210"/>
      <c r="V871" s="210"/>
      <c r="W871" s="210"/>
      <c r="X871" s="210"/>
      <c r="Y871" s="210"/>
      <c r="Z871" s="210"/>
      <c r="AA871" s="210"/>
      <c r="AB871" s="210"/>
    </row>
    <row r="872" ht="12.75" customHeight="1">
      <c r="A872" s="219">
        <v>45724</v>
      </c>
      <c r="B872" s="124">
        <v>17612</v>
      </c>
      <c r="C872" t="s" s="115">
        <v>276</v>
      </c>
      <c r="D872" t="s" s="109">
        <v>981</v>
      </c>
      <c r="E872" s="110"/>
      <c r="F872" s="111"/>
      <c r="G872" s="112">
        <v>101342.08</v>
      </c>
      <c r="H872" s="113" cm="1">
        <f t="array" ref="H872">G872/I872</f>
        <v>84.1013112033195</v>
      </c>
      <c r="I872" s="114">
        <v>1205</v>
      </c>
      <c r="J872" s="163"/>
      <c r="K872" s="111"/>
      <c r="L872" s="164"/>
      <c r="M872" s="165"/>
      <c r="N872" s="165"/>
      <c r="O872" s="165"/>
      <c r="P872" s="165"/>
      <c r="Q872" s="165"/>
      <c r="R872" s="165"/>
      <c r="S872" s="165"/>
      <c r="T872" s="165"/>
      <c r="U872" s="165"/>
      <c r="V872" s="165"/>
      <c r="W872" s="165"/>
      <c r="X872" s="165"/>
      <c r="Y872" s="165"/>
      <c r="Z872" s="165"/>
      <c r="AA872" s="165"/>
      <c r="AB872" s="166"/>
    </row>
    <row r="873" ht="12.75" customHeight="1">
      <c r="A873" s="205">
        <v>45726</v>
      </c>
      <c r="B873" s="98"/>
      <c r="C873" t="s" s="116">
        <v>41</v>
      </c>
      <c r="D873" t="s" s="79">
        <v>982</v>
      </c>
      <c r="E873" s="100"/>
      <c r="F873" s="101"/>
      <c r="G873" s="102">
        <v>162818.93</v>
      </c>
      <c r="H873" s="103" cm="1">
        <f t="array" ref="H873">G873/I873</f>
        <v>134.007349794239</v>
      </c>
      <c r="I873" s="104">
        <v>1215</v>
      </c>
      <c r="J873" s="105"/>
      <c r="K873" s="101"/>
      <c r="L873" s="209"/>
      <c r="M873" s="210"/>
      <c r="N873" s="210"/>
      <c r="O873" s="210"/>
      <c r="P873" s="210"/>
      <c r="Q873" s="210"/>
      <c r="R873" s="210"/>
      <c r="S873" s="210"/>
      <c r="T873" s="210"/>
      <c r="U873" s="210"/>
      <c r="V873" s="210"/>
      <c r="W873" s="210"/>
      <c r="X873" s="210"/>
      <c r="Y873" s="210"/>
      <c r="Z873" s="210"/>
      <c r="AA873" s="210"/>
      <c r="AB873" s="210"/>
    </row>
    <row r="874" ht="12.75" customHeight="1">
      <c r="A874" s="212">
        <v>45727</v>
      </c>
      <c r="B874" s="107"/>
      <c r="C874" t="s" s="115">
        <v>32</v>
      </c>
      <c r="D874" t="s" s="109">
        <v>983</v>
      </c>
      <c r="E874" s="110"/>
      <c r="F874" s="111"/>
      <c r="G874" s="112">
        <v>2115125.1</v>
      </c>
      <c r="H874" s="113" cm="1">
        <f t="array" ref="H874">G874/I874</f>
        <v>1748.037272727270</v>
      </c>
      <c r="I874" s="114">
        <v>1210</v>
      </c>
      <c r="J874" s="163"/>
      <c r="K874" s="111"/>
      <c r="L874" s="164"/>
      <c r="M874" s="165"/>
      <c r="N874" s="165"/>
      <c r="O874" s="165"/>
      <c r="P874" s="165"/>
      <c r="Q874" s="165"/>
      <c r="R874" s="165"/>
      <c r="S874" s="165"/>
      <c r="T874" s="165"/>
      <c r="U874" s="165"/>
      <c r="V874" s="165"/>
      <c r="W874" s="165"/>
      <c r="X874" s="165"/>
      <c r="Y874" s="165"/>
      <c r="Z874" s="165"/>
      <c r="AA874" s="165"/>
      <c r="AB874" s="166"/>
    </row>
    <row r="875" ht="12.75" customHeight="1">
      <c r="A875" s="205">
        <v>45736</v>
      </c>
      <c r="B875" s="98"/>
      <c r="C875" t="s" s="116">
        <v>34</v>
      </c>
      <c r="D875" t="s" s="79">
        <v>982</v>
      </c>
      <c r="E875" s="100"/>
      <c r="F875" s="101"/>
      <c r="G875" s="102">
        <v>50183.55</v>
      </c>
      <c r="H875" s="103" cm="1">
        <f t="array" ref="H875">G875/I875</f>
        <v>39.5146062992126</v>
      </c>
      <c r="I875" s="104">
        <v>1270</v>
      </c>
      <c r="J875" s="105"/>
      <c r="K875" s="101"/>
      <c r="L875" s="209"/>
      <c r="M875" s="210"/>
      <c r="N875" s="210"/>
      <c r="O875" s="210"/>
      <c r="P875" s="210"/>
      <c r="Q875" s="210"/>
      <c r="R875" s="210"/>
      <c r="S875" s="210"/>
      <c r="T875" s="210"/>
      <c r="U875" s="210"/>
      <c r="V875" s="210"/>
      <c r="W875" s="210"/>
      <c r="X875" s="210"/>
      <c r="Y875" s="210"/>
      <c r="Z875" s="210"/>
      <c r="AA875" s="210"/>
      <c r="AB875" s="210"/>
    </row>
    <row r="876" ht="12.75" customHeight="1">
      <c r="A876" s="212">
        <v>45737</v>
      </c>
      <c r="B876" s="107"/>
      <c r="C876" t="s" s="115">
        <v>99</v>
      </c>
      <c r="D876" t="s" s="109">
        <v>984</v>
      </c>
      <c r="E876" s="110"/>
      <c r="F876" s="111"/>
      <c r="G876" s="112">
        <v>1004797.66</v>
      </c>
      <c r="H876" s="113" cm="1">
        <f t="array" ref="H876">G876/I876</f>
        <v>800.6355856573711</v>
      </c>
      <c r="I876" s="114">
        <v>1255</v>
      </c>
      <c r="J876" s="163"/>
      <c r="K876" s="111"/>
      <c r="L876" s="164"/>
      <c r="M876" s="165"/>
      <c r="N876" s="165"/>
      <c r="O876" s="165"/>
      <c r="P876" s="165"/>
      <c r="Q876" s="165"/>
      <c r="R876" s="165"/>
      <c r="S876" s="165"/>
      <c r="T876" s="165"/>
      <c r="U876" s="165"/>
      <c r="V876" s="165"/>
      <c r="W876" s="165"/>
      <c r="X876" s="165"/>
      <c r="Y876" s="165"/>
      <c r="Z876" s="165"/>
      <c r="AA876" s="165"/>
      <c r="AB876" s="166"/>
    </row>
    <row r="877" ht="12.75" customHeight="1">
      <c r="A877" s="205">
        <v>45742</v>
      </c>
      <c r="B877" s="121">
        <v>7003</v>
      </c>
      <c r="C877" t="s" s="116">
        <v>149</v>
      </c>
      <c r="D877" t="s" s="79">
        <v>985</v>
      </c>
      <c r="E877" s="100"/>
      <c r="F877" s="101"/>
      <c r="G877" s="102">
        <v>178500</v>
      </c>
      <c r="H877" s="103" cm="1">
        <f t="array" ref="H877">G877/I877</f>
        <v>138.910505836576</v>
      </c>
      <c r="I877" s="104">
        <v>1285</v>
      </c>
      <c r="J877" s="105"/>
      <c r="K877" s="101"/>
      <c r="L877" s="209"/>
      <c r="M877" s="210"/>
      <c r="N877" s="210"/>
      <c r="O877" s="210"/>
      <c r="P877" s="210"/>
      <c r="Q877" s="210"/>
      <c r="R877" s="210"/>
      <c r="S877" s="210"/>
      <c r="T877" s="210"/>
      <c r="U877" s="210"/>
      <c r="V877" s="210"/>
      <c r="W877" s="210"/>
      <c r="X877" s="210"/>
      <c r="Y877" s="210"/>
      <c r="Z877" s="210"/>
      <c r="AA877" s="210"/>
      <c r="AB877" s="210"/>
    </row>
    <row r="878" ht="12.75" customHeight="1">
      <c r="A878" s="212">
        <v>45747</v>
      </c>
      <c r="B878" s="124">
        <v>4570</v>
      </c>
      <c r="C878" t="s" s="115">
        <v>986</v>
      </c>
      <c r="D878" t="s" s="109">
        <v>987</v>
      </c>
      <c r="E878" s="110"/>
      <c r="F878" s="111"/>
      <c r="G878" s="112">
        <v>67323.710000000006</v>
      </c>
      <c r="H878" s="113" cm="1">
        <f t="array" ref="H878">G878/I878</f>
        <v>51.1967376425856</v>
      </c>
      <c r="I878" s="114">
        <v>1315</v>
      </c>
      <c r="J878" s="163"/>
      <c r="K878" s="111"/>
      <c r="L878" s="164"/>
      <c r="M878" s="165"/>
      <c r="N878" s="165"/>
      <c r="O878" s="165"/>
      <c r="P878" s="165"/>
      <c r="Q878" s="165"/>
      <c r="R878" s="165"/>
      <c r="S878" s="165"/>
      <c r="T878" s="165"/>
      <c r="U878" s="165"/>
      <c r="V878" s="165"/>
      <c r="W878" s="165"/>
      <c r="X878" s="165"/>
      <c r="Y878" s="165"/>
      <c r="Z878" s="165"/>
      <c r="AA878" s="165"/>
      <c r="AB878" s="166"/>
    </row>
    <row r="879" ht="12.75" customHeight="1">
      <c r="A879" s="205">
        <v>45748</v>
      </c>
      <c r="B879" s="121">
        <v>386250</v>
      </c>
      <c r="C879" t="s" s="116">
        <v>988</v>
      </c>
      <c r="D879" t="s" s="79">
        <v>989</v>
      </c>
      <c r="E879" s="100"/>
      <c r="F879" s="101"/>
      <c r="G879" s="102">
        <v>20518.08</v>
      </c>
      <c r="H879" s="103" cm="1">
        <f t="array" ref="H879">G879/I879</f>
        <v>15.7831384615385</v>
      </c>
      <c r="I879" s="104">
        <v>1300</v>
      </c>
      <c r="J879" s="105"/>
      <c r="K879" s="101"/>
      <c r="L879" s="209"/>
      <c r="M879" s="210"/>
      <c r="N879" s="210"/>
      <c r="O879" s="210"/>
      <c r="P879" s="210"/>
      <c r="Q879" s="210"/>
      <c r="R879" s="210"/>
      <c r="S879" s="210"/>
      <c r="T879" s="210"/>
      <c r="U879" s="210"/>
      <c r="V879" s="210"/>
      <c r="W879" s="210"/>
      <c r="X879" s="210"/>
      <c r="Y879" s="210"/>
      <c r="Z879" s="210"/>
      <c r="AA879" s="210"/>
      <c r="AB879" s="210"/>
    </row>
    <row r="880" ht="12.75" customHeight="1">
      <c r="A880" s="212">
        <v>45750</v>
      </c>
      <c r="B880" s="124">
        <v>18099</v>
      </c>
      <c r="C880" t="s" s="115">
        <v>276</v>
      </c>
      <c r="D880" t="s" s="109">
        <v>990</v>
      </c>
      <c r="E880" s="110"/>
      <c r="F880" s="111"/>
      <c r="G880" s="112">
        <v>50616.91</v>
      </c>
      <c r="H880" s="113" cm="1">
        <f t="array" ref="H880">G880/I880</f>
        <v>38.9360846153846</v>
      </c>
      <c r="I880" s="114">
        <v>1300</v>
      </c>
      <c r="J880" s="163"/>
      <c r="K880" s="111"/>
      <c r="L880" s="164"/>
      <c r="M880" s="165"/>
      <c r="N880" s="165"/>
      <c r="O880" s="165"/>
      <c r="P880" s="165"/>
      <c r="Q880" s="165"/>
      <c r="R880" s="165"/>
      <c r="S880" s="165"/>
      <c r="T880" s="165"/>
      <c r="U880" s="165"/>
      <c r="V880" s="165"/>
      <c r="W880" s="165"/>
      <c r="X880" s="165"/>
      <c r="Y880" s="165"/>
      <c r="Z880" s="165"/>
      <c r="AA880" s="165"/>
      <c r="AB880" s="166"/>
    </row>
    <row r="881" ht="12.75" customHeight="1">
      <c r="A881" s="205">
        <v>45750</v>
      </c>
      <c r="B881" s="121">
        <v>17911</v>
      </c>
      <c r="C881" t="s" s="116">
        <v>276</v>
      </c>
      <c r="D881" t="s" s="79">
        <v>991</v>
      </c>
      <c r="E881" s="100"/>
      <c r="F881" s="101"/>
      <c r="G881" s="102">
        <v>36550.64</v>
      </c>
      <c r="H881" s="103" cm="1">
        <f t="array" ref="H881">G881/I881</f>
        <v>28.1158769230769</v>
      </c>
      <c r="I881" s="104">
        <v>1300</v>
      </c>
      <c r="J881" s="105"/>
      <c r="K881" s="101"/>
      <c r="L881" s="209"/>
      <c r="M881" s="210"/>
      <c r="N881" s="210"/>
      <c r="O881" s="210"/>
      <c r="P881" s="210"/>
      <c r="Q881" s="210"/>
      <c r="R881" s="210"/>
      <c r="S881" s="210"/>
      <c r="T881" s="210"/>
      <c r="U881" s="210"/>
      <c r="V881" s="210"/>
      <c r="W881" s="210"/>
      <c r="X881" s="210"/>
      <c r="Y881" s="210"/>
      <c r="Z881" s="210"/>
      <c r="AA881" s="210"/>
      <c r="AB881" s="210"/>
    </row>
    <row r="882" ht="12.75" customHeight="1">
      <c r="A882" s="212">
        <v>45757</v>
      </c>
      <c r="B882" s="107"/>
      <c r="C882" t="s" s="115">
        <v>41</v>
      </c>
      <c r="D882" t="s" s="109">
        <v>992</v>
      </c>
      <c r="E882" s="110"/>
      <c r="F882" s="111"/>
      <c r="G882" s="112">
        <v>175062.7</v>
      </c>
      <c r="H882" s="113" cm="1">
        <f t="array" ref="H882">G882/I882</f>
        <v>129.197564575646</v>
      </c>
      <c r="I882" s="114">
        <v>1355</v>
      </c>
      <c r="J882" s="163"/>
      <c r="K882" s="111"/>
      <c r="L882" s="164"/>
      <c r="M882" s="165"/>
      <c r="N882" s="165"/>
      <c r="O882" s="165"/>
      <c r="P882" s="165"/>
      <c r="Q882" s="165"/>
      <c r="R882" s="165"/>
      <c r="S882" s="165"/>
      <c r="T882" s="165"/>
      <c r="U882" s="165"/>
      <c r="V882" s="165"/>
      <c r="W882" s="165"/>
      <c r="X882" s="165"/>
      <c r="Y882" s="165"/>
      <c r="Z882" s="165"/>
      <c r="AA882" s="165"/>
      <c r="AB882" s="166"/>
    </row>
    <row r="883" ht="12.75" customHeight="1">
      <c r="A883" s="205">
        <v>45757</v>
      </c>
      <c r="B883" s="98"/>
      <c r="C883" t="s" s="116">
        <v>34</v>
      </c>
      <c r="D883" t="s" s="79">
        <v>992</v>
      </c>
      <c r="E883" s="100"/>
      <c r="F883" s="101"/>
      <c r="G883" s="102">
        <v>51009.53</v>
      </c>
      <c r="H883" s="103" cm="1">
        <f t="array" ref="H883">G883/I883</f>
        <v>37.6454095940959</v>
      </c>
      <c r="I883" s="104">
        <v>1355</v>
      </c>
      <c r="J883" s="105"/>
      <c r="K883" s="101"/>
      <c r="L883" s="209"/>
      <c r="M883" s="210"/>
      <c r="N883" s="210"/>
      <c r="O883" s="210"/>
      <c r="P883" s="210"/>
      <c r="Q883" s="210"/>
      <c r="R883" s="210"/>
      <c r="S883" s="210"/>
      <c r="T883" s="210"/>
      <c r="U883" s="210"/>
      <c r="V883" s="210"/>
      <c r="W883" s="210"/>
      <c r="X883" s="210"/>
      <c r="Y883" s="210"/>
      <c r="Z883" s="210"/>
      <c r="AA883" s="210"/>
      <c r="AB883" s="210"/>
    </row>
    <row r="884" ht="12.75" customHeight="1">
      <c r="A884" s="212">
        <v>45761</v>
      </c>
      <c r="B884" t="s" s="145">
        <v>993</v>
      </c>
      <c r="C884" t="s" s="115">
        <v>255</v>
      </c>
      <c r="D884" t="s" s="109">
        <v>994</v>
      </c>
      <c r="E884" s="110"/>
      <c r="F884" s="111"/>
      <c r="G884" s="112">
        <v>890167.54</v>
      </c>
      <c r="H884" s="113" cm="1">
        <f t="array" ref="H884">G884/I884</f>
        <v>698.170619607843</v>
      </c>
      <c r="I884" s="114">
        <v>1275</v>
      </c>
      <c r="J884" s="163"/>
      <c r="K884" s="111"/>
      <c r="L884" s="164"/>
      <c r="M884" s="165"/>
      <c r="N884" s="165"/>
      <c r="O884" s="165"/>
      <c r="P884" s="165"/>
      <c r="Q884" s="165"/>
      <c r="R884" s="165"/>
      <c r="S884" s="165"/>
      <c r="T884" s="165"/>
      <c r="U884" s="165"/>
      <c r="V884" s="165"/>
      <c r="W884" s="165"/>
      <c r="X884" s="165"/>
      <c r="Y884" s="165"/>
      <c r="Z884" s="165"/>
      <c r="AA884" s="165"/>
      <c r="AB884" s="166"/>
    </row>
    <row r="885" ht="12.75" customHeight="1">
      <c r="A885" s="205">
        <v>45768</v>
      </c>
      <c r="B885" s="98"/>
      <c r="C885" t="s" s="116">
        <v>99</v>
      </c>
      <c r="D885" t="s" s="79">
        <v>995</v>
      </c>
      <c r="E885" s="100"/>
      <c r="F885" s="101"/>
      <c r="G885" s="102">
        <v>730152.64</v>
      </c>
      <c r="H885" s="103" cm="1">
        <f t="array" ref="H885">G885/I885</f>
        <v>640.484771929825</v>
      </c>
      <c r="I885" s="104">
        <v>1140</v>
      </c>
      <c r="J885" s="105"/>
      <c r="K885" s="101"/>
      <c r="L885" s="209"/>
      <c r="M885" s="210"/>
      <c r="N885" s="210"/>
      <c r="O885" s="210"/>
      <c r="P885" s="210"/>
      <c r="Q885" s="210"/>
      <c r="R885" s="210"/>
      <c r="S885" s="210"/>
      <c r="T885" s="210"/>
      <c r="U885" s="210"/>
      <c r="V885" s="210"/>
      <c r="W885" s="210"/>
      <c r="X885" s="210"/>
      <c r="Y885" s="210"/>
      <c r="Z885" s="210"/>
      <c r="AA885" s="210"/>
      <c r="AB885" s="210"/>
    </row>
    <row r="886" ht="12.75" customHeight="1">
      <c r="A886" s="212">
        <v>45789</v>
      </c>
      <c r="B886" s="107"/>
      <c r="C886" t="s" s="115">
        <v>41</v>
      </c>
      <c r="D886" t="s" s="109">
        <v>996</v>
      </c>
      <c r="E886" s="110"/>
      <c r="F886" s="111"/>
      <c r="G886" s="112">
        <v>175062.7</v>
      </c>
      <c r="H886" s="113" cm="1">
        <f t="array" ref="H886">G886/I886</f>
        <v>150.916120689655</v>
      </c>
      <c r="I886" s="114">
        <v>1160</v>
      </c>
      <c r="J886" s="163"/>
      <c r="K886" s="111"/>
      <c r="L886" s="164"/>
      <c r="M886" s="165"/>
      <c r="N886" s="165"/>
      <c r="O886" s="165"/>
      <c r="P886" s="165"/>
      <c r="Q886" s="165"/>
      <c r="R886" s="165"/>
      <c r="S886" s="165"/>
      <c r="T886" s="165"/>
      <c r="U886" s="165"/>
      <c r="V886" s="165"/>
      <c r="W886" s="165"/>
      <c r="X886" s="165"/>
      <c r="Y886" s="165"/>
      <c r="Z886" s="165"/>
      <c r="AA886" s="165"/>
      <c r="AB886" s="166"/>
    </row>
    <row r="887" ht="12.75" customHeight="1">
      <c r="A887" s="205">
        <v>45796</v>
      </c>
      <c r="B887" s="98"/>
      <c r="C887" t="s" s="116">
        <v>34</v>
      </c>
      <c r="D887" t="s" s="79">
        <v>996</v>
      </c>
      <c r="E887" s="100"/>
      <c r="F887" s="101"/>
      <c r="G887" s="102">
        <v>53221.97</v>
      </c>
      <c r="H887" s="103" cm="1">
        <f t="array" ref="H887">G887/I887</f>
        <v>46.0796277056277</v>
      </c>
      <c r="I887" s="104">
        <v>1155</v>
      </c>
      <c r="J887" s="105"/>
      <c r="K887" s="101"/>
      <c r="L887" s="209"/>
      <c r="M887" s="210"/>
      <c r="N887" s="210"/>
      <c r="O887" s="210"/>
      <c r="P887" s="210"/>
      <c r="Q887" s="210"/>
      <c r="R887" s="210"/>
      <c r="S887" s="210"/>
      <c r="T887" s="210"/>
      <c r="U887" s="210"/>
      <c r="V887" s="210"/>
      <c r="W887" s="210"/>
      <c r="X887" s="210"/>
      <c r="Y887" s="210"/>
      <c r="Z887" s="210"/>
      <c r="AA887" s="210"/>
      <c r="AB887" s="210"/>
    </row>
    <row r="888" ht="12.75" customHeight="1">
      <c r="A888" s="212">
        <v>45797</v>
      </c>
      <c r="B888" s="107"/>
      <c r="C888" t="s" s="115">
        <v>99</v>
      </c>
      <c r="D888" t="s" s="109">
        <v>997</v>
      </c>
      <c r="E888" s="110"/>
      <c r="F888" s="111"/>
      <c r="G888" s="112">
        <v>716368.74</v>
      </c>
      <c r="H888" s="113" cm="1">
        <f t="array" ref="H888">G888/I888</f>
        <v>620.232675324675</v>
      </c>
      <c r="I888" s="114">
        <v>1155</v>
      </c>
      <c r="J888" s="163"/>
      <c r="K888" s="111"/>
      <c r="L888" s="164"/>
      <c r="M888" s="165"/>
      <c r="N888" s="165"/>
      <c r="O888" s="165"/>
      <c r="P888" s="165"/>
      <c r="Q888" s="165"/>
      <c r="R888" s="165"/>
      <c r="S888" s="165"/>
      <c r="T888" s="165"/>
      <c r="U888" s="165"/>
      <c r="V888" s="165"/>
      <c r="W888" s="165"/>
      <c r="X888" s="165"/>
      <c r="Y888" s="165"/>
      <c r="Z888" s="165"/>
      <c r="AA888" s="165"/>
      <c r="AB888" s="166"/>
    </row>
    <row r="889" ht="12.75" customHeight="1">
      <c r="A889" s="205">
        <v>45814</v>
      </c>
      <c r="B889" s="98"/>
      <c r="C889" t="s" s="116">
        <v>875</v>
      </c>
      <c r="D889" t="s" s="79">
        <v>998</v>
      </c>
      <c r="E889" s="100"/>
      <c r="F889" s="101"/>
      <c r="G889" s="102">
        <v>620000</v>
      </c>
      <c r="H889" s="103" cm="1">
        <f t="array" ref="H889">G889/I889</f>
        <v>532.188841201717</v>
      </c>
      <c r="I889" s="104">
        <v>1165</v>
      </c>
      <c r="J889" s="105"/>
      <c r="K889" s="101"/>
      <c r="L889" s="209"/>
      <c r="M889" s="210"/>
      <c r="N889" s="210"/>
      <c r="O889" s="210"/>
      <c r="P889" s="210"/>
      <c r="Q889" s="210"/>
      <c r="R889" s="210"/>
      <c r="S889" s="210"/>
      <c r="T889" s="210"/>
      <c r="U889" s="210"/>
      <c r="V889" s="210"/>
      <c r="W889" s="210"/>
      <c r="X889" s="210"/>
      <c r="Y889" s="210"/>
      <c r="Z889" s="210"/>
      <c r="AA889" s="210"/>
      <c r="AB889" s="210"/>
    </row>
    <row r="890" ht="12.75" customHeight="1">
      <c r="A890" s="212">
        <v>45818</v>
      </c>
      <c r="B890" s="107"/>
      <c r="C890" t="s" s="115">
        <v>41</v>
      </c>
      <c r="D890" t="s" s="109">
        <v>999</v>
      </c>
      <c r="E890" s="110"/>
      <c r="F890" s="111"/>
      <c r="G890" s="112">
        <v>175062.7</v>
      </c>
      <c r="H890" s="113" cm="1">
        <f t="array" ref="H890">G890/I890</f>
        <v>148.989531914894</v>
      </c>
      <c r="I890" s="114">
        <v>1175</v>
      </c>
      <c r="J890" s="163"/>
      <c r="K890" s="111"/>
      <c r="L890" s="164"/>
      <c r="M890" s="165"/>
      <c r="N890" s="165"/>
      <c r="O890" s="165"/>
      <c r="P890" s="165"/>
      <c r="Q890" s="165"/>
      <c r="R890" s="165"/>
      <c r="S890" s="165"/>
      <c r="T890" s="165"/>
      <c r="U890" s="165"/>
      <c r="V890" s="165"/>
      <c r="W890" s="165"/>
      <c r="X890" s="165"/>
      <c r="Y890" s="165"/>
      <c r="Z890" s="165"/>
      <c r="AA890" s="165"/>
      <c r="AB890" s="166"/>
    </row>
    <row r="891" ht="12.75" customHeight="1">
      <c r="A891" s="205">
        <v>45827</v>
      </c>
      <c r="B891" s="98"/>
      <c r="C891" t="s" s="116">
        <v>99</v>
      </c>
      <c r="D891" t="s" s="79">
        <v>1000</v>
      </c>
      <c r="E891" s="100"/>
      <c r="F891" s="101"/>
      <c r="G891" s="102">
        <v>731645.0699999999</v>
      </c>
      <c r="H891" s="103" cm="1">
        <f t="array" ref="H891">G891/I891</f>
        <v>620.0381949152541</v>
      </c>
      <c r="I891" s="104">
        <v>1180</v>
      </c>
      <c r="J891" s="105"/>
      <c r="K891" s="101"/>
      <c r="L891" s="209"/>
      <c r="M891" s="210"/>
      <c r="N891" s="210"/>
      <c r="O891" s="210"/>
      <c r="P891" s="210"/>
      <c r="Q891" s="210"/>
      <c r="R891" s="210"/>
      <c r="S891" s="210"/>
      <c r="T891" s="210"/>
      <c r="U891" s="210"/>
      <c r="V891" s="210"/>
      <c r="W891" s="210"/>
      <c r="X891" s="210"/>
      <c r="Y891" s="210"/>
      <c r="Z891" s="210"/>
      <c r="AA891" s="210"/>
      <c r="AB891" s="210"/>
    </row>
    <row r="892" ht="12.75" customHeight="1">
      <c r="A892" s="212">
        <v>45827</v>
      </c>
      <c r="B892" s="107"/>
      <c r="C892" t="s" s="115">
        <v>34</v>
      </c>
      <c r="D892" t="s" s="109">
        <v>999</v>
      </c>
      <c r="E892" s="110"/>
      <c r="F892" s="111"/>
      <c r="G892" s="112">
        <v>48082.53</v>
      </c>
      <c r="H892" s="113" cm="1">
        <f t="array" ref="H892">G892/I892</f>
        <v>40.747906779661</v>
      </c>
      <c r="I892" s="114">
        <v>1180</v>
      </c>
      <c r="J892" s="163"/>
      <c r="K892" s="111"/>
      <c r="L892" s="164"/>
      <c r="M892" s="165"/>
      <c r="N892" s="165"/>
      <c r="O892" s="165"/>
      <c r="P892" s="165"/>
      <c r="Q892" s="165"/>
      <c r="R892" s="165"/>
      <c r="S892" s="165"/>
      <c r="T892" s="165"/>
      <c r="U892" s="165"/>
      <c r="V892" s="165"/>
      <c r="W892" s="165"/>
      <c r="X892" s="165"/>
      <c r="Y892" s="165"/>
      <c r="Z892" s="165"/>
      <c r="AA892" s="165"/>
      <c r="AB892" s="166"/>
    </row>
    <row r="893" ht="12.75" customHeight="1">
      <c r="A893" s="205">
        <v>45842</v>
      </c>
      <c r="B893" s="121">
        <v>57265</v>
      </c>
      <c r="C893" t="s" s="116">
        <v>1001</v>
      </c>
      <c r="D893" t="s" s="79">
        <v>1002</v>
      </c>
      <c r="E893" s="100"/>
      <c r="F893" s="101"/>
      <c r="G893" s="102">
        <v>53594.07</v>
      </c>
      <c r="H893" s="103" cm="1">
        <f t="array" ref="H893">G893/I893</f>
        <v>44.1103456790123</v>
      </c>
      <c r="I893" s="104">
        <v>1215</v>
      </c>
      <c r="J893" s="105"/>
      <c r="K893" s="101"/>
      <c r="L893" s="209"/>
      <c r="M893" s="210"/>
      <c r="N893" s="210"/>
      <c r="O893" s="210"/>
      <c r="P893" s="210"/>
      <c r="Q893" s="210"/>
      <c r="R893" s="210"/>
      <c r="S893" s="210"/>
      <c r="T893" s="210"/>
      <c r="U893" s="210"/>
      <c r="V893" s="210"/>
      <c r="W893" s="210"/>
      <c r="X893" s="210"/>
      <c r="Y893" s="210"/>
      <c r="Z893" s="210"/>
      <c r="AA893" s="210"/>
      <c r="AB893" s="210"/>
    </row>
    <row r="894" ht="12.75" customHeight="1">
      <c r="A894" s="212">
        <v>45842</v>
      </c>
      <c r="B894" s="124">
        <v>382</v>
      </c>
      <c r="C894" t="s" s="115">
        <v>948</v>
      </c>
      <c r="D894" t="s" s="109">
        <v>1003</v>
      </c>
      <c r="E894" s="110"/>
      <c r="F894" s="111"/>
      <c r="G894" s="112">
        <v>65000</v>
      </c>
      <c r="H894" s="113" cm="1">
        <f t="array" ref="H894">G894/I894</f>
        <v>53.4979423868313</v>
      </c>
      <c r="I894" s="114">
        <v>1215</v>
      </c>
      <c r="J894" s="163"/>
      <c r="K894" s="111"/>
      <c r="L894" s="164"/>
      <c r="M894" s="165"/>
      <c r="N894" s="165"/>
      <c r="O894" s="165"/>
      <c r="P894" s="165"/>
      <c r="Q894" s="165"/>
      <c r="R894" s="165"/>
      <c r="S894" s="165"/>
      <c r="T894" s="165"/>
      <c r="U894" s="165"/>
      <c r="V894" s="165"/>
      <c r="W894" s="165"/>
      <c r="X894" s="165"/>
      <c r="Y894" s="165"/>
      <c r="Z894" s="165"/>
      <c r="AA894" s="165"/>
      <c r="AB894" s="166"/>
    </row>
    <row r="895" ht="12.75" customHeight="1">
      <c r="A895" s="205">
        <v>45848</v>
      </c>
      <c r="B895" s="98"/>
      <c r="C895" t="s" s="116">
        <v>41</v>
      </c>
      <c r="D895" t="s" s="79">
        <v>1004</v>
      </c>
      <c r="E895" s="100"/>
      <c r="F895" s="101"/>
      <c r="G895" s="102">
        <v>200853.04</v>
      </c>
      <c r="H895" s="103" cm="1">
        <f t="array" ref="H895">G895/I895</f>
        <v>158.152</v>
      </c>
      <c r="I895" s="104">
        <v>1270</v>
      </c>
      <c r="J895" s="105"/>
      <c r="K895" s="101"/>
      <c r="L895" s="209"/>
      <c r="M895" s="210"/>
      <c r="N895" s="210"/>
      <c r="O895" s="210"/>
      <c r="P895" s="210"/>
      <c r="Q895" s="210"/>
      <c r="R895" s="210"/>
      <c r="S895" s="210"/>
      <c r="T895" s="210"/>
      <c r="U895" s="210"/>
      <c r="V895" s="210"/>
      <c r="W895" s="210"/>
      <c r="X895" s="210"/>
      <c r="Y895" s="210"/>
      <c r="Z895" s="210"/>
      <c r="AA895" s="210"/>
      <c r="AB895" s="210"/>
    </row>
    <row r="896" ht="12.75" customHeight="1">
      <c r="A896" s="212">
        <v>45852</v>
      </c>
      <c r="B896" s="107"/>
      <c r="C896" t="s" s="115">
        <v>1001</v>
      </c>
      <c r="D896" t="s" s="109">
        <v>1005</v>
      </c>
      <c r="E896" s="110"/>
      <c r="F896" s="111"/>
      <c r="G896" s="112">
        <v>84779.7</v>
      </c>
      <c r="H896" s="113" cm="1">
        <f t="array" ref="H896">G896/I896</f>
        <v>65.7206976744186</v>
      </c>
      <c r="I896" s="114">
        <v>1290</v>
      </c>
      <c r="J896" s="163"/>
      <c r="K896" s="111"/>
      <c r="L896" s="164"/>
      <c r="M896" s="165"/>
      <c r="N896" s="165"/>
      <c r="O896" s="165"/>
      <c r="P896" s="165"/>
      <c r="Q896" s="165"/>
      <c r="R896" s="165"/>
      <c r="S896" s="165"/>
      <c r="T896" s="165"/>
      <c r="U896" s="165"/>
      <c r="V896" s="165"/>
      <c r="W896" s="165"/>
      <c r="X896" s="165"/>
      <c r="Y896" s="165"/>
      <c r="Z896" s="165"/>
      <c r="AA896" s="165"/>
      <c r="AB896" s="166"/>
    </row>
    <row r="897" ht="12.75" customHeight="1">
      <c r="A897" s="218">
        <v>45853</v>
      </c>
      <c r="B897" s="121">
        <v>118045</v>
      </c>
      <c r="C897" t="s" s="116">
        <v>67</v>
      </c>
      <c r="D897" t="s" s="79">
        <v>1006</v>
      </c>
      <c r="E897" s="100"/>
      <c r="F897" s="101"/>
      <c r="G897" s="102">
        <v>3821933.51</v>
      </c>
      <c r="H897" s="103" cm="1">
        <f t="array" ref="H897">G897/I897</f>
        <v>3000.018454123720</v>
      </c>
      <c r="I897" s="104">
        <v>1273.97</v>
      </c>
      <c r="J897" s="105"/>
      <c r="K897" s="101"/>
      <c r="L897" s="209"/>
      <c r="M897" s="210"/>
      <c r="N897" s="210"/>
      <c r="O897" s="210"/>
      <c r="P897" s="210"/>
      <c r="Q897" s="210"/>
      <c r="R897" s="210"/>
      <c r="S897" s="210"/>
      <c r="T897" s="210"/>
      <c r="U897" s="210"/>
      <c r="V897" s="210"/>
      <c r="W897" s="210"/>
      <c r="X897" s="210"/>
      <c r="Y897" s="210"/>
      <c r="Z897" s="210"/>
      <c r="AA897" s="210"/>
      <c r="AB897" s="210"/>
    </row>
    <row r="898" ht="12.75" customHeight="1">
      <c r="A898" s="212">
        <v>45855</v>
      </c>
      <c r="B898" s="107"/>
      <c r="C898" t="s" s="115">
        <v>99</v>
      </c>
      <c r="D898" t="s" s="109">
        <v>1007</v>
      </c>
      <c r="E898" s="110"/>
      <c r="F898" s="111"/>
      <c r="G898" s="112">
        <v>778930.75</v>
      </c>
      <c r="H898" s="113" cm="1">
        <f t="array" ref="H898">G898/I898</f>
        <v>606.171789883268</v>
      </c>
      <c r="I898" s="114">
        <v>1285</v>
      </c>
      <c r="J898" s="163"/>
      <c r="K898" s="111"/>
      <c r="L898" s="164"/>
      <c r="M898" s="165"/>
      <c r="N898" s="165"/>
      <c r="O898" s="165"/>
      <c r="P898" s="165"/>
      <c r="Q898" s="165"/>
      <c r="R898" s="165"/>
      <c r="S898" s="165"/>
      <c r="T898" s="165"/>
      <c r="U898" s="165"/>
      <c r="V898" s="165"/>
      <c r="W898" s="165"/>
      <c r="X898" s="165"/>
      <c r="Y898" s="165"/>
      <c r="Z898" s="165"/>
      <c r="AA898" s="165"/>
      <c r="AB898" s="166"/>
    </row>
    <row r="899" ht="12.75" customHeight="1">
      <c r="A899" s="205">
        <v>45859</v>
      </c>
      <c r="B899" s="98"/>
      <c r="C899" t="s" s="116">
        <v>34</v>
      </c>
      <c r="D899" t="s" s="79">
        <v>1008</v>
      </c>
      <c r="E899" s="100"/>
      <c r="F899" s="101"/>
      <c r="G899" s="102">
        <v>49678.48</v>
      </c>
      <c r="H899" s="103" cm="1">
        <f t="array" ref="H899">G899/I899</f>
        <v>38.3617606177606</v>
      </c>
      <c r="I899" s="104">
        <v>1295</v>
      </c>
      <c r="J899" s="105"/>
      <c r="K899" s="101"/>
      <c r="L899" s="209"/>
      <c r="M899" s="210"/>
      <c r="N899" s="210"/>
      <c r="O899" s="210"/>
      <c r="P899" s="210"/>
      <c r="Q899" s="210"/>
      <c r="R899" s="210"/>
      <c r="S899" s="210"/>
      <c r="T899" s="210"/>
      <c r="U899" s="210"/>
      <c r="V899" s="210"/>
      <c r="W899" s="210"/>
      <c r="X899" s="210"/>
      <c r="Y899" s="210"/>
      <c r="Z899" s="210"/>
      <c r="AA899" s="210"/>
      <c r="AB899" s="210"/>
    </row>
    <row r="900" ht="12.75" customHeight="1">
      <c r="A900" s="212">
        <v>45869</v>
      </c>
      <c r="B900" t="s" s="145">
        <v>1009</v>
      </c>
      <c r="C900" t="s" s="115">
        <v>875</v>
      </c>
      <c r="D900" t="s" s="109">
        <v>1010</v>
      </c>
      <c r="E900" s="110"/>
      <c r="F900" s="111"/>
      <c r="G900" s="112">
        <v>409333.86</v>
      </c>
      <c r="H900" s="113" cm="1">
        <f t="array" ref="H900">G900/I900</f>
        <v>312.468595419847</v>
      </c>
      <c r="I900" s="114">
        <v>1310</v>
      </c>
      <c r="J900" s="163"/>
      <c r="K900" s="111"/>
      <c r="L900" s="164"/>
      <c r="M900" s="165"/>
      <c r="N900" s="165"/>
      <c r="O900" s="165"/>
      <c r="P900" s="165"/>
      <c r="Q900" s="165"/>
      <c r="R900" s="165"/>
      <c r="S900" s="165"/>
      <c r="T900" s="165"/>
      <c r="U900" s="165"/>
      <c r="V900" s="165"/>
      <c r="W900" s="165"/>
      <c r="X900" s="165"/>
      <c r="Y900" s="165"/>
      <c r="Z900" s="165"/>
      <c r="AA900" s="165"/>
      <c r="AB900" s="166"/>
    </row>
    <row r="901" ht="12.75" customHeight="1">
      <c r="A901" s="205">
        <v>45880</v>
      </c>
      <c r="B901" s="98"/>
      <c r="C901" t="s" s="116">
        <v>41</v>
      </c>
      <c r="D901" t="s" s="79">
        <v>1011</v>
      </c>
      <c r="E901" s="100"/>
      <c r="F901" s="101"/>
      <c r="G901" s="102">
        <v>200853.04</v>
      </c>
      <c r="H901" s="103" cm="1">
        <f t="array" ref="H901">G901/I901</f>
        <v>153.910375478927</v>
      </c>
      <c r="I901" s="104">
        <v>1305</v>
      </c>
      <c r="J901" s="105"/>
      <c r="K901" s="101"/>
      <c r="L901" s="209"/>
      <c r="M901" s="210"/>
      <c r="N901" s="210"/>
      <c r="O901" s="210"/>
      <c r="P901" s="210"/>
      <c r="Q901" s="210"/>
      <c r="R901" s="210"/>
      <c r="S901" s="210"/>
      <c r="T901" s="210"/>
      <c r="U901" s="210"/>
      <c r="V901" s="210"/>
      <c r="W901" s="210"/>
      <c r="X901" s="210"/>
      <c r="Y901" s="210"/>
      <c r="Z901" s="210"/>
      <c r="AA901" s="210"/>
      <c r="AB901" s="210"/>
    </row>
    <row r="902" ht="12.75" customHeight="1">
      <c r="A902" s="212">
        <v>45881</v>
      </c>
      <c r="B902" s="124">
        <v>400</v>
      </c>
      <c r="C902" t="s" s="115">
        <v>948</v>
      </c>
      <c r="D902" t="s" s="109">
        <v>1003</v>
      </c>
      <c r="E902" s="110"/>
      <c r="F902" s="111"/>
      <c r="G902" s="112">
        <v>65000</v>
      </c>
      <c r="H902" s="113" cm="1">
        <f t="array" ref="H902">G902/I902</f>
        <v>49.4296577946768</v>
      </c>
      <c r="I902" s="114">
        <v>1315</v>
      </c>
      <c r="J902" s="163"/>
      <c r="K902" s="111"/>
      <c r="L902" s="164"/>
      <c r="M902" s="165"/>
      <c r="N902" s="165"/>
      <c r="O902" s="165"/>
      <c r="P902" s="165"/>
      <c r="Q902" s="165"/>
      <c r="R902" s="165"/>
      <c r="S902" s="165"/>
      <c r="T902" s="165"/>
      <c r="U902" s="165"/>
      <c r="V902" s="165"/>
      <c r="W902" s="165"/>
      <c r="X902" s="165"/>
      <c r="Y902" s="165"/>
      <c r="Z902" s="165"/>
      <c r="AA902" s="165"/>
      <c r="AB902" s="166"/>
    </row>
    <row r="903" ht="12.75" customHeight="1">
      <c r="A903" s="205">
        <v>45888</v>
      </c>
      <c r="B903" s="98"/>
      <c r="C903" t="s" s="116">
        <v>99</v>
      </c>
      <c r="D903" t="s" s="79">
        <v>1008</v>
      </c>
      <c r="E903" s="100"/>
      <c r="F903" s="101"/>
      <c r="G903" s="102">
        <v>812102.9</v>
      </c>
      <c r="H903" s="103" cm="1">
        <f t="array" ref="H903">G903/I903</f>
        <v>617.5687452471479</v>
      </c>
      <c r="I903" s="104">
        <v>1315</v>
      </c>
      <c r="J903" s="105"/>
      <c r="K903" s="101"/>
      <c r="L903" s="209"/>
      <c r="M903" s="210"/>
      <c r="N903" s="210"/>
      <c r="O903" s="210"/>
      <c r="P903" s="210"/>
      <c r="Q903" s="210"/>
      <c r="R903" s="210"/>
      <c r="S903" s="210"/>
      <c r="T903" s="210"/>
      <c r="U903" s="210"/>
      <c r="V903" s="210"/>
      <c r="W903" s="210"/>
      <c r="X903" s="210"/>
      <c r="Y903" s="210"/>
      <c r="Z903" s="210"/>
      <c r="AA903" s="210"/>
      <c r="AB903" s="210"/>
    </row>
    <row r="904" ht="12.75" customHeight="1">
      <c r="A904" s="212">
        <v>45890</v>
      </c>
      <c r="B904" s="107"/>
      <c r="C904" t="s" s="115">
        <v>34</v>
      </c>
      <c r="D904" t="s" s="109">
        <v>1012</v>
      </c>
      <c r="E904" s="110"/>
      <c r="F904" s="111"/>
      <c r="G904" s="112">
        <v>50577.28</v>
      </c>
      <c r="H904" s="113" cm="1">
        <f t="array" ref="H904">G904/I904</f>
        <v>38.028030075188</v>
      </c>
      <c r="I904" s="114">
        <v>1330</v>
      </c>
      <c r="J904" s="163"/>
      <c r="K904" s="111"/>
      <c r="L904" s="164"/>
      <c r="M904" s="165"/>
      <c r="N904" s="165"/>
      <c r="O904" s="165"/>
      <c r="P904" s="165"/>
      <c r="Q904" s="165"/>
      <c r="R904" s="165"/>
      <c r="S904" s="165"/>
      <c r="T904" s="165"/>
      <c r="U904" s="165"/>
      <c r="V904" s="165"/>
      <c r="W904" s="165"/>
      <c r="X904" s="165"/>
      <c r="Y904" s="165"/>
      <c r="Z904" s="165"/>
      <c r="AA904" s="165"/>
      <c r="AB904" s="166"/>
    </row>
    <row r="905" ht="12.75" customHeight="1">
      <c r="A905" s="205">
        <v>45896</v>
      </c>
      <c r="B905" s="121">
        <v>208</v>
      </c>
      <c r="C905" t="s" s="116">
        <v>1013</v>
      </c>
      <c r="D905" t="s" s="79">
        <v>1014</v>
      </c>
      <c r="E905" s="100"/>
      <c r="F905" s="101"/>
      <c r="G905" s="102">
        <v>385000</v>
      </c>
      <c r="H905" s="113" cm="1">
        <f t="array" ref="H905">G905/I905</f>
        <v>284.132841328413</v>
      </c>
      <c r="I905" s="104">
        <v>1355</v>
      </c>
      <c r="J905" s="105"/>
      <c r="K905" s="101"/>
      <c r="L905" s="209"/>
      <c r="M905" s="210"/>
      <c r="N905" s="210"/>
      <c r="O905" s="210"/>
      <c r="P905" s="210"/>
      <c r="Q905" s="210"/>
      <c r="R905" s="210"/>
      <c r="S905" s="210"/>
      <c r="T905" s="210"/>
      <c r="U905" s="210"/>
      <c r="V905" s="210"/>
      <c r="W905" s="210"/>
      <c r="X905" s="210"/>
      <c r="Y905" s="210"/>
      <c r="Z905" s="210"/>
      <c r="AA905" s="210"/>
      <c r="AB905" s="210"/>
    </row>
    <row r="906" ht="12.75" customHeight="1">
      <c r="A906" s="212">
        <v>45896</v>
      </c>
      <c r="B906" s="124">
        <v>265815049</v>
      </c>
      <c r="C906" t="s" s="115">
        <v>1015</v>
      </c>
      <c r="D906" t="s" s="109">
        <v>1016</v>
      </c>
      <c r="E906" s="110"/>
      <c r="F906" s="111"/>
      <c r="G906" s="112">
        <v>456200</v>
      </c>
      <c r="H906" s="113" cm="1">
        <f t="array" ref="H906">G906/I906</f>
        <v>336.678966789668</v>
      </c>
      <c r="I906" s="114">
        <v>1355</v>
      </c>
      <c r="J906" s="163"/>
      <c r="K906" s="111"/>
      <c r="L906" s="164"/>
      <c r="M906" s="165"/>
      <c r="N906" s="165"/>
      <c r="O906" s="165"/>
      <c r="P906" s="165"/>
      <c r="Q906" s="165"/>
      <c r="R906" s="165"/>
      <c r="S906" s="165"/>
      <c r="T906" s="165"/>
      <c r="U906" s="165"/>
      <c r="V906" s="165"/>
      <c r="W906" s="165"/>
      <c r="X906" s="165"/>
      <c r="Y906" s="165"/>
      <c r="Z906" s="165"/>
      <c r="AA906" s="165"/>
      <c r="AB906" s="166"/>
    </row>
    <row r="907" ht="12.75" customHeight="1">
      <c r="A907" s="205">
        <v>45910</v>
      </c>
      <c r="B907" s="98"/>
      <c r="C907" t="s" s="116">
        <v>1017</v>
      </c>
      <c r="D907" t="s" s="79">
        <v>1018</v>
      </c>
      <c r="E907" s="100"/>
      <c r="F907" s="101"/>
      <c r="G907" s="112">
        <v>200853.04</v>
      </c>
      <c r="H907" s="113" cm="1">
        <f t="array" ref="H907">G907/I907</f>
        <v>146.074938181818</v>
      </c>
      <c r="I907" s="114">
        <v>1375</v>
      </c>
      <c r="J907" s="105"/>
      <c r="K907" s="101"/>
      <c r="L907" s="209"/>
      <c r="M907" s="210"/>
      <c r="N907" s="210"/>
      <c r="O907" s="210"/>
      <c r="P907" s="210"/>
      <c r="Q907" s="210"/>
      <c r="R907" s="210"/>
      <c r="S907" s="210"/>
      <c r="T907" s="210"/>
      <c r="U907" s="210"/>
      <c r="V907" s="210"/>
      <c r="W907" s="210"/>
      <c r="X907" s="210"/>
      <c r="Y907" s="210"/>
      <c r="Z907" s="210"/>
      <c r="AA907" s="210"/>
      <c r="AB907" s="210"/>
    </row>
    <row r="908" ht="12.75" customHeight="1">
      <c r="A908" s="212">
        <v>45911</v>
      </c>
      <c r="B908" t="s" s="145">
        <v>1019</v>
      </c>
      <c r="C908" t="s" s="115">
        <v>1020</v>
      </c>
      <c r="D908" t="s" s="109">
        <v>1021</v>
      </c>
      <c r="E908" s="110"/>
      <c r="F908" s="111"/>
      <c r="G908" s="102">
        <v>2230000</v>
      </c>
      <c r="H908" s="113" cm="1">
        <f t="array" ref="H908">G908/I908</f>
        <v>1610.1083032491</v>
      </c>
      <c r="I908" s="104">
        <v>1385</v>
      </c>
      <c r="J908" s="163"/>
      <c r="K908" s="111"/>
      <c r="L908" s="164"/>
      <c r="M908" s="165"/>
      <c r="N908" s="165"/>
      <c r="O908" s="165"/>
      <c r="P908" s="165"/>
      <c r="Q908" s="165"/>
      <c r="R908" s="165"/>
      <c r="S908" s="165"/>
      <c r="T908" s="165"/>
      <c r="U908" s="165"/>
      <c r="V908" s="165"/>
      <c r="W908" s="165"/>
      <c r="X908" s="165"/>
      <c r="Y908" s="165"/>
      <c r="Z908" s="165"/>
      <c r="AA908" s="165"/>
      <c r="AB908" s="166"/>
    </row>
    <row r="909" ht="12.75" customHeight="1">
      <c r="A909" s="205">
        <v>45911</v>
      </c>
      <c r="B909" t="s" s="78">
        <v>1022</v>
      </c>
      <c r="C909" t="s" s="116">
        <v>1020</v>
      </c>
      <c r="D909" t="s" s="109">
        <v>1021</v>
      </c>
      <c r="E909" s="100"/>
      <c r="F909" s="101"/>
      <c r="G909" s="112">
        <v>71500.009999999995</v>
      </c>
      <c r="H909" s="113" cm="1">
        <f t="array" ref="H909">G909/I909</f>
        <v>51.6245559566787</v>
      </c>
      <c r="I909" s="114">
        <v>1385</v>
      </c>
      <c r="J909" s="105"/>
      <c r="K909" s="101"/>
      <c r="L909" s="209"/>
      <c r="M909" s="210"/>
      <c r="N909" s="210"/>
      <c r="O909" s="210"/>
      <c r="P909" s="210"/>
      <c r="Q909" s="210"/>
      <c r="R909" s="210"/>
      <c r="S909" s="210"/>
      <c r="T909" s="210"/>
      <c r="U909" s="210"/>
      <c r="V909" s="210"/>
      <c r="W909" s="210"/>
      <c r="X909" s="210"/>
      <c r="Y909" s="210"/>
      <c r="Z909" s="210"/>
      <c r="AA909" s="210"/>
      <c r="AB909" s="210"/>
    </row>
    <row r="910" ht="12.75" customHeight="1">
      <c r="A910" s="212">
        <v>45915</v>
      </c>
      <c r="B910" t="s" s="145">
        <v>1023</v>
      </c>
      <c r="C910" t="s" s="115">
        <v>1024</v>
      </c>
      <c r="D910" t="s" s="109">
        <v>1025</v>
      </c>
      <c r="E910" s="110"/>
      <c r="F910" s="111"/>
      <c r="G910" s="102">
        <v>181058</v>
      </c>
      <c r="H910" s="113" cm="1">
        <f t="array" ref="H910">G910/I910</f>
        <v>127.956183745583</v>
      </c>
      <c r="I910" s="104">
        <v>1415</v>
      </c>
      <c r="J910" s="163"/>
      <c r="K910" s="111"/>
      <c r="L910" s="164"/>
      <c r="M910" s="165"/>
      <c r="N910" s="165"/>
      <c r="O910" s="165"/>
      <c r="P910" s="165"/>
      <c r="Q910" s="165"/>
      <c r="R910" s="165"/>
      <c r="S910" s="165"/>
      <c r="T910" s="165"/>
      <c r="U910" s="165"/>
      <c r="V910" s="165"/>
      <c r="W910" s="165"/>
      <c r="X910" s="165"/>
      <c r="Y910" s="165"/>
      <c r="Z910" s="165"/>
      <c r="AA910" s="165"/>
      <c r="AB910" s="166"/>
    </row>
    <row r="911" ht="15.75" customHeight="1">
      <c r="A911" s="205">
        <v>45915</v>
      </c>
      <c r="B911" s="121">
        <v>2400021832</v>
      </c>
      <c r="C911" t="s" s="116">
        <v>1026</v>
      </c>
      <c r="D911" t="s" s="79">
        <v>1027</v>
      </c>
      <c r="E911" s="100"/>
      <c r="F911" s="101"/>
      <c r="G911" s="112">
        <v>9654.879999999999</v>
      </c>
      <c r="H911" s="113" cm="1">
        <f t="array" ref="H911">G911/I911</f>
        <v>6.82323674911661</v>
      </c>
      <c r="I911" s="114">
        <v>1415</v>
      </c>
      <c r="J911" s="105"/>
      <c r="K911" s="101"/>
      <c r="L911" s="209"/>
      <c r="M911" s="210"/>
      <c r="N911" s="210"/>
      <c r="O911" s="210"/>
      <c r="P911" s="210"/>
      <c r="Q911" s="210"/>
      <c r="R911" s="210"/>
      <c r="S911" s="23"/>
      <c r="T911" s="23"/>
      <c r="U911" s="23"/>
      <c r="V911" s="23"/>
      <c r="W911" s="23"/>
      <c r="X911" s="23"/>
      <c r="Y911" s="23"/>
      <c r="Z911" s="23"/>
      <c r="AA911" s="23"/>
      <c r="AB911" s="23"/>
    </row>
    <row r="912" ht="15.75" customHeight="1">
      <c r="A912" s="212">
        <v>45916</v>
      </c>
      <c r="B912" t="s" s="145">
        <v>1028</v>
      </c>
      <c r="C912" t="s" s="115">
        <v>1020</v>
      </c>
      <c r="D912" t="s" s="109">
        <v>1021</v>
      </c>
      <c r="E912" s="110"/>
      <c r="F912" s="111"/>
      <c r="G912" s="102">
        <v>41000.02</v>
      </c>
      <c r="H912" s="113" cm="1">
        <f t="array" ref="H912">G912/I912</f>
        <v>28.3737162629758</v>
      </c>
      <c r="I912" s="104">
        <v>1445</v>
      </c>
      <c r="J912" s="163"/>
      <c r="K912" s="111"/>
      <c r="L912" s="164"/>
      <c r="M912" s="165"/>
      <c r="N912" s="165"/>
      <c r="O912" s="165"/>
      <c r="P912" s="165"/>
      <c r="Q912" s="165"/>
      <c r="R912" s="165"/>
      <c r="S912" s="47"/>
      <c r="T912" s="9"/>
      <c r="U912" s="9"/>
      <c r="V912" s="9"/>
      <c r="W912" s="9"/>
      <c r="X912" s="9"/>
      <c r="Y912" s="9"/>
      <c r="Z912" s="9"/>
      <c r="AA912" s="9"/>
      <c r="AB912" s="9"/>
    </row>
    <row r="913" ht="15.75" customHeight="1">
      <c r="A913" s="205">
        <v>45916</v>
      </c>
      <c r="B913" t="s" s="78">
        <v>1029</v>
      </c>
      <c r="C913" t="s" s="116">
        <v>1024</v>
      </c>
      <c r="D913" t="s" s="79">
        <v>1030</v>
      </c>
      <c r="E913" s="100"/>
      <c r="F913" s="101"/>
      <c r="G913" s="102">
        <v>169787.2</v>
      </c>
      <c r="H913" s="113" cm="1">
        <f t="array" ref="H913">G913/I913</f>
        <v>117.499792387543</v>
      </c>
      <c r="I913" s="104">
        <v>1445</v>
      </c>
      <c r="J913" s="105"/>
      <c r="K913" s="101"/>
      <c r="L913" s="209"/>
      <c r="M913" s="210"/>
      <c r="N913" s="210"/>
      <c r="O913" s="210"/>
      <c r="P913" s="210"/>
      <c r="Q913" s="210"/>
      <c r="R913" s="210"/>
      <c r="S913" s="9"/>
      <c r="T913" s="9"/>
      <c r="U913" s="9"/>
      <c r="V913" s="9"/>
      <c r="W913" s="9"/>
      <c r="X913" s="9"/>
      <c r="Y913" s="9"/>
      <c r="Z913" s="9"/>
      <c r="AA913" s="9"/>
      <c r="AB913" s="9"/>
    </row>
    <row r="914" ht="15.75" customHeight="1">
      <c r="A914" s="212">
        <v>45917</v>
      </c>
      <c r="B914" t="s" s="145">
        <v>1031</v>
      </c>
      <c r="C914" t="s" s="115">
        <v>1020</v>
      </c>
      <c r="D914" t="s" s="109">
        <v>1032</v>
      </c>
      <c r="E914" s="110"/>
      <c r="F914" s="111"/>
      <c r="G914" s="112">
        <v>18845.7</v>
      </c>
      <c r="H914" s="113" cm="1">
        <f t="array" ref="H914">G914/I914</f>
        <v>12.9523711340206</v>
      </c>
      <c r="I914" s="114">
        <v>1455</v>
      </c>
      <c r="J914" s="163"/>
      <c r="K914" s="111"/>
      <c r="L914" s="164"/>
      <c r="M914" s="165"/>
      <c r="N914" s="165"/>
      <c r="O914" s="165"/>
      <c r="P914" s="165"/>
      <c r="Q914" s="165"/>
      <c r="R914" s="165"/>
      <c r="S914" s="47"/>
      <c r="T914" s="9"/>
      <c r="U914" s="9"/>
      <c r="V914" s="9"/>
      <c r="W914" s="9"/>
      <c r="X914" s="9"/>
      <c r="Y914" s="9"/>
      <c r="Z914" s="9"/>
      <c r="AA914" s="9"/>
      <c r="AB914" s="9"/>
    </row>
    <row r="915" ht="15.75" customHeight="1">
      <c r="A915" s="205">
        <v>45919</v>
      </c>
      <c r="B915" s="98"/>
      <c r="C915" t="s" s="116">
        <v>939</v>
      </c>
      <c r="D915" t="s" s="79">
        <v>1033</v>
      </c>
      <c r="E915" s="100"/>
      <c r="F915" s="101"/>
      <c r="G915" s="102">
        <v>52912.74</v>
      </c>
      <c r="H915" s="113" cm="1">
        <f t="array" ref="H915">G915/I915</f>
        <v>35.27516</v>
      </c>
      <c r="I915" s="104">
        <v>1500</v>
      </c>
      <c r="J915" s="105"/>
      <c r="K915" s="101"/>
      <c r="L915" s="220"/>
      <c r="M915" s="23"/>
      <c r="N915" s="23"/>
      <c r="O915" s="23"/>
      <c r="P915" s="23"/>
      <c r="Q915" s="23"/>
      <c r="R915" s="23"/>
      <c r="S915" s="9"/>
      <c r="T915" s="9"/>
      <c r="U915" s="9"/>
      <c r="V915" s="9"/>
      <c r="W915" s="9"/>
      <c r="X915" s="9"/>
      <c r="Y915" s="9"/>
      <c r="Z915" s="9"/>
      <c r="AA915" s="9"/>
      <c r="AB915" s="9"/>
    </row>
    <row r="916" ht="15.75" customHeight="1">
      <c r="A916" s="212">
        <v>45920</v>
      </c>
      <c r="B916" t="s" s="145">
        <v>1034</v>
      </c>
      <c r="C916" t="s" s="115">
        <v>1035</v>
      </c>
      <c r="D916" t="s" s="109">
        <v>1036</v>
      </c>
      <c r="E916" s="110"/>
      <c r="F916" s="111"/>
      <c r="G916" s="112">
        <v>401460.5</v>
      </c>
      <c r="H916" s="113" cm="1">
        <f t="array" ref="H916">G916/I916</f>
        <v>269.436577181208</v>
      </c>
      <c r="I916" s="114">
        <v>1490</v>
      </c>
      <c r="J916" s="163"/>
      <c r="K916" s="111"/>
      <c r="L916" s="221"/>
      <c r="M916" s="9"/>
      <c r="N916" s="9"/>
      <c r="O916" s="9"/>
      <c r="P916" s="9"/>
      <c r="Q916" s="9"/>
      <c r="R916" s="9"/>
      <c r="S916" s="9"/>
      <c r="T916" s="9"/>
      <c r="U916" s="9"/>
      <c r="V916" s="9"/>
      <c r="W916" s="9"/>
      <c r="X916" s="9"/>
      <c r="Y916" s="9"/>
      <c r="Z916" s="9"/>
      <c r="AA916" s="9"/>
      <c r="AB916" s="9"/>
    </row>
    <row r="917" ht="15.75" customHeight="1">
      <c r="A917" s="205">
        <v>45923</v>
      </c>
      <c r="B917" t="s" s="78">
        <v>1037</v>
      </c>
      <c r="C917" t="s" s="116">
        <v>1038</v>
      </c>
      <c r="D917" t="s" s="79">
        <v>1039</v>
      </c>
      <c r="E917" s="100"/>
      <c r="F917" s="101"/>
      <c r="G917" s="102">
        <v>15547689.88</v>
      </c>
      <c r="H917" s="113" cm="1">
        <f t="array" ref="H917">G917/I917</f>
        <v>10612.7575972696</v>
      </c>
      <c r="I917" s="104">
        <v>1465</v>
      </c>
      <c r="J917" s="105"/>
      <c r="K917" s="101"/>
      <c r="L917" s="221"/>
      <c r="M917" s="9"/>
      <c r="N917" s="9"/>
      <c r="O917" s="9"/>
      <c r="P917" s="9"/>
      <c r="Q917" s="9"/>
      <c r="R917" s="9"/>
      <c r="S917" s="9"/>
      <c r="T917" s="9"/>
      <c r="U917" s="9"/>
      <c r="V917" s="9"/>
      <c r="W917" s="9"/>
      <c r="X917" s="9"/>
      <c r="Y917" s="9"/>
      <c r="Z917" s="9"/>
      <c r="AA917" s="9"/>
      <c r="AB917" s="9"/>
    </row>
    <row r="918" ht="15.75" customHeight="1">
      <c r="A918" s="212">
        <v>45923</v>
      </c>
      <c r="B918" s="107"/>
      <c r="C918" t="s" s="115">
        <v>475</v>
      </c>
      <c r="D918" t="s" s="109">
        <v>1012</v>
      </c>
      <c r="E918" s="110"/>
      <c r="F918" s="111"/>
      <c r="G918" s="112">
        <v>831916.99</v>
      </c>
      <c r="H918" s="113" cm="1">
        <f t="array" ref="H918">G918/I918</f>
        <v>567.861426621160</v>
      </c>
      <c r="I918" s="114">
        <v>1465</v>
      </c>
      <c r="J918" s="163"/>
      <c r="K918" s="111"/>
      <c r="L918" s="221"/>
      <c r="M918" s="9"/>
      <c r="N918" s="9"/>
      <c r="O918" s="9"/>
      <c r="P918" s="9"/>
      <c r="Q918" s="9"/>
      <c r="R918" s="9"/>
      <c r="S918" s="9"/>
      <c r="T918" s="9"/>
      <c r="U918" s="9"/>
      <c r="V918" s="9"/>
      <c r="W918" s="9"/>
      <c r="X918" s="9"/>
      <c r="Y918" s="9"/>
      <c r="Z918" s="9"/>
      <c r="AA918" s="9"/>
      <c r="AB918" s="9"/>
    </row>
    <row r="919" ht="15.75" customHeight="1">
      <c r="A919" s="205">
        <v>45926</v>
      </c>
      <c r="B919" t="s" s="78">
        <v>1040</v>
      </c>
      <c r="C919" t="s" s="116">
        <v>1041</v>
      </c>
      <c r="D919" t="s" s="79">
        <v>1042</v>
      </c>
      <c r="E919" s="100"/>
      <c r="F919" s="101"/>
      <c r="G919" s="102">
        <v>963000</v>
      </c>
      <c r="H919" s="113" cm="1">
        <f t="array" ref="H919">G919/I919</f>
        <v>644.147157190635</v>
      </c>
      <c r="I919" s="104">
        <v>1495</v>
      </c>
      <c r="J919" s="105"/>
      <c r="K919" s="101"/>
      <c r="L919" s="221"/>
      <c r="M919" s="9"/>
      <c r="N919" s="9"/>
      <c r="O919" s="9"/>
      <c r="P919" s="9"/>
      <c r="Q919" s="9"/>
      <c r="R919" s="9"/>
      <c r="S919" s="9"/>
      <c r="T919" s="9"/>
      <c r="U919" s="9"/>
      <c r="V919" s="9"/>
      <c r="W919" s="9"/>
      <c r="X919" s="9"/>
      <c r="Y919" s="9"/>
      <c r="Z919" s="9"/>
      <c r="AA919" s="9"/>
      <c r="AB919" s="9"/>
    </row>
    <row r="920" ht="15.75" customHeight="1">
      <c r="A920" s="212">
        <v>45926</v>
      </c>
      <c r="B920" t="s" s="145">
        <v>1043</v>
      </c>
      <c r="C920" t="s" s="115">
        <v>1020</v>
      </c>
      <c r="D920" t="s" s="109">
        <v>987</v>
      </c>
      <c r="E920" s="110"/>
      <c r="F920" s="111"/>
      <c r="G920" s="112">
        <v>44859.24</v>
      </c>
      <c r="H920" s="113" cm="1">
        <f t="array" ref="H920">G920/I920</f>
        <v>30.0061806020067</v>
      </c>
      <c r="I920" s="114">
        <v>1495</v>
      </c>
      <c r="J920" s="163"/>
      <c r="K920" s="111"/>
      <c r="L920" s="221"/>
      <c r="M920" s="9"/>
      <c r="N920" s="9"/>
      <c r="O920" s="9"/>
      <c r="P920" s="9"/>
      <c r="Q920" s="9"/>
      <c r="R920" s="9"/>
      <c r="S920" s="9"/>
      <c r="T920" s="9"/>
      <c r="U920" s="9"/>
      <c r="V920" s="9"/>
      <c r="W920" s="9"/>
      <c r="X920" s="9"/>
      <c r="Y920" s="9"/>
      <c r="Z920" s="9"/>
      <c r="AA920" s="9"/>
      <c r="AB920" s="9"/>
    </row>
    <row r="921" ht="15.75" customHeight="1">
      <c r="A921" s="205">
        <v>45932</v>
      </c>
      <c r="B921" t="s" s="78">
        <v>1044</v>
      </c>
      <c r="C921" t="s" s="116">
        <v>1045</v>
      </c>
      <c r="D921" t="s" s="79">
        <v>1046</v>
      </c>
      <c r="E921" s="100"/>
      <c r="F921" s="101"/>
      <c r="G921" s="102">
        <v>22414279.5</v>
      </c>
      <c r="H921" s="113" cm="1">
        <f t="array" ref="H921">G921/I921</f>
        <v>15299.8494880546</v>
      </c>
      <c r="I921" s="104">
        <v>1465</v>
      </c>
      <c r="J921" s="105"/>
      <c r="K921" s="101"/>
      <c r="L921" s="221"/>
      <c r="M921" s="9"/>
      <c r="N921" s="9"/>
      <c r="O921" s="9"/>
      <c r="P921" s="9"/>
      <c r="Q921" s="9"/>
      <c r="R921" s="9"/>
      <c r="S921" s="9"/>
      <c r="T921" s="9"/>
      <c r="U921" s="9"/>
      <c r="V921" s="9"/>
      <c r="W921" s="9"/>
      <c r="X921" s="9"/>
      <c r="Y921" s="9"/>
      <c r="Z921" s="9"/>
      <c r="AA921" s="9"/>
      <c r="AB921" s="9"/>
    </row>
    <row r="922" ht="15.75" customHeight="1">
      <c r="A922" s="222">
        <v>45932</v>
      </c>
      <c r="B922" t="s" s="145">
        <v>1047</v>
      </c>
      <c r="C922" t="s" s="115">
        <v>1045</v>
      </c>
      <c r="D922" t="s" s="109">
        <v>1046</v>
      </c>
      <c r="E922" s="110"/>
      <c r="F922" s="111"/>
      <c r="G922" s="112">
        <v>22542039.41</v>
      </c>
      <c r="H922" s="113" cm="1">
        <f t="array" ref="H922">G922/I922</f>
        <v>15387.0576177474</v>
      </c>
      <c r="I922" s="114">
        <v>1465</v>
      </c>
      <c r="J922" s="163"/>
      <c r="K922" s="111"/>
      <c r="L922" s="221"/>
      <c r="M922" s="9"/>
      <c r="N922" s="9"/>
      <c r="O922" s="9"/>
      <c r="P922" s="9"/>
      <c r="Q922" s="9"/>
      <c r="R922" s="9"/>
      <c r="S922" s="9"/>
      <c r="T922" s="9"/>
      <c r="U922" s="9"/>
      <c r="V922" s="9"/>
      <c r="W922" s="9"/>
      <c r="X922" s="9"/>
      <c r="Y922" s="9"/>
      <c r="Z922" s="9"/>
      <c r="AA922" s="9"/>
      <c r="AB922" s="9"/>
    </row>
    <row r="923" ht="15.75" customHeight="1">
      <c r="A923" s="218">
        <v>45932</v>
      </c>
      <c r="B923" t="s" s="78">
        <v>1048</v>
      </c>
      <c r="C923" t="s" s="116">
        <v>1045</v>
      </c>
      <c r="D923" t="s" s="79">
        <v>1046</v>
      </c>
      <c r="E923" s="100"/>
      <c r="F923" s="101"/>
      <c r="G923" s="102">
        <v>955377.11</v>
      </c>
      <c r="H923" s="113" cm="1">
        <f t="array" ref="H923">G923/I923</f>
        <v>652.134546075085</v>
      </c>
      <c r="I923" s="104">
        <v>1465</v>
      </c>
      <c r="J923" s="105"/>
      <c r="K923" s="101"/>
      <c r="L923" s="153"/>
      <c r="M923" s="154"/>
      <c r="N923" s="154"/>
      <c r="O923" s="154"/>
      <c r="P923" s="154"/>
      <c r="Q923" s="154"/>
      <c r="R923" s="154"/>
      <c r="S923" s="9"/>
      <c r="T923" s="9"/>
      <c r="U923" s="9"/>
      <c r="V923" s="9"/>
      <c r="W923" s="9"/>
      <c r="X923" s="9"/>
      <c r="Y923" s="9"/>
      <c r="Z923" s="9"/>
      <c r="AA923" s="9"/>
      <c r="AB923" s="9"/>
    </row>
    <row r="924" ht="15.75" customHeight="1">
      <c r="A924" s="222">
        <v>45932</v>
      </c>
      <c r="B924" t="s" s="145">
        <v>1049</v>
      </c>
      <c r="C924" t="s" s="115">
        <v>1045</v>
      </c>
      <c r="D924" t="s" s="109">
        <v>1046</v>
      </c>
      <c r="E924" s="110"/>
      <c r="F924" s="111"/>
      <c r="G924" s="112">
        <v>1022530.98</v>
      </c>
      <c r="H924" s="113" cm="1">
        <f t="array" ref="H924">G924/I924</f>
        <v>697.9733651877129</v>
      </c>
      <c r="I924" s="114">
        <v>1465</v>
      </c>
      <c r="J924" s="163"/>
      <c r="K924" s="111"/>
      <c r="L924" s="164"/>
      <c r="M924" s="165"/>
      <c r="N924" s="165"/>
      <c r="O924" s="165"/>
      <c r="P924" s="165"/>
      <c r="Q924" s="165"/>
      <c r="R924" s="165"/>
      <c r="S924" s="47"/>
      <c r="T924" s="9"/>
      <c r="U924" s="9"/>
      <c r="V924" s="9"/>
      <c r="W924" s="9"/>
      <c r="X924" s="9"/>
      <c r="Y924" s="9"/>
      <c r="Z924" s="9"/>
      <c r="AA924" s="9"/>
      <c r="AB924" s="9"/>
    </row>
    <row r="925" ht="15.75" customHeight="1">
      <c r="A925" s="218">
        <v>45933</v>
      </c>
      <c r="B925" t="s" s="78">
        <v>1050</v>
      </c>
      <c r="C925" t="s" s="116">
        <v>1051</v>
      </c>
      <c r="D925" t="s" s="79">
        <v>1052</v>
      </c>
      <c r="E925" s="100"/>
      <c r="F925" s="101"/>
      <c r="G925" s="112">
        <v>70000</v>
      </c>
      <c r="H925" s="113" cm="1">
        <f t="array" ref="H925">G925/I925</f>
        <v>48.6111111111111</v>
      </c>
      <c r="I925" s="114">
        <v>1440</v>
      </c>
      <c r="J925" s="105"/>
      <c r="K925" s="101"/>
      <c r="L925" s="209"/>
      <c r="M925" s="210"/>
      <c r="N925" s="210"/>
      <c r="O925" s="210"/>
      <c r="P925" s="210"/>
      <c r="Q925" s="210"/>
      <c r="R925" s="210"/>
      <c r="S925" s="9"/>
      <c r="T925" s="9"/>
      <c r="U925" s="9"/>
      <c r="V925" s="9"/>
      <c r="W925" s="9"/>
      <c r="X925" s="9"/>
      <c r="Y925" s="9"/>
      <c r="Z925" s="9"/>
      <c r="AA925" s="9"/>
      <c r="AB925" s="9"/>
    </row>
    <row r="926" ht="15.75" customHeight="1">
      <c r="A926" s="222">
        <v>45938</v>
      </c>
      <c r="B926" t="s" s="145">
        <v>1053</v>
      </c>
      <c r="C926" t="s" s="115">
        <v>1054</v>
      </c>
      <c r="D926" t="s" s="109">
        <v>1055</v>
      </c>
      <c r="E926" s="110"/>
      <c r="F926" s="111"/>
      <c r="G926" s="102">
        <v>1840997.84</v>
      </c>
      <c r="H926" s="113" cm="1">
        <f t="array" ref="H926">G926/I926</f>
        <v>1265.290611683850</v>
      </c>
      <c r="I926" s="104">
        <v>1455</v>
      </c>
      <c r="J926" s="163"/>
      <c r="K926" s="111"/>
      <c r="L926" s="164"/>
      <c r="M926" s="165"/>
      <c r="N926" s="165"/>
      <c r="O926" s="165"/>
      <c r="P926" s="165"/>
      <c r="Q926" s="165"/>
      <c r="R926" s="165"/>
      <c r="S926" s="47"/>
      <c r="T926" s="9"/>
      <c r="U926" s="9"/>
      <c r="V926" s="9"/>
      <c r="W926" s="9"/>
      <c r="X926" s="9"/>
      <c r="Y926" s="9"/>
      <c r="Z926" s="9"/>
      <c r="AA926" s="9"/>
      <c r="AB926" s="9"/>
    </row>
    <row r="927" ht="15.75" customHeight="1">
      <c r="A927" s="218">
        <v>45939</v>
      </c>
      <c r="B927" t="s" s="78">
        <v>1056</v>
      </c>
      <c r="C927" t="s" s="116">
        <v>1057</v>
      </c>
      <c r="D927" t="s" s="109">
        <v>1058</v>
      </c>
      <c r="E927" s="100"/>
      <c r="F927" s="101"/>
      <c r="G927" s="112">
        <v>1584000.01</v>
      </c>
      <c r="H927" s="113" cm="1">
        <f t="array" ref="H927">G927/I927</f>
        <v>1073.898311864410</v>
      </c>
      <c r="I927" s="114">
        <v>1475</v>
      </c>
      <c r="J927" s="105"/>
      <c r="K927" s="101"/>
      <c r="L927" s="209"/>
      <c r="M927" s="210"/>
      <c r="N927" s="210"/>
      <c r="O927" s="210"/>
      <c r="P927" s="210"/>
      <c r="Q927" s="210"/>
      <c r="R927" s="210"/>
      <c r="S927" s="9"/>
      <c r="T927" s="9"/>
      <c r="U927" s="9"/>
      <c r="V927" s="9"/>
      <c r="W927" s="9"/>
      <c r="X927" s="9"/>
      <c r="Y927" s="9"/>
      <c r="Z927" s="9"/>
      <c r="AA927" s="9"/>
      <c r="AB927" s="9"/>
    </row>
    <row r="928" ht="15.75" customHeight="1">
      <c r="A928" s="212">
        <v>45939</v>
      </c>
      <c r="B928" s="107"/>
      <c r="C928" t="s" s="115">
        <v>939</v>
      </c>
      <c r="D928" t="s" s="109">
        <v>1059</v>
      </c>
      <c r="E928" s="110"/>
      <c r="F928" s="111"/>
      <c r="G928" s="102">
        <v>55935.05</v>
      </c>
      <c r="H928" s="113" cm="1">
        <f t="array" ref="H928">G928/I928</f>
        <v>37.9220677966102</v>
      </c>
      <c r="I928" s="104">
        <v>1475</v>
      </c>
      <c r="J928" s="163"/>
      <c r="K928" s="111"/>
      <c r="L928" s="164"/>
      <c r="M928" s="165"/>
      <c r="N928" s="165"/>
      <c r="O928" s="165"/>
      <c r="P928" s="165"/>
      <c r="Q928" s="165"/>
      <c r="R928" s="165"/>
      <c r="S928" s="47"/>
      <c r="T928" s="9"/>
      <c r="U928" s="9"/>
      <c r="V928" s="9"/>
      <c r="W928" s="9"/>
      <c r="X928" s="9"/>
      <c r="Y928" s="9"/>
      <c r="Z928" s="9"/>
      <c r="AA928" s="9"/>
      <c r="AB928" s="9"/>
    </row>
    <row r="929" ht="15.75" customHeight="1">
      <c r="A929" s="212">
        <v>45943</v>
      </c>
      <c r="B929" t="s" s="145">
        <v>1060</v>
      </c>
      <c r="C929" t="s" s="115">
        <v>1038</v>
      </c>
      <c r="D929" t="s" s="109">
        <v>1061</v>
      </c>
      <c r="E929" s="110"/>
      <c r="F929" s="111"/>
      <c r="G929" s="102">
        <v>662557.6899999999</v>
      </c>
      <c r="H929" s="113" cm="1">
        <f t="array" ref="H929">G929/I929</f>
        <v>452.257808873720</v>
      </c>
      <c r="I929" s="104">
        <v>1465</v>
      </c>
      <c r="J929" s="163"/>
      <c r="K929" s="111"/>
      <c r="L929" s="164"/>
      <c r="M929" s="165"/>
      <c r="N929" s="165"/>
      <c r="O929" s="165"/>
      <c r="P929" s="165"/>
      <c r="Q929" s="165"/>
      <c r="R929" s="165"/>
      <c r="S929" s="47"/>
      <c r="T929" s="9"/>
      <c r="U929" s="9"/>
      <c r="V929" s="9"/>
      <c r="W929" s="9"/>
      <c r="X929" s="9"/>
      <c r="Y929" s="9"/>
      <c r="Z929" s="9"/>
      <c r="AA929" s="9"/>
      <c r="AB929" s="9"/>
    </row>
    <row r="930" ht="15.75" customHeight="1">
      <c r="A930" s="205">
        <v>45943</v>
      </c>
      <c r="B930" t="s" s="78">
        <v>1062</v>
      </c>
      <c r="C930" t="s" s="116">
        <v>1063</v>
      </c>
      <c r="D930" t="s" s="79">
        <v>1064</v>
      </c>
      <c r="E930" s="100"/>
      <c r="F930" s="101"/>
      <c r="G930" s="112">
        <v>3630000</v>
      </c>
      <c r="H930" s="113" cm="1">
        <f t="array" ref="H930">G930/I930</f>
        <v>2477.8156996587</v>
      </c>
      <c r="I930" s="114">
        <v>1465</v>
      </c>
      <c r="J930" s="105"/>
      <c r="K930" s="101"/>
      <c r="L930" s="209"/>
      <c r="M930" s="210"/>
      <c r="N930" s="210"/>
      <c r="O930" s="210"/>
      <c r="P930" s="210"/>
      <c r="Q930" s="210"/>
      <c r="R930" s="210"/>
      <c r="S930" s="9"/>
      <c r="T930" s="9"/>
      <c r="U930" s="9"/>
      <c r="V930" s="9"/>
      <c r="W930" s="9"/>
      <c r="X930" s="9"/>
      <c r="Y930" s="9"/>
      <c r="Z930" s="9"/>
      <c r="AA930" s="9"/>
      <c r="AB930" s="9"/>
    </row>
    <row r="931" ht="15.75" customHeight="1">
      <c r="A931" s="212">
        <v>45950</v>
      </c>
      <c r="B931" t="s" s="145">
        <v>1065</v>
      </c>
      <c r="C931" t="s" s="115">
        <v>475</v>
      </c>
      <c r="D931" t="s" s="109">
        <v>1033</v>
      </c>
      <c r="E931" s="110"/>
      <c r="F931" s="111"/>
      <c r="G931" s="102">
        <v>836236.28</v>
      </c>
      <c r="H931" s="113" cm="1">
        <f t="array" ref="H931">G931/I931</f>
        <v>566.939850847458</v>
      </c>
      <c r="I931" s="104">
        <v>1475</v>
      </c>
      <c r="J931" s="163"/>
      <c r="K931" s="111"/>
      <c r="L931" s="164"/>
      <c r="M931" s="165"/>
      <c r="N931" s="165"/>
      <c r="O931" s="165"/>
      <c r="P931" s="165"/>
      <c r="Q931" s="165"/>
      <c r="R931" s="165"/>
      <c r="S931" s="47"/>
      <c r="T931" s="9"/>
      <c r="U931" s="9"/>
      <c r="V931" s="9"/>
      <c r="W931" s="9"/>
      <c r="X931" s="9"/>
      <c r="Y931" s="9"/>
      <c r="Z931" s="9"/>
      <c r="AA931" s="9"/>
      <c r="AB931" s="9"/>
    </row>
    <row r="932" ht="15.75" customHeight="1">
      <c r="A932" s="205">
        <v>45950</v>
      </c>
      <c r="B932" t="s" s="78">
        <v>1065</v>
      </c>
      <c r="C932" t="s" s="116">
        <v>1017</v>
      </c>
      <c r="D932" t="s" s="79">
        <v>1033</v>
      </c>
      <c r="E932" s="100"/>
      <c r="F932" s="101"/>
      <c r="G932" s="102">
        <v>211101.97</v>
      </c>
      <c r="H932" s="113" cm="1">
        <f t="array" ref="H932">G932/I932</f>
        <v>143.119979661017</v>
      </c>
      <c r="I932" s="104">
        <v>1475</v>
      </c>
      <c r="J932" s="105"/>
      <c r="K932" s="101"/>
      <c r="L932" s="209"/>
      <c r="M932" s="210"/>
      <c r="N932" s="210"/>
      <c r="O932" s="210"/>
      <c r="P932" s="210"/>
      <c r="Q932" s="210"/>
      <c r="R932" s="210"/>
      <c r="S932" s="9"/>
      <c r="T932" s="9"/>
      <c r="U932" s="9"/>
      <c r="V932" s="9"/>
      <c r="W932" s="9"/>
      <c r="X932" s="9"/>
      <c r="Y932" s="9"/>
      <c r="Z932" s="9"/>
      <c r="AA932" s="9"/>
      <c r="AB932" s="9"/>
    </row>
    <row r="933" ht="15.75" customHeight="1">
      <c r="A933" s="124">
        <v>30102025</v>
      </c>
      <c r="B933" t="s" s="145">
        <v>1066</v>
      </c>
      <c r="C933" t="s" s="115">
        <v>1067</v>
      </c>
      <c r="D933" t="s" s="109">
        <v>1052</v>
      </c>
      <c r="E933" s="110"/>
      <c r="F933" s="111"/>
      <c r="G933" s="112">
        <v>70000</v>
      </c>
      <c r="H933" s="113" cm="1">
        <f t="array" ref="H933">G933/I933</f>
        <v>47.9452054794521</v>
      </c>
      <c r="I933" s="114">
        <v>1460</v>
      </c>
      <c r="J933" s="163"/>
      <c r="K933" s="111"/>
      <c r="L933" s="164"/>
      <c r="M933" s="165"/>
      <c r="N933" s="165"/>
      <c r="O933" s="165"/>
      <c r="P933" s="165"/>
      <c r="Q933" s="165"/>
      <c r="R933" s="165"/>
      <c r="S933" s="47"/>
      <c r="T933" s="9"/>
      <c r="U933" s="9"/>
      <c r="V933" s="9"/>
      <c r="W933" s="9"/>
      <c r="X933" s="9"/>
      <c r="Y933" s="9"/>
      <c r="Z933" s="9"/>
      <c r="AA933" s="9"/>
      <c r="AB933" s="9"/>
    </row>
    <row r="934" ht="15.75" customHeight="1">
      <c r="A934" s="218">
        <v>45964</v>
      </c>
      <c r="B934" t="s" s="78">
        <v>1068</v>
      </c>
      <c r="C934" t="s" s="116">
        <v>1063</v>
      </c>
      <c r="D934" t="s" s="79">
        <v>1064</v>
      </c>
      <c r="E934" s="100"/>
      <c r="F934" s="101"/>
      <c r="G934" s="102">
        <v>3630000</v>
      </c>
      <c r="H934" s="113" cm="1">
        <f t="array" ref="H934">G934/I934</f>
        <v>2529.616724738680</v>
      </c>
      <c r="I934" s="104">
        <v>1435</v>
      </c>
      <c r="J934" s="105"/>
      <c r="K934" s="101"/>
      <c r="L934" s="220"/>
      <c r="M934" s="23"/>
      <c r="N934" s="23"/>
      <c r="O934" s="23"/>
      <c r="P934" s="23"/>
      <c r="Q934" s="23"/>
      <c r="R934" s="23"/>
      <c r="S934" s="9"/>
      <c r="T934" s="9"/>
      <c r="U934" s="9"/>
      <c r="V934" s="9"/>
      <c r="W934" s="9"/>
      <c r="X934" s="9"/>
      <c r="Y934" s="9"/>
      <c r="Z934" s="9"/>
      <c r="AA934" s="9"/>
      <c r="AB934" s="9"/>
    </row>
    <row r="935" ht="15.75" customHeight="1">
      <c r="A935" s="212">
        <v>45971</v>
      </c>
      <c r="B935" s="107"/>
      <c r="C935" t="s" s="115">
        <v>939</v>
      </c>
      <c r="D935" t="s" s="109">
        <v>1069</v>
      </c>
      <c r="E935" s="110"/>
      <c r="F935" s="111"/>
      <c r="G935" s="112">
        <v>54371.64</v>
      </c>
      <c r="H935" s="113" cm="1">
        <f t="array" ref="H935">G935/I935</f>
        <v>38.6986761565836</v>
      </c>
      <c r="I935" s="114">
        <v>1405</v>
      </c>
      <c r="J935" s="163"/>
      <c r="K935" s="111"/>
      <c r="L935" s="221"/>
      <c r="M935" s="9"/>
      <c r="N935" s="9"/>
      <c r="O935" s="9"/>
      <c r="P935" s="9"/>
      <c r="Q935" s="9"/>
      <c r="R935" s="9"/>
      <c r="S935" s="9"/>
      <c r="T935" s="9"/>
      <c r="U935" s="9"/>
      <c r="V935" s="9"/>
      <c r="W935" s="9"/>
      <c r="X935" s="9"/>
      <c r="Y935" s="9"/>
      <c r="Z935" s="9"/>
      <c r="AA935" s="9"/>
      <c r="AB935" s="9"/>
    </row>
    <row r="936" ht="15.75" customHeight="1">
      <c r="A936" s="205">
        <v>45971</v>
      </c>
      <c r="B936" s="98"/>
      <c r="C936" t="s" s="116">
        <v>41</v>
      </c>
      <c r="D936" t="s" s="79">
        <v>1070</v>
      </c>
      <c r="E936" s="100"/>
      <c r="F936" s="101"/>
      <c r="G936" s="102">
        <v>211101.97</v>
      </c>
      <c r="H936" s="103" cm="1">
        <f t="array" ref="H936">G936/I936</f>
        <v>150.250512455516</v>
      </c>
      <c r="I936" s="104">
        <v>1405</v>
      </c>
      <c r="J936" s="105"/>
      <c r="K936" s="101"/>
      <c r="L936" s="221"/>
      <c r="M936" s="9"/>
      <c r="N936" s="9"/>
      <c r="O936" s="9"/>
      <c r="P936" s="9"/>
      <c r="Q936" s="9"/>
      <c r="R936" s="9"/>
      <c r="S936" s="9"/>
      <c r="T936" s="9"/>
      <c r="U936" s="9"/>
      <c r="V936" s="9"/>
      <c r="W936" s="9"/>
      <c r="X936" s="9"/>
      <c r="Y936" s="9"/>
      <c r="Z936" s="9"/>
      <c r="AA936" s="9"/>
      <c r="AB936" s="9"/>
    </row>
    <row r="937" ht="15.75" customHeight="1">
      <c r="A937" s="212">
        <v>45973</v>
      </c>
      <c r="B937" t="s" s="145">
        <v>1071</v>
      </c>
      <c r="C937" t="s" s="115">
        <v>1026</v>
      </c>
      <c r="D937" t="s" s="109">
        <v>1072</v>
      </c>
      <c r="E937" s="110"/>
      <c r="F937" s="111"/>
      <c r="G937" s="112">
        <v>33855.27</v>
      </c>
      <c r="H937" s="113" cm="1">
        <f t="array" ref="H937">G937/I937</f>
        <v>23.675013986014</v>
      </c>
      <c r="I937" s="114">
        <v>1430</v>
      </c>
      <c r="J937" s="163"/>
      <c r="K937" s="111"/>
      <c r="L937" s="221"/>
      <c r="M937" s="9"/>
      <c r="N937" s="9"/>
      <c r="O937" s="9"/>
      <c r="P937" s="9"/>
      <c r="Q937" s="9"/>
      <c r="R937" s="9"/>
      <c r="S937" s="9"/>
      <c r="T937" s="9"/>
      <c r="U937" s="9"/>
      <c r="V937" s="9"/>
      <c r="W937" s="9"/>
      <c r="X937" s="9"/>
      <c r="Y937" s="9"/>
      <c r="Z937" s="9"/>
      <c r="AA937" s="9"/>
      <c r="AB937" s="9"/>
    </row>
    <row r="938" ht="15.75" customHeight="1">
      <c r="A938" s="205">
        <v>45973</v>
      </c>
      <c r="B938" t="s" s="78">
        <v>1073</v>
      </c>
      <c r="C938" t="s" s="116">
        <v>1026</v>
      </c>
      <c r="D938" t="s" s="79">
        <v>1074</v>
      </c>
      <c r="E938" s="100"/>
      <c r="F938" s="101"/>
      <c r="G938" s="102">
        <v>123772.78</v>
      </c>
      <c r="H938" s="113" cm="1">
        <f t="array" ref="H938">G938/I938</f>
        <v>86.5543916083916</v>
      </c>
      <c r="I938" s="104">
        <v>1430</v>
      </c>
      <c r="J938" s="105"/>
      <c r="K938" s="101"/>
      <c r="L938" s="221"/>
      <c r="M938" s="9"/>
      <c r="N938" s="9"/>
      <c r="O938" s="9"/>
      <c r="P938" s="9"/>
      <c r="Q938" s="9"/>
      <c r="R938" s="9"/>
      <c r="S938" s="9"/>
      <c r="T938" s="9"/>
      <c r="U938" s="9"/>
      <c r="V938" s="9"/>
      <c r="W938" s="9"/>
      <c r="X938" s="9"/>
      <c r="Y938" s="9"/>
      <c r="Z938" s="9"/>
      <c r="AA938" s="9"/>
      <c r="AB938" s="9"/>
    </row>
    <row r="939" ht="15.75" customHeight="1">
      <c r="A939" s="212">
        <v>45973</v>
      </c>
      <c r="B939" t="s" s="145">
        <v>1075</v>
      </c>
      <c r="C939" t="s" s="115">
        <v>1076</v>
      </c>
      <c r="D939" t="s" s="109">
        <v>1077</v>
      </c>
      <c r="E939" s="110"/>
      <c r="F939" s="111"/>
      <c r="G939" s="112">
        <v>18817920</v>
      </c>
      <c r="H939" s="113" cm="1">
        <f t="array" ref="H939">G939/I939</f>
        <v>13159.3846153846</v>
      </c>
      <c r="I939" s="114">
        <v>1430</v>
      </c>
      <c r="J939" s="163"/>
      <c r="K939" s="111"/>
      <c r="L939" s="221"/>
      <c r="M939" s="9"/>
      <c r="N939" s="9"/>
      <c r="O939" s="9"/>
      <c r="P939" s="9"/>
      <c r="Q939" s="9"/>
      <c r="R939" s="9"/>
      <c r="S939" s="9"/>
      <c r="T939" s="9"/>
      <c r="U939" s="9"/>
      <c r="V939" s="9"/>
      <c r="W939" s="9"/>
      <c r="X939" s="9"/>
      <c r="Y939" s="9"/>
      <c r="Z939" s="9"/>
      <c r="AA939" s="9"/>
      <c r="AB939" s="9"/>
    </row>
    <row r="940" ht="15.75" customHeight="1">
      <c r="A940" s="205">
        <v>45978</v>
      </c>
      <c r="B940" t="s" s="78">
        <v>1078</v>
      </c>
      <c r="C940" t="s" s="116">
        <v>1079</v>
      </c>
      <c r="D940" t="s" s="79">
        <v>1080</v>
      </c>
      <c r="E940" s="100"/>
      <c r="F940" s="101"/>
      <c r="G940" s="102">
        <v>340000</v>
      </c>
      <c r="H940" s="113" cm="1">
        <f t="array" ref="H940">G940/I940</f>
        <v>238.931834153197</v>
      </c>
      <c r="I940" s="104">
        <v>1423</v>
      </c>
      <c r="J940" s="105"/>
      <c r="K940" s="101"/>
      <c r="L940" s="221"/>
      <c r="M940" s="9"/>
      <c r="N940" s="9"/>
      <c r="O940" s="9"/>
      <c r="P940" s="9"/>
      <c r="Q940" s="9"/>
      <c r="R940" s="9"/>
      <c r="S940" s="9"/>
      <c r="T940" s="9"/>
      <c r="U940" s="9"/>
      <c r="V940" s="9"/>
      <c r="W940" s="9"/>
      <c r="X940" s="9"/>
      <c r="Y940" s="9"/>
      <c r="Z940" s="9"/>
      <c r="AA940" s="9"/>
      <c r="AB940" s="9"/>
    </row>
    <row r="941" ht="15.75" customHeight="1">
      <c r="A941" s="212">
        <v>45980</v>
      </c>
      <c r="B941" s="107"/>
      <c r="C941" t="s" s="115">
        <v>475</v>
      </c>
      <c r="D941" t="s" s="109">
        <v>1070</v>
      </c>
      <c r="E941" s="110"/>
      <c r="F941" s="111"/>
      <c r="G941" s="112">
        <v>852986.09</v>
      </c>
      <c r="H941" s="113" cm="1">
        <f t="array" ref="H941">G941/I941</f>
        <v>600.694429577465</v>
      </c>
      <c r="I941" s="114">
        <v>1420</v>
      </c>
      <c r="J941" s="163"/>
      <c r="K941" s="111"/>
      <c r="L941" s="221"/>
      <c r="M941" s="9"/>
      <c r="N941" s="9"/>
      <c r="O941" s="9"/>
      <c r="P941" s="9"/>
      <c r="Q941" s="9"/>
      <c r="R941" s="9"/>
      <c r="S941" s="9"/>
      <c r="T941" s="9"/>
      <c r="U941" s="9"/>
      <c r="V941" s="9"/>
      <c r="W941" s="9"/>
      <c r="X941" s="9"/>
      <c r="Y941" s="9"/>
      <c r="Z941" s="9"/>
      <c r="AA941" s="9"/>
      <c r="AB941" s="9"/>
    </row>
    <row r="942" ht="15.75" customHeight="1">
      <c r="A942" s="205">
        <v>45981</v>
      </c>
      <c r="B942" t="s" s="78">
        <v>1081</v>
      </c>
      <c r="C942" t="s" s="116">
        <v>1067</v>
      </c>
      <c r="D942" t="s" s="79">
        <v>1052</v>
      </c>
      <c r="E942" s="100"/>
      <c r="F942" s="101"/>
      <c r="G942" s="102">
        <v>70000</v>
      </c>
      <c r="H942" s="103" cm="1">
        <f t="array" ref="H942">G942/I942</f>
        <v>49.469964664311</v>
      </c>
      <c r="I942" s="104">
        <v>1415</v>
      </c>
      <c r="J942" s="105"/>
      <c r="K942" s="101"/>
      <c r="L942" s="221"/>
      <c r="M942" s="9"/>
      <c r="N942" s="9"/>
      <c r="O942" s="9"/>
      <c r="P942" s="9"/>
      <c r="Q942" s="9"/>
      <c r="R942" s="9"/>
      <c r="S942" s="9"/>
      <c r="T942" s="9"/>
      <c r="U942" s="9"/>
      <c r="V942" s="9"/>
      <c r="W942" s="9"/>
      <c r="X942" s="9"/>
      <c r="Y942" s="9"/>
      <c r="Z942" s="9"/>
      <c r="AA942" s="9"/>
      <c r="AB942" s="9"/>
    </row>
    <row r="943" ht="15.75" customHeight="1">
      <c r="A943" s="212">
        <v>45989</v>
      </c>
      <c r="B943" t="s" s="145">
        <v>1082</v>
      </c>
      <c r="C943" t="s" s="115">
        <v>1083</v>
      </c>
      <c r="D943" t="s" s="109">
        <v>1084</v>
      </c>
      <c r="E943" s="110"/>
      <c r="F943" s="111"/>
      <c r="G943" s="112">
        <v>6000000</v>
      </c>
      <c r="H943" s="113" cm="1">
        <f t="array" ref="H943">G943/I943</f>
        <v>4192.872117400420</v>
      </c>
      <c r="I943" s="114">
        <v>1431</v>
      </c>
      <c r="J943" s="163"/>
      <c r="K943" s="111"/>
      <c r="L943" s="221"/>
      <c r="M943" s="9"/>
      <c r="N943" s="9"/>
      <c r="O943" s="9"/>
      <c r="P943" s="9"/>
      <c r="Q943" s="9"/>
      <c r="R943" s="9"/>
      <c r="S943" s="9"/>
      <c r="T943" s="9"/>
      <c r="U943" s="9"/>
      <c r="V943" s="9"/>
      <c r="W943" s="9"/>
      <c r="X943" s="9"/>
      <c r="Y943" s="9"/>
      <c r="Z943" s="9"/>
      <c r="AA943" s="9"/>
      <c r="AB943" s="9"/>
    </row>
    <row r="944" ht="15.75" customHeight="1">
      <c r="A944" s="205">
        <v>45989</v>
      </c>
      <c r="B944" t="s" s="78">
        <v>1085</v>
      </c>
      <c r="C944" t="s" s="116">
        <v>1086</v>
      </c>
      <c r="D944" t="s" s="79">
        <v>1087</v>
      </c>
      <c r="E944" s="100"/>
      <c r="F944" s="101"/>
      <c r="G944" s="102">
        <v>16800000</v>
      </c>
      <c r="H944" s="113" cm="1">
        <f t="array" ref="H944">G944/I944</f>
        <v>10902.0116807268</v>
      </c>
      <c r="I944" s="104">
        <v>1541</v>
      </c>
      <c r="J944" s="105"/>
      <c r="K944" s="101"/>
      <c r="L944" s="221"/>
      <c r="M944" s="9"/>
      <c r="N944" s="9"/>
      <c r="O944" s="9"/>
      <c r="P944" s="9"/>
      <c r="Q944" s="9"/>
      <c r="R944" s="9"/>
      <c r="S944" s="9"/>
      <c r="T944" s="9"/>
      <c r="U944" s="9"/>
      <c r="V944" s="9"/>
      <c r="W944" s="9"/>
      <c r="X944" s="9"/>
      <c r="Y944" s="9"/>
      <c r="Z944" s="9"/>
      <c r="AA944" s="9"/>
      <c r="AB944" s="9"/>
    </row>
    <row r="945" ht="15.75" customHeight="1">
      <c r="A945" s="212">
        <v>46000</v>
      </c>
      <c r="B945" s="107"/>
      <c r="C945" t="s" s="115">
        <v>41</v>
      </c>
      <c r="D945" t="s" s="109">
        <v>1088</v>
      </c>
      <c r="E945" s="110"/>
      <c r="F945" s="111"/>
      <c r="G945" s="112">
        <v>211101.97</v>
      </c>
      <c r="H945" s="113" cm="1">
        <f t="array" ref="H945">G945/I945</f>
        <v>147.109386759582</v>
      </c>
      <c r="I945" s="114">
        <v>1435</v>
      </c>
      <c r="J945" s="163"/>
      <c r="K945" s="111"/>
      <c r="L945" s="221"/>
      <c r="M945" s="9"/>
      <c r="N945" s="9"/>
      <c r="O945" s="9"/>
      <c r="P945" s="9"/>
      <c r="Q945" s="9"/>
      <c r="R945" s="9"/>
      <c r="S945" s="9"/>
      <c r="T945" s="9"/>
      <c r="U945" s="9"/>
      <c r="V945" s="9"/>
      <c r="W945" s="9"/>
      <c r="X945" s="9"/>
      <c r="Y945" s="9"/>
      <c r="Z945" s="9"/>
      <c r="AA945" s="9"/>
      <c r="AB945" s="9"/>
    </row>
    <row r="946" ht="15.75" customHeight="1">
      <c r="A946" s="205">
        <v>46003</v>
      </c>
      <c r="B946" t="s" s="78">
        <v>1089</v>
      </c>
      <c r="C946" t="s" s="116">
        <v>1067</v>
      </c>
      <c r="D946" t="s" s="79">
        <v>1052</v>
      </c>
      <c r="E946" s="100"/>
      <c r="F946" s="101"/>
      <c r="G946" s="102">
        <v>75000</v>
      </c>
      <c r="H946" s="103" cm="1">
        <f t="array" ref="H946">G946/I946</f>
        <v>50.3355704697987</v>
      </c>
      <c r="I946" s="104">
        <v>1490</v>
      </c>
      <c r="J946" s="105"/>
      <c r="K946" s="101"/>
      <c r="L946" s="221"/>
      <c r="M946" s="9"/>
      <c r="N946" s="9"/>
      <c r="O946" s="9"/>
      <c r="P946" s="9"/>
      <c r="Q946" s="9"/>
      <c r="R946" s="9"/>
      <c r="S946" s="9"/>
      <c r="T946" s="9"/>
      <c r="U946" s="9"/>
      <c r="V946" s="9"/>
      <c r="W946" s="9"/>
      <c r="X946" s="9"/>
      <c r="Y946" s="9"/>
      <c r="Z946" s="9"/>
      <c r="AA946" s="9"/>
      <c r="AB946" s="9"/>
    </row>
    <row r="947" ht="15.75" customHeight="1">
      <c r="A947" s="212">
        <v>46010</v>
      </c>
      <c r="B947" s="124">
        <v>17004</v>
      </c>
      <c r="C947" t="s" s="115">
        <v>1090</v>
      </c>
      <c r="D947" t="s" s="109">
        <v>1091</v>
      </c>
      <c r="E947" s="110"/>
      <c r="F947" s="111"/>
      <c r="G947" s="112">
        <v>6624.75</v>
      </c>
      <c r="H947" s="113" cm="1">
        <f t="array" ref="H947">G947/I947</f>
        <v>4.49135593220339</v>
      </c>
      <c r="I947" s="114">
        <v>1475</v>
      </c>
      <c r="J947" s="163"/>
      <c r="K947" s="111"/>
      <c r="L947" s="221"/>
      <c r="M947" s="9"/>
      <c r="N947" s="9"/>
      <c r="O947" s="9"/>
      <c r="P947" s="9"/>
      <c r="Q947" s="9"/>
      <c r="R947" s="9"/>
      <c r="S947" s="9"/>
      <c r="T947" s="9"/>
      <c r="U947" s="9"/>
      <c r="V947" s="9"/>
      <c r="W947" s="9"/>
      <c r="X947" s="9"/>
      <c r="Y947" s="9"/>
      <c r="Z947" s="9"/>
      <c r="AA947" s="9"/>
      <c r="AB947" s="9"/>
    </row>
    <row r="948" ht="15.75" customHeight="1">
      <c r="A948" s="205">
        <v>46014</v>
      </c>
      <c r="B948" s="98"/>
      <c r="C948" t="s" s="116">
        <v>99</v>
      </c>
      <c r="D948" t="s" s="79">
        <v>1069</v>
      </c>
      <c r="E948" s="100"/>
      <c r="F948" s="101"/>
      <c r="G948" s="102">
        <v>942919.5699999999</v>
      </c>
      <c r="H948" s="103" cm="1">
        <f t="array" ref="H948">G948/I948</f>
        <v>630.715431438127</v>
      </c>
      <c r="I948" s="104">
        <v>1495</v>
      </c>
      <c r="J948" s="105"/>
      <c r="K948" s="101"/>
      <c r="L948" s="221"/>
      <c r="M948" s="9"/>
      <c r="N948" s="9"/>
      <c r="O948" s="9"/>
      <c r="P948" s="9"/>
      <c r="Q948" s="9"/>
      <c r="R948" s="9"/>
      <c r="S948" s="9"/>
      <c r="T948" s="9"/>
      <c r="U948" s="9"/>
      <c r="V948" s="9"/>
      <c r="W948" s="9"/>
      <c r="X948" s="9"/>
      <c r="Y948" s="9"/>
      <c r="Z948" s="9"/>
      <c r="AA948" s="9"/>
      <c r="AB948" s="9"/>
    </row>
    <row r="949" ht="15.75" customHeight="1">
      <c r="A949" s="212">
        <v>46021</v>
      </c>
      <c r="B949" t="s" s="145">
        <v>1082</v>
      </c>
      <c r="C949" t="s" s="115">
        <v>1054</v>
      </c>
      <c r="D949" t="s" s="109">
        <v>1092</v>
      </c>
      <c r="E949" s="110"/>
      <c r="F949" s="111"/>
      <c r="G949" s="112">
        <v>299811</v>
      </c>
      <c r="H949" s="113" cm="1">
        <f t="array" ref="H949">G949/I949</f>
        <v>197.244078947368</v>
      </c>
      <c r="I949" s="114">
        <v>1520</v>
      </c>
      <c r="J949" s="163"/>
      <c r="K949" s="111"/>
      <c r="L949" s="221"/>
      <c r="M949" s="9"/>
      <c r="N949" s="9"/>
      <c r="O949" s="9"/>
      <c r="P949" s="9"/>
      <c r="Q949" s="9"/>
      <c r="R949" s="9"/>
      <c r="S949" s="9"/>
      <c r="T949" s="9"/>
      <c r="U949" s="9"/>
      <c r="V949" s="9"/>
      <c r="W949" s="9"/>
      <c r="X949" s="9"/>
      <c r="Y949" s="9"/>
      <c r="Z949" s="9"/>
      <c r="AA949" s="9"/>
      <c r="AB949" s="9"/>
    </row>
    <row r="950" ht="15.75" customHeight="1">
      <c r="A950" s="218">
        <v>46031</v>
      </c>
      <c r="B950" s="98"/>
      <c r="C950" t="s" s="116">
        <v>41</v>
      </c>
      <c r="D950" t="s" s="79">
        <v>1093</v>
      </c>
      <c r="E950" s="100"/>
      <c r="F950" s="101"/>
      <c r="G950" s="102">
        <v>2576418.1</v>
      </c>
      <c r="H950" s="113" cm="1">
        <f t="array" ref="H950">G950/I950</f>
        <v>1723.356588628760</v>
      </c>
      <c r="I950" s="104">
        <v>1495</v>
      </c>
      <c r="J950" s="105"/>
      <c r="K950" s="101"/>
      <c r="L950" s="223"/>
      <c r="M950" s="7"/>
      <c r="N950" s="7"/>
      <c r="O950" s="7"/>
      <c r="P950" s="7"/>
      <c r="Q950" s="7"/>
      <c r="R950" s="7"/>
      <c r="S950" s="7"/>
      <c r="T950" s="7"/>
      <c r="U950" s="7"/>
      <c r="V950" s="7"/>
      <c r="W950" s="7"/>
      <c r="X950" s="7"/>
      <c r="Y950" s="7"/>
      <c r="Z950" s="7"/>
      <c r="AA950" s="7"/>
      <c r="AB950" s="7"/>
    </row>
    <row r="951" ht="15.75" customHeight="1">
      <c r="A951" s="224">
        <v>46042</v>
      </c>
      <c r="B951" s="190"/>
      <c r="C951" t="s" s="174">
        <v>99</v>
      </c>
      <c r="D951" t="s" s="175">
        <v>1088</v>
      </c>
      <c r="E951" s="176"/>
      <c r="F951" s="159"/>
      <c r="G951" s="191">
        <v>944360.2</v>
      </c>
      <c r="H951" s="179" cm="1">
        <f t="array" ref="H951">G951/I951</f>
        <v>631.6790635451511</v>
      </c>
      <c r="I951" s="180">
        <v>1495</v>
      </c>
      <c r="J951" s="158"/>
      <c r="K951" s="159"/>
      <c r="L951" s="225"/>
      <c r="M951" s="226"/>
      <c r="N951" s="226"/>
      <c r="O951" s="226"/>
      <c r="P951" s="226"/>
      <c r="Q951" s="226"/>
      <c r="R951" s="226"/>
      <c r="S951" s="226"/>
      <c r="T951" s="226"/>
      <c r="U951" s="226"/>
      <c r="V951" s="226"/>
      <c r="W951" s="226"/>
      <c r="X951" s="226"/>
      <c r="Y951" s="226"/>
      <c r="Z951" s="226"/>
      <c r="AA951" s="226"/>
      <c r="AB951" s="227"/>
    </row>
    <row r="952" ht="15.75" customHeight="1">
      <c r="A952" s="228">
        <v>46042</v>
      </c>
      <c r="B952" s="98"/>
      <c r="C952" t="s" s="116">
        <v>34</v>
      </c>
      <c r="D952" t="s" s="79">
        <v>1088</v>
      </c>
      <c r="E952" s="100"/>
      <c r="F952" s="101"/>
      <c r="G952" s="102">
        <v>57240.07</v>
      </c>
      <c r="H952" s="113" cm="1">
        <f t="array" ref="H952">G952/I952</f>
        <v>38.2876722408027</v>
      </c>
      <c r="I952" s="104">
        <v>1495</v>
      </c>
      <c r="J952" s="105"/>
      <c r="K952" s="101"/>
      <c r="L952" s="229"/>
      <c r="M952" s="230"/>
      <c r="N952" s="230"/>
      <c r="O952" s="230"/>
      <c r="P952" s="230"/>
      <c r="Q952" s="230"/>
      <c r="R952" s="230"/>
      <c r="S952" s="230"/>
      <c r="T952" s="230"/>
      <c r="U952" s="230"/>
      <c r="V952" s="230"/>
      <c r="W952" s="230"/>
      <c r="X952" s="230"/>
      <c r="Y952" s="230"/>
      <c r="Z952" s="230"/>
      <c r="AA952" s="230"/>
      <c r="AB952" s="230"/>
    </row>
    <row r="953" ht="15.75" customHeight="1">
      <c r="A953" s="224">
        <v>46044</v>
      </c>
      <c r="B953" s="190"/>
      <c r="C953" t="s" s="174">
        <v>34</v>
      </c>
      <c r="D953" t="s" s="175">
        <v>1094</v>
      </c>
      <c r="E953" s="176"/>
      <c r="F953" s="159"/>
      <c r="G953" s="191">
        <v>55062.8</v>
      </c>
      <c r="H953" s="179" cm="1">
        <f t="array" ref="H953">G953/I953</f>
        <v>36.9548993288591</v>
      </c>
      <c r="I953" s="180">
        <v>1490</v>
      </c>
      <c r="J953" s="158"/>
      <c r="K953" s="159"/>
      <c r="L953" s="225"/>
      <c r="M953" s="226"/>
      <c r="N953" s="226"/>
      <c r="O953" s="226"/>
      <c r="P953" s="226"/>
      <c r="Q953" s="226"/>
      <c r="R953" s="226"/>
      <c r="S953" s="226"/>
      <c r="T953" s="226"/>
      <c r="U953" s="226"/>
      <c r="V953" s="226"/>
      <c r="W953" s="226"/>
      <c r="X953" s="226"/>
      <c r="Y953" s="226"/>
      <c r="Z953" s="226"/>
      <c r="AA953" s="226"/>
      <c r="AB953" s="227"/>
    </row>
    <row r="954" ht="15.75" customHeight="1">
      <c r="A954" s="218">
        <v>46048</v>
      </c>
      <c r="B954" s="121">
        <v>12</v>
      </c>
      <c r="C954" t="s" s="116">
        <v>149</v>
      </c>
      <c r="D954" t="s" s="79">
        <v>1095</v>
      </c>
      <c r="E954" s="100"/>
      <c r="F954" s="101"/>
      <c r="G954" s="102">
        <v>246500</v>
      </c>
      <c r="H954" s="113" cm="1">
        <f t="array" ref="H954">G954/I954</f>
        <v>166.554054054054</v>
      </c>
      <c r="I954" s="104">
        <v>1480</v>
      </c>
      <c r="J954" s="105"/>
      <c r="K954" s="101"/>
      <c r="L954" s="220"/>
      <c r="M954" s="23"/>
      <c r="N954" s="23"/>
      <c r="O954" s="23"/>
      <c r="P954" s="23"/>
      <c r="Q954" s="23"/>
      <c r="R954" s="23"/>
      <c r="S954" s="23"/>
      <c r="T954" s="23"/>
      <c r="U954" s="23"/>
      <c r="V954" s="23"/>
      <c r="W954" s="23"/>
      <c r="X954" s="23"/>
      <c r="Y954" s="23"/>
      <c r="Z954" s="23"/>
      <c r="AA954" s="23"/>
      <c r="AB954" s="23"/>
    </row>
    <row r="955" ht="15.75" customHeight="1">
      <c r="A955" s="218">
        <v>46051</v>
      </c>
      <c r="B955" t="s" s="78">
        <v>1096</v>
      </c>
      <c r="C955" t="s" s="116">
        <v>1097</v>
      </c>
      <c r="D955" t="s" s="79">
        <v>1064</v>
      </c>
      <c r="E955" s="100"/>
      <c r="F955" s="101"/>
      <c r="G955" s="102">
        <v>3700000</v>
      </c>
      <c r="H955" s="113" cm="1">
        <f t="array" ref="H955">G955/I955</f>
        <v>2508.474576271190</v>
      </c>
      <c r="I955" s="104">
        <v>1475</v>
      </c>
      <c r="J955" s="105"/>
      <c r="K955" s="101"/>
      <c r="L955" s="221"/>
      <c r="M955" s="9"/>
      <c r="N955" s="9"/>
      <c r="O955" s="9"/>
      <c r="P955" s="9"/>
      <c r="Q955" s="9"/>
      <c r="R955" s="9"/>
      <c r="S955" s="9"/>
      <c r="T955" s="9"/>
      <c r="U955" s="9"/>
      <c r="V955" s="9"/>
      <c r="W955" s="9"/>
      <c r="X955" s="9"/>
      <c r="Y955" s="9"/>
      <c r="Z955" s="9"/>
      <c r="AA955" s="9"/>
      <c r="AB955" s="9"/>
    </row>
    <row r="956" ht="15.75" customHeight="1">
      <c r="A956" s="222">
        <v>46066</v>
      </c>
      <c r="B956" t="s" s="145">
        <v>1098</v>
      </c>
      <c r="C956" t="s" s="115">
        <v>149</v>
      </c>
      <c r="D956" t="s" s="109">
        <v>1099</v>
      </c>
      <c r="E956" s="110"/>
      <c r="F956" s="111"/>
      <c r="G956" s="112">
        <v>246500</v>
      </c>
      <c r="H956" s="113" cm="1">
        <f t="array" ref="H956">G956/I956</f>
        <v>172.377622377622</v>
      </c>
      <c r="I956" s="114">
        <v>1430</v>
      </c>
      <c r="J956" s="163"/>
      <c r="K956" s="111"/>
      <c r="L956" s="221"/>
      <c r="M956" s="9"/>
      <c r="N956" s="9"/>
      <c r="O956" s="9"/>
      <c r="P956" s="9"/>
      <c r="Q956" s="9"/>
      <c r="R956" s="9"/>
      <c r="S956" s="9"/>
      <c r="T956" s="9"/>
      <c r="U956" s="9"/>
      <c r="V956" s="9"/>
      <c r="W956" s="9"/>
      <c r="X956" s="9"/>
      <c r="Y956" s="9"/>
      <c r="Z956" s="9"/>
      <c r="AA956" s="9"/>
      <c r="AB956" s="9"/>
    </row>
    <row r="957" ht="15.75" customHeight="1">
      <c r="A957" s="218">
        <v>46071</v>
      </c>
      <c r="B957" s="98"/>
      <c r="C957" t="s" s="116">
        <v>32</v>
      </c>
      <c r="D957" t="s" s="79">
        <v>1093</v>
      </c>
      <c r="E957" s="100"/>
      <c r="F957" s="101"/>
      <c r="G957" s="102">
        <v>1168893.1</v>
      </c>
      <c r="H957" s="103" cm="1">
        <f t="array" ref="H957">G957/I957</f>
        <v>820.275859649123</v>
      </c>
      <c r="I957" s="104">
        <v>1425</v>
      </c>
      <c r="J957" s="105"/>
      <c r="K957" s="101"/>
      <c r="L957" s="221"/>
      <c r="M957" s="9"/>
      <c r="N957" s="9"/>
      <c r="O957" s="9"/>
      <c r="P957" s="9"/>
      <c r="Q957" s="9"/>
      <c r="R957" s="9"/>
      <c r="S957" s="9"/>
      <c r="T957" s="9"/>
      <c r="U957" s="9"/>
      <c r="V957" s="9"/>
      <c r="W957" s="9"/>
      <c r="X957" s="9"/>
      <c r="Y957" s="9"/>
      <c r="Z957" s="9"/>
      <c r="AA957" s="9"/>
      <c r="AB957" s="9"/>
    </row>
    <row r="958" ht="15.75" customHeight="1">
      <c r="A958" s="222">
        <v>46073</v>
      </c>
      <c r="B958" s="107"/>
      <c r="C958" t="s" s="115">
        <v>34</v>
      </c>
      <c r="D958" t="s" s="109">
        <v>976</v>
      </c>
      <c r="E958" s="110"/>
      <c r="F958" s="111"/>
      <c r="G958" s="112">
        <v>54353.5</v>
      </c>
      <c r="H958" s="113" cm="1">
        <f t="array" ref="H958">G958/I958</f>
        <v>38.2771126760563</v>
      </c>
      <c r="I958" s="114">
        <v>1420</v>
      </c>
      <c r="J958" s="163"/>
      <c r="K958" s="111"/>
      <c r="L958" s="221"/>
      <c r="M958" s="9"/>
      <c r="N958" s="9"/>
      <c r="O958" s="9"/>
      <c r="P958" s="9"/>
      <c r="Q958" s="9"/>
      <c r="R958" s="9"/>
      <c r="S958" s="9"/>
      <c r="T958" s="9"/>
      <c r="U958" s="9"/>
      <c r="V958" s="9"/>
      <c r="W958" s="9"/>
      <c r="X958" s="9"/>
      <c r="Y958" s="9"/>
      <c r="Z958" s="9"/>
      <c r="AA958" s="9"/>
      <c r="AB958" s="9"/>
    </row>
    <row r="959" ht="15.75" customHeight="1">
      <c r="A959" s="218">
        <v>46076</v>
      </c>
      <c r="B959" s="98"/>
      <c r="C959" t="s" s="116">
        <v>99</v>
      </c>
      <c r="D959" t="s" s="79">
        <v>1094</v>
      </c>
      <c r="E959" s="100"/>
      <c r="F959" s="101"/>
      <c r="G959" s="102">
        <v>1035079.58</v>
      </c>
      <c r="H959" s="103" cm="1">
        <f t="array" ref="H959">G959/I959</f>
        <v>731.505003533569</v>
      </c>
      <c r="I959" s="104">
        <v>1415</v>
      </c>
      <c r="J959" s="105"/>
      <c r="K959" s="101"/>
      <c r="L959" s="221"/>
      <c r="M959" s="9"/>
      <c r="N959" s="9"/>
      <c r="O959" s="9"/>
      <c r="P959" s="9"/>
      <c r="Q959" s="9"/>
      <c r="R959" s="9"/>
      <c r="S959" s="9"/>
      <c r="T959" s="9"/>
      <c r="U959" s="9"/>
      <c r="V959" s="9"/>
      <c r="W959" s="9"/>
      <c r="X959" s="9"/>
      <c r="Y959" s="9"/>
      <c r="Z959" s="9"/>
      <c r="AA959" s="9"/>
      <c r="AB959" s="9"/>
    </row>
    <row r="960" ht="15.75" customHeight="1">
      <c r="A960" t="s" s="145">
        <v>1100</v>
      </c>
      <c r="B960" t="s" s="145">
        <v>1101</v>
      </c>
      <c r="C960" t="s" s="115">
        <v>1102</v>
      </c>
      <c r="D960" t="s" s="109">
        <v>1103</v>
      </c>
      <c r="E960" s="110"/>
      <c r="F960" s="111"/>
      <c r="G960" s="112">
        <v>27900000</v>
      </c>
      <c r="H960" s="113">
        <v>20000</v>
      </c>
      <c r="I960" s="114">
        <v>1395</v>
      </c>
      <c r="J960" s="163"/>
      <c r="K960" s="111"/>
      <c r="L960" s="221"/>
      <c r="M960" s="9"/>
      <c r="N960" s="9"/>
      <c r="O960" s="9"/>
      <c r="P960" s="9"/>
      <c r="Q960" s="9"/>
      <c r="R960" s="9"/>
      <c r="S960" s="9"/>
      <c r="T960" s="9"/>
      <c r="U960" s="9"/>
      <c r="V960" s="9"/>
      <c r="W960" s="9"/>
      <c r="X960" s="9"/>
      <c r="Y960" s="9"/>
      <c r="Z960" s="9"/>
      <c r="AA960" s="9"/>
      <c r="AB960" s="9"/>
    </row>
    <row r="961" ht="15.75" customHeight="1">
      <c r="A961" s="222">
        <v>46097</v>
      </c>
      <c r="B961" s="107"/>
      <c r="C961" t="s" s="115">
        <v>882</v>
      </c>
      <c r="D961" t="s" s="109">
        <v>1104</v>
      </c>
      <c r="E961" s="110"/>
      <c r="F961" s="111"/>
      <c r="G961" s="112">
        <v>470000</v>
      </c>
      <c r="H961" s="113" cm="1">
        <f t="array" ref="H961">G961/I961</f>
        <v>332.155477031802</v>
      </c>
      <c r="I961" s="114">
        <v>1415</v>
      </c>
      <c r="J961" s="163"/>
      <c r="K961" s="111"/>
      <c r="L961" s="221"/>
      <c r="M961" s="9"/>
      <c r="N961" s="9"/>
      <c r="O961" s="9"/>
      <c r="P961" s="9"/>
      <c r="Q961" s="9"/>
      <c r="R961" s="9"/>
      <c r="S961" s="9"/>
      <c r="T961" s="9"/>
      <c r="U961" s="9"/>
      <c r="V961" s="9"/>
      <c r="W961" s="9"/>
      <c r="X961" s="9"/>
      <c r="Y961" s="9"/>
      <c r="Z961" s="9"/>
      <c r="AA961" s="9"/>
      <c r="AB961" s="9"/>
    </row>
    <row r="962" ht="15.75" customHeight="1">
      <c r="A962" s="218">
        <v>46097</v>
      </c>
      <c r="B962" t="s" s="78">
        <v>1065</v>
      </c>
      <c r="C962" t="s" s="116">
        <v>99</v>
      </c>
      <c r="D962" t="s" s="79">
        <v>1105</v>
      </c>
      <c r="E962" s="100"/>
      <c r="F962" s="101"/>
      <c r="G962" s="102">
        <v>1018416.78</v>
      </c>
      <c r="H962" s="103" cm="1">
        <f t="array" ref="H962">G962/I962</f>
        <v>719.729173144876</v>
      </c>
      <c r="I962" s="104">
        <v>1415</v>
      </c>
      <c r="J962" s="105"/>
      <c r="K962" s="101"/>
      <c r="L962" s="221"/>
      <c r="M962" s="9"/>
      <c r="N962" s="9"/>
      <c r="O962" s="9"/>
      <c r="P962" s="9"/>
      <c r="Q962" s="9"/>
      <c r="R962" s="9"/>
      <c r="S962" s="9"/>
      <c r="T962" s="9"/>
      <c r="U962" s="9"/>
      <c r="V962" s="9"/>
      <c r="W962" s="9"/>
      <c r="X962" s="9"/>
      <c r="Y962" s="9"/>
      <c r="Z962" s="9"/>
      <c r="AA962" s="9"/>
      <c r="AB962" s="9"/>
    </row>
    <row r="963" ht="15.75" customHeight="1">
      <c r="A963" s="222">
        <v>46098</v>
      </c>
      <c r="B963" t="s" s="145">
        <v>1106</v>
      </c>
      <c r="C963" t="s" s="115">
        <v>923</v>
      </c>
      <c r="D963" t="s" s="109">
        <v>1107</v>
      </c>
      <c r="E963" s="231"/>
      <c r="F963" s="232"/>
      <c r="G963" s="112">
        <v>246500</v>
      </c>
      <c r="H963" s="113" cm="1">
        <f t="array" ref="H963">G963/I963</f>
        <v>174.204946996466</v>
      </c>
      <c r="I963" s="114">
        <v>1415</v>
      </c>
      <c r="J963" s="233"/>
      <c r="K963" s="232"/>
      <c r="L963" s="221"/>
      <c r="M963" s="9"/>
      <c r="N963" s="9"/>
      <c r="O963" s="9"/>
      <c r="P963" s="9"/>
      <c r="Q963" s="9"/>
      <c r="R963" s="9"/>
      <c r="S963" s="9"/>
      <c r="T963" s="9"/>
      <c r="U963" s="9"/>
      <c r="V963" s="9"/>
      <c r="W963" s="9"/>
      <c r="X963" s="9"/>
      <c r="Y963" s="9"/>
      <c r="Z963" s="9"/>
      <c r="AA963" s="9"/>
      <c r="AB963" s="9"/>
    </row>
    <row r="964" ht="15.75" customHeight="1">
      <c r="A964" s="218">
        <v>46100</v>
      </c>
      <c r="B964" t="s" s="78">
        <v>1065</v>
      </c>
      <c r="C964" t="s" s="116">
        <v>34</v>
      </c>
      <c r="D964" t="s" s="79">
        <v>1108</v>
      </c>
      <c r="E964" s="234"/>
      <c r="F964" s="235"/>
      <c r="G964" s="102">
        <v>58096.52</v>
      </c>
      <c r="H964" s="113" cm="1">
        <f t="array" ref="H964">G964/I964</f>
        <v>40.7694877192982</v>
      </c>
      <c r="I964" s="104">
        <v>1425</v>
      </c>
      <c r="J964" s="236"/>
      <c r="K964" s="235"/>
      <c r="L964" s="221"/>
      <c r="M964" s="9"/>
      <c r="N964" s="9"/>
      <c r="O964" s="9"/>
      <c r="P964" s="9"/>
      <c r="Q964" s="9"/>
      <c r="R964" s="9"/>
      <c r="S964" s="9"/>
      <c r="T964" s="9"/>
      <c r="U964" s="9"/>
      <c r="V964" s="9"/>
      <c r="W964" s="9"/>
      <c r="X964" s="9"/>
      <c r="Y964" s="9"/>
      <c r="Z964" s="9"/>
      <c r="AA964" s="9"/>
      <c r="AB964" s="9"/>
    </row>
    <row r="965" ht="15.75" customHeight="1">
      <c r="A965" s="222">
        <v>46126</v>
      </c>
      <c r="B965" t="s" s="145">
        <v>1065</v>
      </c>
      <c r="C965" t="s" s="115">
        <v>1109</v>
      </c>
      <c r="D965" t="s" s="109">
        <v>1110</v>
      </c>
      <c r="E965" s="231"/>
      <c r="F965" s="232"/>
      <c r="G965" s="112">
        <v>1218916.3</v>
      </c>
      <c r="H965" s="113" cm="1">
        <f t="array" ref="H965">G965/I965</f>
        <v>873.775125448029</v>
      </c>
      <c r="I965" s="114">
        <v>1395</v>
      </c>
      <c r="J965" s="233"/>
      <c r="K965" s="232"/>
      <c r="L965" s="221"/>
      <c r="M965" s="9"/>
      <c r="N965" s="9"/>
      <c r="O965" s="9"/>
      <c r="P965" s="9"/>
      <c r="Q965" s="9"/>
      <c r="R965" s="9"/>
      <c r="S965" s="9"/>
      <c r="T965" s="9"/>
      <c r="U965" s="9"/>
      <c r="V965" s="9"/>
      <c r="W965" s="9"/>
      <c r="X965" s="9"/>
      <c r="Y965" s="9"/>
      <c r="Z965" s="9"/>
      <c r="AA965" s="9"/>
      <c r="AB965" s="9"/>
    </row>
    <row r="966" ht="15.75" customHeight="1">
      <c r="A966" s="222">
        <v>46130</v>
      </c>
      <c r="B966" t="s" s="145">
        <v>1065</v>
      </c>
      <c r="C966" t="s" s="115">
        <v>939</v>
      </c>
      <c r="D966" t="s" s="109">
        <v>1111</v>
      </c>
      <c r="E966" s="231"/>
      <c r="F966" s="232"/>
      <c r="G966" s="112">
        <v>57097.7</v>
      </c>
      <c r="H966" s="113" cm="1">
        <f t="array" ref="H966">G966/I966</f>
        <v>40.7840714285714</v>
      </c>
      <c r="I966" s="114">
        <v>1400</v>
      </c>
      <c r="J966" s="233"/>
      <c r="K966" s="232"/>
      <c r="L966" s="221"/>
      <c r="M966" s="9"/>
      <c r="N966" s="9"/>
      <c r="O966" s="9"/>
      <c r="P966" s="9"/>
      <c r="Q966" s="9"/>
      <c r="R966" s="9"/>
      <c r="S966" s="9"/>
      <c r="T966" s="9"/>
      <c r="U966" s="9"/>
      <c r="V966" s="9"/>
      <c r="W966" s="9"/>
      <c r="X966" s="9"/>
      <c r="Y966" s="9"/>
      <c r="Z966" s="9"/>
      <c r="AA966" s="9"/>
      <c r="AB966" s="9"/>
    </row>
    <row r="967" ht="15.75" customHeight="1">
      <c r="A967" s="218">
        <v>46133</v>
      </c>
      <c r="B967" t="s" s="78">
        <v>1065</v>
      </c>
      <c r="C967" t="s" s="116">
        <v>475</v>
      </c>
      <c r="D967" t="s" s="79">
        <v>1108</v>
      </c>
      <c r="E967" t="s" s="237">
        <v>1065</v>
      </c>
      <c r="F967" s="238"/>
      <c r="G967" s="102">
        <v>970491.6</v>
      </c>
      <c r="H967" s="113" cm="1">
        <f t="array" ref="H967">G967/I967</f>
        <v>693.208285714286</v>
      </c>
      <c r="I967" s="104">
        <v>1400</v>
      </c>
      <c r="J967" s="236"/>
      <c r="K967" s="235"/>
      <c r="L967" s="221"/>
      <c r="M967" s="9"/>
      <c r="N967" s="9"/>
      <c r="O967" s="9"/>
      <c r="P967" s="9"/>
      <c r="Q967" s="9"/>
      <c r="R967" s="9"/>
      <c r="S967" s="9"/>
      <c r="T967" s="9"/>
      <c r="U967" s="9"/>
      <c r="V967" s="9"/>
      <c r="W967" s="9"/>
      <c r="X967" s="9"/>
      <c r="Y967" s="9"/>
      <c r="Z967" s="9"/>
      <c r="AA967" s="9"/>
      <c r="AB967" s="9"/>
    </row>
    <row r="968" ht="15.75" customHeight="1">
      <c r="A968" s="222">
        <v>46155</v>
      </c>
      <c r="B968" t="s" s="145">
        <v>1112</v>
      </c>
      <c r="C968" t="s" s="115">
        <v>1054</v>
      </c>
      <c r="D968" t="s" s="109">
        <v>1113</v>
      </c>
      <c r="E968" s="231"/>
      <c r="F968" s="232"/>
      <c r="G968" s="112">
        <v>121078.82</v>
      </c>
      <c r="H968" s="113" cm="1">
        <f t="array" ref="H968">G968/I968</f>
        <v>85.87150354609931</v>
      </c>
      <c r="I968" s="114">
        <v>1410</v>
      </c>
      <c r="J968" s="233"/>
      <c r="K968" s="232"/>
      <c r="L968" s="221"/>
      <c r="M968" s="9"/>
      <c r="N968" s="9"/>
      <c r="O968" s="9"/>
      <c r="P968" s="9"/>
      <c r="Q968" s="9"/>
      <c r="R968" s="9"/>
      <c r="S968" s="9"/>
      <c r="T968" s="9"/>
      <c r="U968" s="9"/>
      <c r="V968" s="9"/>
      <c r="W968" s="9"/>
      <c r="X968" s="9"/>
      <c r="Y968" s="9"/>
      <c r="Z968" s="9"/>
      <c r="AA968" s="9"/>
      <c r="AB968" s="9"/>
    </row>
    <row r="969" ht="15.75" customHeight="1">
      <c r="A969" s="222">
        <v>46161</v>
      </c>
      <c r="B969" t="s" s="145">
        <v>1065</v>
      </c>
      <c r="C969" t="s" s="115">
        <v>99</v>
      </c>
      <c r="D969" t="s" s="109">
        <v>1111</v>
      </c>
      <c r="E969" s="231"/>
      <c r="F969" s="232"/>
      <c r="G969" s="112">
        <v>985418.83</v>
      </c>
      <c r="H969" s="113" cm="1">
        <f t="array" ref="H969">G969/I969</f>
        <v>698.8786028368791</v>
      </c>
      <c r="I969" s="114">
        <v>1410</v>
      </c>
      <c r="J969" s="233"/>
      <c r="K969" s="232"/>
      <c r="L969" s="221"/>
      <c r="M969" s="9"/>
      <c r="N969" s="9"/>
      <c r="O969" s="9"/>
      <c r="P969" s="9"/>
      <c r="Q969" s="9"/>
      <c r="R969" s="9"/>
      <c r="S969" s="9"/>
      <c r="T969" s="9"/>
      <c r="U969" s="9"/>
      <c r="V969" s="9"/>
      <c r="W969" s="9"/>
      <c r="X969" s="9"/>
      <c r="Y969" s="9"/>
      <c r="Z969" s="9"/>
      <c r="AA969" s="9"/>
      <c r="AB969" s="9"/>
    </row>
    <row r="970" ht="15.75" customHeight="1">
      <c r="A970" s="218">
        <v>46161</v>
      </c>
      <c r="B970" t="s" s="78">
        <v>1065</v>
      </c>
      <c r="C970" t="s" s="116">
        <v>34</v>
      </c>
      <c r="D970" t="s" s="79">
        <v>1114</v>
      </c>
      <c r="E970" s="234"/>
      <c r="F970" s="235"/>
      <c r="G970" s="102">
        <v>59351.35</v>
      </c>
      <c r="H970" s="113" cm="1">
        <f t="array" ref="H970">G970/I970</f>
        <v>42.0931560283688</v>
      </c>
      <c r="I970" s="104">
        <v>1410</v>
      </c>
      <c r="J970" s="236"/>
      <c r="K970" s="235"/>
      <c r="L970" s="221"/>
      <c r="M970" s="9"/>
      <c r="N970" s="9"/>
      <c r="O970" s="9"/>
      <c r="P970" s="9"/>
      <c r="Q970" s="9"/>
      <c r="R970" s="9"/>
      <c r="S970" s="9"/>
      <c r="T970" s="9"/>
      <c r="U970" s="9"/>
      <c r="V970" s="9"/>
      <c r="W970" s="9"/>
      <c r="X970" s="9"/>
      <c r="Y970" s="9"/>
      <c r="Z970" s="9"/>
      <c r="AA970" s="9"/>
      <c r="AB970" s="9"/>
    </row>
    <row r="971" ht="15.75" customHeight="1">
      <c r="A971" s="222">
        <v>46168</v>
      </c>
      <c r="B971" t="s" s="145">
        <v>1115</v>
      </c>
      <c r="C971" t="s" s="115">
        <v>1116</v>
      </c>
      <c r="D971" t="s" s="109">
        <v>1117</v>
      </c>
      <c r="E971" s="231"/>
      <c r="F971" s="232"/>
      <c r="G971" s="112">
        <v>90000</v>
      </c>
      <c r="H971" s="113" cm="1">
        <f t="array" ref="H971">G971/I971</f>
        <v>62.9370629370629</v>
      </c>
      <c r="I971" s="114">
        <v>1430</v>
      </c>
      <c r="J971" s="233"/>
      <c r="K971" s="232"/>
      <c r="L971" s="221"/>
      <c r="M971" s="9"/>
      <c r="N971" s="9"/>
      <c r="O971" s="9"/>
      <c r="P971" s="9"/>
      <c r="Q971" s="9"/>
      <c r="R971" s="9"/>
      <c r="S971" s="9"/>
      <c r="T971" s="9"/>
      <c r="U971" s="9"/>
      <c r="V971" s="9"/>
      <c r="W971" s="9"/>
      <c r="X971" s="9"/>
      <c r="Y971" s="9"/>
      <c r="Z971" s="9"/>
      <c r="AA971" s="9"/>
      <c r="AB971" s="9"/>
    </row>
    <row r="972" ht="15.75" customHeight="1">
      <c r="A972" s="222">
        <v>46171</v>
      </c>
      <c r="B972" t="s" s="145">
        <v>1118</v>
      </c>
      <c r="C972" t="s" s="115">
        <v>1102</v>
      </c>
      <c r="D972" t="s" s="109">
        <v>1103</v>
      </c>
      <c r="E972" s="231"/>
      <c r="F972" s="232"/>
      <c r="G972" s="112">
        <v>35750000.01</v>
      </c>
      <c r="H972" s="113">
        <v>25000</v>
      </c>
      <c r="I972" s="114">
        <v>1430</v>
      </c>
      <c r="J972" s="233"/>
      <c r="K972" s="232"/>
      <c r="L972" s="221"/>
      <c r="M972" s="9"/>
      <c r="N972" s="9"/>
      <c r="O972" s="9"/>
      <c r="P972" s="9"/>
      <c r="Q972" s="9"/>
      <c r="R972" s="9"/>
      <c r="S972" s="9"/>
      <c r="T972" s="9"/>
      <c r="U972" s="9"/>
      <c r="V972" s="9"/>
      <c r="W972" s="9"/>
      <c r="X972" s="9"/>
      <c r="Y972" s="9"/>
      <c r="Z972" s="9"/>
      <c r="AA972" s="9"/>
      <c r="AB972" s="9"/>
    </row>
    <row r="973" ht="15.75" customHeight="1">
      <c r="A973" s="218">
        <v>46171</v>
      </c>
      <c r="B973" t="s" s="78">
        <v>1119</v>
      </c>
      <c r="C973" t="s" s="116">
        <v>1086</v>
      </c>
      <c r="D973" t="s" s="79">
        <v>1120</v>
      </c>
      <c r="E973" s="234"/>
      <c r="F973" s="235"/>
      <c r="G973" s="102">
        <v>29142861.1515</v>
      </c>
      <c r="H973" s="113">
        <v>21000</v>
      </c>
      <c r="I973" s="104">
        <v>1387</v>
      </c>
      <c r="J973" s="236"/>
      <c r="K973" s="235"/>
      <c r="L973" s="221"/>
      <c r="M973" s="9"/>
      <c r="N973" s="9"/>
      <c r="O973" s="9"/>
      <c r="P973" s="9"/>
      <c r="Q973" s="9"/>
      <c r="R973" s="9"/>
      <c r="S973" s="9"/>
      <c r="T973" s="9"/>
      <c r="U973" s="9"/>
      <c r="V973" s="9"/>
      <c r="W973" s="9"/>
      <c r="X973" s="9"/>
      <c r="Y973" s="9"/>
      <c r="Z973" s="9"/>
      <c r="AA973" s="9"/>
      <c r="AB973" s="9"/>
    </row>
    <row r="974" ht="15.75" customHeight="1">
      <c r="A974" s="222">
        <v>46183</v>
      </c>
      <c r="B974" s="107"/>
      <c r="C974" t="s" s="115">
        <v>34</v>
      </c>
      <c r="D974" t="s" s="109">
        <v>1121</v>
      </c>
      <c r="E974" s="231"/>
      <c r="F974" s="232"/>
      <c r="G974" s="112">
        <v>59351.35</v>
      </c>
      <c r="H974" s="113" cm="1">
        <f t="array" ref="H974">(G974/I974)</f>
        <v>41.2735396383866</v>
      </c>
      <c r="I974" s="114">
        <v>1438</v>
      </c>
      <c r="J974" s="233"/>
      <c r="K974" s="232"/>
      <c r="L974" s="221"/>
      <c r="M974" s="9"/>
      <c r="N974" s="9"/>
      <c r="O974" s="9"/>
      <c r="P974" s="9"/>
      <c r="Q974" s="9"/>
      <c r="R974" s="9"/>
      <c r="S974" s="9"/>
      <c r="T974" s="9"/>
      <c r="U974" s="9"/>
      <c r="V974" s="9"/>
      <c r="W974" s="9"/>
      <c r="X974" s="9"/>
      <c r="Y974" s="9"/>
      <c r="Z974" s="9"/>
      <c r="AA974" s="9"/>
      <c r="AB974" s="9"/>
    </row>
    <row r="975" ht="15.75" customHeight="1">
      <c r="A975" s="218">
        <v>46185</v>
      </c>
      <c r="B975" s="98"/>
      <c r="C975" t="s" s="116">
        <v>475</v>
      </c>
      <c r="D975" t="s" s="79">
        <v>1122</v>
      </c>
      <c r="E975" s="234"/>
      <c r="F975" s="235"/>
      <c r="G975" s="102">
        <v>1012140.55</v>
      </c>
      <c r="H975" s="103" cm="1">
        <f t="array" ref="H975">(G975/I975)</f>
        <v>710.274070175439</v>
      </c>
      <c r="I975" s="104">
        <v>1425</v>
      </c>
      <c r="J975" s="236"/>
      <c r="K975" s="235"/>
      <c r="L975" s="221"/>
      <c r="M975" s="9"/>
      <c r="N975" s="9"/>
      <c r="O975" s="9"/>
      <c r="P975" s="9"/>
      <c r="Q975" s="9"/>
      <c r="R975" s="9"/>
      <c r="S975" s="9"/>
      <c r="T975" s="9"/>
      <c r="U975" s="9"/>
      <c r="V975" s="9"/>
      <c r="W975" s="9"/>
      <c r="X975" s="9"/>
      <c r="Y975" s="9"/>
      <c r="Z975" s="9"/>
      <c r="AA975" s="9"/>
      <c r="AB975" s="9"/>
    </row>
    <row r="976" ht="15.75" customHeight="1">
      <c r="A976" s="222">
        <v>46185</v>
      </c>
      <c r="B976" s="107"/>
      <c r="C976" t="s" s="115">
        <v>1123</v>
      </c>
      <c r="D976" t="s" s="109">
        <v>1124</v>
      </c>
      <c r="E976" s="231"/>
      <c r="F976" s="232"/>
      <c r="G976" s="112">
        <v>1286947.3</v>
      </c>
      <c r="H976" s="113" cm="1">
        <f t="array" ref="H976">(G976/I976)</f>
        <v>903.120912280702</v>
      </c>
      <c r="I976" s="114">
        <v>1425</v>
      </c>
      <c r="J976" s="233"/>
      <c r="K976" s="232"/>
      <c r="L976" s="221"/>
      <c r="M976" s="9"/>
      <c r="N976" s="9"/>
      <c r="O976" s="9"/>
      <c r="P976" s="9"/>
      <c r="Q976" s="9"/>
      <c r="R976" s="9"/>
      <c r="S976" s="9"/>
      <c r="T976" s="9"/>
      <c r="U976" s="9"/>
      <c r="V976" s="9"/>
      <c r="W976" s="9"/>
      <c r="X976" s="9"/>
      <c r="Y976" s="9"/>
      <c r="Z976" s="9"/>
      <c r="AA976" s="9"/>
      <c r="AB976" s="9"/>
    </row>
    <row r="977" ht="15.75" customHeight="1">
      <c r="A977" s="222">
        <v>46186</v>
      </c>
      <c r="B977" s="107"/>
      <c r="C977" t="s" s="115">
        <v>34</v>
      </c>
      <c r="D977" t="s" s="109">
        <v>1125</v>
      </c>
      <c r="E977" s="231"/>
      <c r="F977" s="232"/>
      <c r="G977" s="112">
        <v>66165.679999999993</v>
      </c>
      <c r="H977" s="113" cm="1">
        <f t="array" ref="H977">(G977/I977)</f>
        <v>44.5560134680135</v>
      </c>
      <c r="I977" s="114">
        <v>1485</v>
      </c>
      <c r="J977" s="233"/>
      <c r="K977" s="232"/>
      <c r="L977" s="221"/>
      <c r="M977" s="9"/>
      <c r="N977" s="9"/>
      <c r="O977" s="9"/>
      <c r="P977" s="9"/>
      <c r="Q977" s="9"/>
      <c r="R977" s="9"/>
      <c r="S977" s="9"/>
      <c r="T977" s="9"/>
      <c r="U977" s="9"/>
      <c r="V977" s="9"/>
      <c r="W977" s="9"/>
      <c r="X977" s="9"/>
      <c r="Y977" s="9"/>
      <c r="Z977" s="9"/>
      <c r="AA977" s="9"/>
      <c r="AB977" s="9"/>
    </row>
    <row r="978" ht="15.75" customHeight="1">
      <c r="A978" s="218">
        <v>46224</v>
      </c>
      <c r="B978" s="98"/>
      <c r="C978" t="s" s="116">
        <v>475</v>
      </c>
      <c r="D978" t="s" s="79">
        <v>1121</v>
      </c>
      <c r="E978" s="234"/>
      <c r="F978" s="235"/>
      <c r="G978" s="102">
        <v>1074321.57</v>
      </c>
      <c r="H978" s="103" cm="1">
        <f t="array" ref="H978">(G978/I978)</f>
        <v>699.883758957655</v>
      </c>
      <c r="I978" s="104">
        <v>1535</v>
      </c>
      <c r="J978" s="236"/>
      <c r="K978" s="235"/>
      <c r="L978" s="221"/>
      <c r="M978" s="9"/>
      <c r="N978" s="9"/>
      <c r="O978" s="9"/>
      <c r="P978" s="9"/>
      <c r="Q978" s="9"/>
      <c r="R978" s="9"/>
      <c r="S978" s="9"/>
      <c r="T978" s="9"/>
      <c r="U978" s="9"/>
      <c r="V978" s="9"/>
      <c r="W978" s="9"/>
      <c r="X978" s="9"/>
      <c r="Y978" s="9"/>
      <c r="Z978" s="9"/>
      <c r="AA978" s="9"/>
      <c r="AB978" s="9"/>
    </row>
    <row r="979" ht="15.75" customHeight="1">
      <c r="A979" s="222">
        <v>46237</v>
      </c>
      <c r="B979" t="s" s="145">
        <v>1126</v>
      </c>
      <c r="C979" t="s" s="115">
        <v>1127</v>
      </c>
      <c r="D979" t="s" s="109">
        <v>1128</v>
      </c>
      <c r="E979" s="231"/>
      <c r="F979" s="232"/>
      <c r="G979" s="112">
        <v>700000</v>
      </c>
      <c r="H979" s="103" cm="1">
        <f t="array" ref="H979">(G979/I979)</f>
        <v>459.016393442623</v>
      </c>
      <c r="I979" s="114">
        <v>1525</v>
      </c>
      <c r="J979" s="233"/>
      <c r="K979" s="232"/>
      <c r="L979" s="221"/>
      <c r="M979" s="9"/>
      <c r="N979" s="9"/>
      <c r="O979" s="9"/>
      <c r="P979" s="9"/>
      <c r="Q979" s="9"/>
      <c r="R979" s="9"/>
      <c r="S979" s="9"/>
      <c r="T979" s="9"/>
      <c r="U979" s="9"/>
      <c r="V979" s="9"/>
      <c r="W979" s="9"/>
      <c r="X979" s="9"/>
      <c r="Y979" s="9"/>
      <c r="Z979" s="9"/>
      <c r="AA979" s="9"/>
      <c r="AB979" s="9"/>
    </row>
    <row r="980" ht="15.75" customHeight="1">
      <c r="A980" s="239">
        <v>46244</v>
      </c>
      <c r="B980" s="240"/>
      <c r="C980" t="s" s="241">
        <v>34</v>
      </c>
      <c r="D980" t="s" s="242">
        <v>1129</v>
      </c>
      <c r="E980" s="243"/>
      <c r="F980" s="244"/>
      <c r="G980" s="245">
        <v>66815.19</v>
      </c>
      <c r="H980" s="246" cm="1">
        <f t="array" ref="H980">(G980/I980)</f>
        <v>43.8132393442623</v>
      </c>
      <c r="I980" s="247">
        <v>1525</v>
      </c>
      <c r="J980" s="236"/>
      <c r="K980" s="235"/>
      <c r="L980" s="221"/>
      <c r="M980" s="9"/>
      <c r="N980" s="9"/>
      <c r="O980" s="9"/>
      <c r="P980" s="9"/>
      <c r="Q980" s="9"/>
      <c r="R980" s="9"/>
      <c r="S980" s="9"/>
      <c r="T980" s="9"/>
      <c r="U980" s="9"/>
      <c r="V980" s="9"/>
      <c r="W980" s="9"/>
      <c r="X980" s="9"/>
      <c r="Y980" s="9"/>
      <c r="Z980" s="9"/>
      <c r="AA980" s="9"/>
      <c r="AB980" s="9"/>
    </row>
    <row r="981" ht="15.75" customHeight="1">
      <c r="A981" s="239">
        <v>46249</v>
      </c>
      <c r="B981" s="240"/>
      <c r="C981" t="s" s="241">
        <v>32</v>
      </c>
      <c r="D981" t="s" s="242">
        <v>1130</v>
      </c>
      <c r="E981" s="243"/>
      <c r="F981" s="244"/>
      <c r="G981" s="245">
        <v>1499093.5</v>
      </c>
      <c r="H981" s="246" cm="1">
        <f t="array" ref="H981">(G981/$I$981)</f>
        <v>983.012131147541</v>
      </c>
      <c r="I981" s="247">
        <v>1525</v>
      </c>
      <c r="J981" s="233"/>
      <c r="K981" s="235"/>
      <c r="L981" s="221"/>
      <c r="M981" s="9"/>
      <c r="N981" s="9"/>
      <c r="O981" s="9"/>
      <c r="P981" s="9"/>
      <c r="Q981" s="9"/>
      <c r="R981" s="9"/>
      <c r="S981" s="9"/>
      <c r="T981" s="9"/>
      <c r="U981" s="9"/>
      <c r="V981" s="9"/>
      <c r="W981" s="9"/>
      <c r="X981" s="9"/>
      <c r="Y981" s="9"/>
      <c r="Z981" s="9"/>
      <c r="AA981" s="9"/>
      <c r="AB981" s="9"/>
    </row>
    <row r="982" ht="15.75" customHeight="1">
      <c r="A982" s="239">
        <v>46248</v>
      </c>
      <c r="B982" s="98"/>
      <c r="C982" t="s" s="116">
        <v>99</v>
      </c>
      <c r="D982" t="s" s="79">
        <v>1131</v>
      </c>
      <c r="E982" s="234"/>
      <c r="F982" s="235"/>
      <c r="G982" s="245">
        <v>1145723.63</v>
      </c>
      <c r="H982" s="246" cm="1">
        <f t="array" ref="H982">(G982/$I$982)</f>
        <v>771.531063973064</v>
      </c>
      <c r="I982" s="104">
        <v>1485</v>
      </c>
      <c r="J982" s="233"/>
      <c r="K982" s="235"/>
      <c r="L982" s="221"/>
      <c r="M982" s="9"/>
      <c r="N982" s="9"/>
      <c r="O982" s="9"/>
      <c r="P982" s="9"/>
      <c r="Q982" s="9"/>
      <c r="R982" s="9"/>
      <c r="S982" s="9"/>
      <c r="T982" s="9"/>
      <c r="U982" s="9"/>
      <c r="V982" s="9"/>
      <c r="W982" s="9"/>
      <c r="X982" s="9"/>
      <c r="Y982" s="9"/>
      <c r="Z982" s="9"/>
      <c r="AA982" s="9"/>
      <c r="AB982" s="9"/>
    </row>
    <row r="983" ht="15.75" customHeight="1">
      <c r="A983" s="239">
        <v>46259</v>
      </c>
      <c r="B983" s="98"/>
      <c r="C983" t="s" s="116">
        <v>1132</v>
      </c>
      <c r="D983" t="s" s="79">
        <v>1133</v>
      </c>
      <c r="E983" s="234"/>
      <c r="F983" s="235"/>
      <c r="G983" s="245">
        <v>2041403.36</v>
      </c>
      <c r="H983" s="246" cm="1">
        <f t="array" ref="H983">(G983/I983)</f>
        <v>1321.296673139160</v>
      </c>
      <c r="I983" s="104">
        <v>1545</v>
      </c>
      <c r="J983" s="233"/>
      <c r="K983" s="235"/>
      <c r="L983" s="221"/>
      <c r="M983" s="9"/>
      <c r="N983" s="9"/>
      <c r="O983" s="9"/>
      <c r="P983" s="9"/>
      <c r="Q983" s="9"/>
      <c r="R983" s="9"/>
      <c r="S983" s="9"/>
      <c r="T983" s="9"/>
      <c r="U983" s="9"/>
      <c r="V983" s="9"/>
      <c r="W983" s="9"/>
      <c r="X983" s="9"/>
      <c r="Y983" s="9"/>
      <c r="Z983" s="9"/>
      <c r="AA983" s="9"/>
      <c r="AB983" s="9"/>
    </row>
    <row r="984" ht="15.75" customHeight="1">
      <c r="A984" s="239">
        <v>46259</v>
      </c>
      <c r="B984" s="107"/>
      <c r="C984" t="s" s="115">
        <v>882</v>
      </c>
      <c r="D984" t="s" s="109">
        <v>1134</v>
      </c>
      <c r="E984" s="231"/>
      <c r="F984" s="232"/>
      <c r="G984" s="112">
        <v>491484.79</v>
      </c>
      <c r="H984" s="246" cm="1">
        <f t="array" ref="H984">(G984/I984)</f>
        <v>318.113132686084</v>
      </c>
      <c r="I984" s="114">
        <v>1545</v>
      </c>
      <c r="J984" s="233"/>
      <c r="K984" s="235"/>
      <c r="L984" s="221"/>
      <c r="M984" s="9"/>
      <c r="N984" s="9"/>
      <c r="O984" s="9"/>
      <c r="P984" s="9"/>
      <c r="Q984" s="9"/>
      <c r="R984" s="9"/>
      <c r="S984" s="9"/>
      <c r="T984" s="9"/>
      <c r="U984" s="9"/>
      <c r="V984" s="9"/>
      <c r="W984" s="9"/>
      <c r="X984" s="9"/>
      <c r="Y984" s="9"/>
      <c r="Z984" s="9"/>
      <c r="AA984" s="9"/>
      <c r="AB984" s="9"/>
    </row>
    <row r="985" ht="15.75" customHeight="1">
      <c r="A985" t="s" s="145">
        <v>1065</v>
      </c>
      <c r="B985" t="s" s="145">
        <v>1065</v>
      </c>
      <c r="C985" t="s" s="115">
        <v>1065</v>
      </c>
      <c r="D985" t="s" s="109">
        <v>1065</v>
      </c>
      <c r="E985" s="231"/>
      <c r="F985" s="232"/>
      <c r="G985" t="s" s="248">
        <v>1065</v>
      </c>
      <c r="H985" s="113">
        <v>0</v>
      </c>
      <c r="I985" t="s" s="249">
        <v>1065</v>
      </c>
      <c r="J985" s="233"/>
      <c r="K985" s="232"/>
      <c r="L985" s="221"/>
      <c r="M985" s="9"/>
      <c r="N985" s="9"/>
      <c r="O985" s="9"/>
      <c r="P985" s="9"/>
      <c r="Q985" s="9"/>
      <c r="R985" s="9"/>
      <c r="S985" s="9"/>
      <c r="T985" s="9"/>
      <c r="U985" s="9"/>
      <c r="V985" s="9"/>
      <c r="W985" s="9"/>
      <c r="X985" s="9"/>
      <c r="Y985" s="9"/>
      <c r="Z985" s="9"/>
      <c r="AA985" s="9"/>
      <c r="AB985" s="9"/>
    </row>
    <row r="986" ht="15.75" customHeight="1">
      <c r="A986" s="37"/>
      <c r="B986" s="37"/>
      <c r="C986" s="37"/>
      <c r="D986" s="37"/>
      <c r="E986" s="37"/>
      <c r="F986" s="37"/>
      <c r="G986" s="37"/>
      <c r="H986" s="37"/>
      <c r="I986" s="37"/>
      <c r="J986" s="37"/>
      <c r="K986" s="37"/>
      <c r="L986" s="9"/>
      <c r="M986" s="9"/>
      <c r="N986" s="9"/>
      <c r="O986" s="9"/>
      <c r="P986" s="9"/>
      <c r="Q986" s="9"/>
      <c r="R986" s="9"/>
      <c r="S986" s="9"/>
      <c r="T986" s="9"/>
      <c r="U986" s="9"/>
      <c r="V986" s="9"/>
      <c r="W986" s="9"/>
      <c r="X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ht="15.75" customHeight="1">
      <c r="A1003" t="s" s="52">
        <v>264</v>
      </c>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ht="15.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ht="15.75" customHeight="1">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ht="15.75" customHeight="1">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ht="15.75" customHeight="1">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ht="15.75" customHeight="1">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ht="15.75" customHeight="1">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ht="15.75" customHeight="1">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ht="15.75" customHeight="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ht="15.75" customHeight="1">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ht="15.75" customHeight="1">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ht="15.75" customHeight="1">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ht="15.75" customHeight="1">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ht="15.75" customHeight="1">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row>
    <row r="1017" ht="15.75" customHeight="1">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row>
    <row r="1018" ht="15.75" customHeight="1">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row>
    <row r="1019" ht="15.75" customHeight="1">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row>
    <row r="1020" ht="15.75" customHeight="1">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row>
    <row r="1021" ht="15.75" customHeight="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row>
    <row r="1022" ht="15.75" customHeight="1">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row>
    <row r="1023" ht="15.75" customHeight="1">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row>
    <row r="1024" ht="15.75" customHeight="1">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row>
    <row r="1025" ht="15.75" customHeight="1">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row>
    <row r="1026" ht="15.75" customHeight="1">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row>
    <row r="1027" ht="15.75" customHeight="1">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row>
    <row r="1028" ht="15.75" customHeight="1">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row>
    <row r="1029" ht="15.75" customHeight="1">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row>
    <row r="1030" ht="15.75" customHeight="1">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row>
    <row r="1031" ht="15.75" customHeight="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row>
    <row r="1032" ht="15.75" customHeight="1">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row>
    <row r="1033" ht="15.75" customHeight="1">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row>
    <row r="1034" ht="15.75" customHeight="1">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c r="AA1034" s="9"/>
      <c r="AB1034" s="9"/>
    </row>
    <row r="1035" ht="15.75" customHeight="1">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c r="AB1035" s="9"/>
    </row>
    <row r="1036" ht="15.75" customHeight="1">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c r="AA1036" s="9"/>
      <c r="AB1036" s="9"/>
    </row>
    <row r="1037" ht="15.75" customHeight="1">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c r="AB1037" s="9"/>
    </row>
    <row r="1038" ht="15.75" customHeight="1">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c r="AA1038" s="9"/>
      <c r="AB1038" s="9"/>
    </row>
    <row r="1039" ht="15.75" customHeight="1">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c r="AB1039" s="9"/>
    </row>
    <row r="1040" ht="15.75" customHeight="1">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row>
    <row r="1041" ht="15.75" customHeight="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c r="AB1041" s="9"/>
    </row>
    <row r="1042" ht="15.75" customHeight="1">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c r="AA1042" s="9"/>
      <c r="AB1042" s="9"/>
    </row>
    <row r="1043" ht="15.75" customHeight="1">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c r="AB1043" s="9"/>
    </row>
    <row r="1044" ht="15.75" customHeight="1">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c r="AA1044" s="9"/>
      <c r="AB1044" s="9"/>
    </row>
    <row r="1045" ht="15.75" customHeight="1">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row>
    <row r="1046" ht="15.75" customHeight="1">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row>
    <row r="1047" ht="15.75" customHeight="1">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c r="AB1047" s="9"/>
    </row>
    <row r="1048" ht="15.75" customHeight="1">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c r="AA1048" s="9"/>
      <c r="AB1048" s="9"/>
    </row>
    <row r="1049" ht="15.75" customHeight="1">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c r="AB1049" s="9"/>
    </row>
    <row r="1050" ht="15.75" customHeight="1">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c r="AA1050" s="9"/>
      <c r="AB1050" s="9"/>
    </row>
    <row r="1051" ht="15.75" customHeight="1">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c r="AB1051" s="9"/>
    </row>
    <row r="1052" ht="15.75" customHeight="1">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c r="AA1052" s="9"/>
      <c r="AB1052" s="9"/>
    </row>
    <row r="1053" ht="15.75" customHeight="1">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c r="AA1053" s="9"/>
      <c r="AB1053" s="9"/>
    </row>
    <row r="1054" ht="15.75" customHeight="1">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c r="AA1054" s="9"/>
      <c r="AB1054" s="9"/>
    </row>
    <row r="1055" ht="15.75" customHeight="1">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row>
    <row r="1056" ht="15.75" customHeight="1">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row>
    <row r="1057" ht="15.75" customHeight="1">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row>
    <row r="1058" ht="15.75" customHeight="1">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row>
    <row r="1059" ht="15.75" customHeight="1">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row>
    <row r="1060" ht="15.75" customHeight="1">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row>
    <row r="1061" ht="15.75" customHeight="1">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row>
    <row r="1062" ht="15.75" customHeight="1">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row>
    <row r="1063" ht="15.75" customHeight="1">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c r="AA1063" s="9"/>
      <c r="AB1063" s="9"/>
    </row>
    <row r="1064" ht="15.75" customHeight="1">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row>
    <row r="1065" ht="15.75" customHeight="1">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c r="AA1065" s="9"/>
      <c r="AB1065" s="9"/>
    </row>
    <row r="1066" ht="15.75" customHeight="1">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row>
    <row r="1067" ht="15.75" customHeight="1">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c r="AA1067" s="9"/>
      <c r="AB1067" s="9"/>
    </row>
    <row r="1068" ht="15.75" customHeight="1">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c r="AA1068" s="9"/>
      <c r="AB1068" s="9"/>
    </row>
    <row r="1069" ht="15.75" customHeight="1">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c r="AA1069" s="9"/>
      <c r="AB1069" s="9"/>
    </row>
    <row r="1070" ht="15.75" customHeight="1">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c r="AA1070" s="9"/>
      <c r="AB1070" s="9"/>
    </row>
    <row r="1071" ht="15.75" customHeight="1">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c r="AA1071" s="9"/>
      <c r="AB1071" s="9"/>
    </row>
    <row r="1072" ht="15.75" customHeight="1">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row>
    <row r="1073" ht="15.75" customHeight="1">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c r="AA1073" s="9"/>
      <c r="AB1073" s="9"/>
    </row>
    <row r="1074" ht="15.75" customHeight="1">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c r="AA1074" s="9"/>
      <c r="AB1074" s="9"/>
    </row>
    <row r="1075" ht="15.75" customHeight="1">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row>
    <row r="1076" ht="15.75" customHeight="1">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c r="AA1076" s="9"/>
      <c r="AB1076" s="9"/>
    </row>
    <row r="1077" ht="15.75" customHeight="1">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c r="AA1077" s="9"/>
      <c r="AB1077" s="9"/>
    </row>
    <row r="1078" ht="15.75" customHeight="1">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row>
    <row r="1079" ht="15.75" customHeight="1">
      <c r="A1079" s="9"/>
      <c r="B1079" s="9"/>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c r="AA1079" s="9"/>
      <c r="AB1079" s="9"/>
    </row>
    <row r="1080" ht="15.75" customHeight="1">
      <c r="A1080" s="9"/>
      <c r="B1080" s="9"/>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c r="AA1080" s="9"/>
      <c r="AB1080" s="9"/>
    </row>
    <row r="1081" ht="15.75" customHeight="1">
      <c r="A1081" s="9"/>
      <c r="B1081" s="9"/>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c r="AA1081" s="9"/>
      <c r="AB1081" s="9"/>
    </row>
    <row r="1082" ht="15.75" customHeight="1">
      <c r="A1082" s="9"/>
      <c r="B1082" s="9"/>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c r="AA1082" s="9"/>
      <c r="AB1082" s="9"/>
    </row>
    <row r="1083" ht="15.75" customHeight="1">
      <c r="A1083" s="9"/>
      <c r="B1083" s="9"/>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c r="AA1083" s="9"/>
      <c r="AB1083" s="9"/>
    </row>
    <row r="1084" ht="15.75" customHeight="1">
      <c r="A1084" s="9"/>
      <c r="B1084" s="9"/>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c r="AA1084" s="9"/>
      <c r="AB1084" s="9"/>
    </row>
    <row r="1085" ht="15.75" customHeight="1">
      <c r="A1085" s="9"/>
      <c r="B1085" s="9"/>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c r="AA1085" s="9"/>
      <c r="AB1085" s="9"/>
    </row>
    <row r="1086" ht="15.75" customHeight="1">
      <c r="A1086" s="9"/>
      <c r="B1086" s="9"/>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c r="AA1086" s="9"/>
      <c r="AB1086" s="9"/>
    </row>
    <row r="1087" ht="15.75" customHeight="1">
      <c r="A1087" s="9"/>
      <c r="B1087" s="9"/>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c r="AA1087" s="9"/>
      <c r="AB1087" s="9"/>
    </row>
    <row r="1088" ht="13.75" customHeight="1">
      <c r="A1088" s="9"/>
      <c r="B1088" s="9"/>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c r="AA1088" s="9"/>
      <c r="AB1088" s="9"/>
    </row>
    <row r="1089" ht="13.75" customHeight="1">
      <c r="A1089" s="9"/>
      <c r="B1089" s="9"/>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c r="AA1089" s="9"/>
      <c r="AB1089" s="9"/>
    </row>
    <row r="1090" ht="13.75" customHeight="1">
      <c r="A1090" s="9"/>
      <c r="B1090" s="9"/>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c r="AA1090" s="9"/>
      <c r="AB1090" s="9"/>
    </row>
    <row r="1091" ht="13.75" customHeight="1">
      <c r="A1091" s="9"/>
      <c r="B1091" s="9"/>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c r="AA1091" s="9"/>
      <c r="AB1091" s="9"/>
    </row>
    <row r="1092" ht="13.75" customHeight="1">
      <c r="A1092" s="9"/>
      <c r="B1092" s="9"/>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c r="AA1092" s="9"/>
      <c r="AB1092" s="9"/>
    </row>
    <row r="1093" ht="13.75" customHeight="1">
      <c r="A1093" s="9"/>
      <c r="B1093" s="9"/>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c r="AA1093" s="9"/>
      <c r="AB1093" s="9"/>
    </row>
    <row r="1094" ht="13.75" customHeight="1">
      <c r="A1094" s="9"/>
      <c r="B1094" s="9"/>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c r="AA1094" s="9"/>
      <c r="AB1094" s="9"/>
    </row>
    <row r="1095" ht="13.75" customHeight="1">
      <c r="A1095" s="9"/>
      <c r="B1095" s="9"/>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c r="AA1095" s="9"/>
      <c r="AB1095" s="9"/>
    </row>
    <row r="1096" ht="13.75" customHeight="1">
      <c r="A1096" s="9"/>
      <c r="B1096" s="9"/>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c r="AA1096" s="9"/>
      <c r="AB1096" s="9"/>
    </row>
    <row r="1097" ht="13.75" customHeight="1">
      <c r="A1097" s="9"/>
      <c r="B1097" s="9"/>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c r="AA1097" s="9"/>
      <c r="AB1097" s="9"/>
    </row>
    <row r="1098" ht="13.75" customHeight="1">
      <c r="A1098" s="9"/>
      <c r="B1098" s="9"/>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c r="AA1098" s="9"/>
      <c r="AB1098" s="9"/>
    </row>
    <row r="1099" ht="13.75" customHeight="1">
      <c r="A1099" s="9"/>
      <c r="B1099" s="9"/>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c r="AA1099" s="9"/>
      <c r="AB1099" s="9"/>
    </row>
    <row r="1100" ht="13.75" customHeight="1">
      <c r="A1100" s="9"/>
      <c r="B1100" s="9"/>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c r="AA1100" s="9"/>
      <c r="AB1100" s="9"/>
    </row>
    <row r="1101" ht="13.75" customHeight="1">
      <c r="A1101" s="9"/>
      <c r="B1101" s="9"/>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c r="AA1101" s="9"/>
      <c r="AB1101" s="9"/>
    </row>
    <row r="1102" ht="13.75" customHeight="1">
      <c r="A1102" s="9"/>
      <c r="B1102" s="9"/>
      <c r="C1102" s="9"/>
      <c r="D1102" s="9"/>
      <c r="E1102" s="9"/>
      <c r="F1102" s="9"/>
      <c r="G1102" s="9"/>
      <c r="H1102" s="9"/>
      <c r="I1102" s="9"/>
      <c r="J1102" s="9"/>
      <c r="K1102" s="9"/>
      <c r="L1102" s="9"/>
      <c r="M1102" s="9"/>
      <c r="N1102" s="9"/>
      <c r="O1102" s="9"/>
      <c r="P1102" s="9"/>
      <c r="Q1102" s="9"/>
      <c r="R1102" s="9"/>
      <c r="S1102" s="9"/>
      <c r="T1102" s="9"/>
      <c r="U1102" s="9"/>
      <c r="V1102" s="9"/>
      <c r="W1102" s="9"/>
      <c r="X1102" s="9"/>
      <c r="Y1102" s="9"/>
      <c r="Z1102" s="9"/>
      <c r="AA1102" s="9"/>
      <c r="AB1102" s="9"/>
    </row>
    <row r="1103" ht="13.75" customHeight="1">
      <c r="A1103" s="9"/>
      <c r="B1103" s="9"/>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c r="AA1103" s="9"/>
      <c r="AB1103" s="9"/>
    </row>
    <row r="1104" ht="13.75" customHeight="1">
      <c r="A1104" s="9"/>
      <c r="B1104" s="9"/>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c r="AA1104" s="9"/>
      <c r="AB1104" s="9"/>
    </row>
    <row r="1105" ht="13.75" customHeight="1">
      <c r="A1105" s="9"/>
      <c r="B1105" s="9"/>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c r="AA1105" s="9"/>
      <c r="AB1105" s="9"/>
    </row>
    <row r="1106" ht="13.75" customHeight="1">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c r="AA1106" s="9"/>
      <c r="AB1106" s="9"/>
    </row>
    <row r="1107" ht="13.75" customHeight="1">
      <c r="A1107" s="9"/>
      <c r="B1107" s="9"/>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c r="AA1107" s="9"/>
      <c r="AB1107" s="9"/>
    </row>
    <row r="1108" ht="13.75" customHeight="1">
      <c r="A1108" s="9"/>
      <c r="B1108" s="9"/>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c r="AA1108" s="9"/>
      <c r="AB1108" s="9"/>
    </row>
    <row r="1109" ht="13.75" customHeight="1">
      <c r="A1109" s="9"/>
      <c r="B1109" s="9"/>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c r="AA1109" s="9"/>
      <c r="AB1109" s="9"/>
    </row>
    <row r="1110" ht="13.75" customHeight="1">
      <c r="A1110" s="9"/>
      <c r="B1110" s="9"/>
      <c r="C1110" s="9"/>
      <c r="D1110" s="9"/>
      <c r="E1110" s="9"/>
      <c r="F1110" s="9"/>
      <c r="G1110" s="9"/>
      <c r="H1110" s="9"/>
      <c r="I1110" s="9"/>
      <c r="J1110" s="9"/>
      <c r="K1110" s="9"/>
      <c r="L1110" s="9"/>
      <c r="M1110" s="9"/>
      <c r="N1110" s="9"/>
      <c r="O1110" s="9"/>
      <c r="P1110" s="9"/>
      <c r="Q1110" s="9"/>
      <c r="R1110" s="9"/>
      <c r="S1110" s="9"/>
      <c r="T1110" s="9"/>
      <c r="U1110" s="9"/>
      <c r="V1110" s="9"/>
      <c r="W1110" s="9"/>
      <c r="X1110" s="9"/>
      <c r="Y1110" s="9"/>
      <c r="Z1110" s="9"/>
      <c r="AA1110" s="9"/>
      <c r="AB1110" s="9"/>
    </row>
    <row r="1111" ht="13.75" customHeight="1">
      <c r="A1111" s="9"/>
      <c r="B1111" s="9"/>
      <c r="C1111" s="9"/>
      <c r="D1111" s="9"/>
      <c r="E1111" s="9"/>
      <c r="F1111" s="9"/>
      <c r="G1111" s="9"/>
      <c r="H1111" s="9"/>
      <c r="I1111" s="9"/>
      <c r="J1111" s="9"/>
      <c r="K1111" s="9"/>
      <c r="L1111" s="9"/>
      <c r="M1111" s="9"/>
      <c r="N1111" s="9"/>
      <c r="O1111" s="9"/>
      <c r="P1111" s="9"/>
      <c r="Q1111" s="9"/>
      <c r="R1111" s="9"/>
      <c r="S1111" s="9"/>
      <c r="T1111" s="9"/>
      <c r="U1111" s="9"/>
      <c r="V1111" s="9"/>
      <c r="W1111" s="9"/>
      <c r="X1111" s="9"/>
      <c r="Y1111" s="9"/>
      <c r="Z1111" s="9"/>
      <c r="AA1111" s="9"/>
      <c r="AB1111" s="9"/>
    </row>
    <row r="1112" ht="13.75" customHeight="1">
      <c r="A1112" s="9"/>
      <c r="B1112" s="9"/>
      <c r="C1112" s="9"/>
      <c r="D1112" s="9"/>
      <c r="E1112" s="9"/>
      <c r="F1112" s="9"/>
      <c r="G1112" s="9"/>
      <c r="H1112" s="9"/>
      <c r="I1112" s="9"/>
      <c r="J1112" s="9"/>
      <c r="K1112" s="9"/>
      <c r="L1112" s="9"/>
      <c r="M1112" s="9"/>
      <c r="N1112" s="9"/>
      <c r="O1112" s="9"/>
      <c r="P1112" s="9"/>
      <c r="Q1112" s="9"/>
      <c r="R1112" s="9"/>
      <c r="S1112" s="9"/>
      <c r="T1112" s="9"/>
      <c r="U1112" s="9"/>
      <c r="V1112" s="9"/>
      <c r="W1112" s="9"/>
      <c r="X1112" s="9"/>
      <c r="Y1112" s="9"/>
      <c r="Z1112" s="9"/>
      <c r="AA1112" s="9"/>
      <c r="AB1112" s="9"/>
    </row>
    <row r="1113" ht="13.75" customHeight="1">
      <c r="A1113" s="9"/>
      <c r="B1113" s="9"/>
      <c r="C1113" s="9"/>
      <c r="D1113" s="9"/>
      <c r="E1113" s="9"/>
      <c r="F1113" s="9"/>
      <c r="G1113" s="9"/>
      <c r="H1113" s="9"/>
      <c r="I1113" s="9"/>
      <c r="J1113" s="9"/>
      <c r="K1113" s="9"/>
      <c r="L1113" s="9"/>
      <c r="M1113" s="9"/>
      <c r="N1113" s="9"/>
      <c r="O1113" s="9"/>
      <c r="P1113" s="9"/>
      <c r="Q1113" s="9"/>
      <c r="R1113" s="9"/>
      <c r="S1113" s="9"/>
      <c r="T1113" s="9"/>
      <c r="U1113" s="9"/>
      <c r="V1113" s="9"/>
      <c r="W1113" s="9"/>
      <c r="X1113" s="9"/>
      <c r="Y1113" s="9"/>
      <c r="Z1113" s="9"/>
      <c r="AA1113" s="9"/>
      <c r="AB1113" s="9"/>
    </row>
    <row r="1114" ht="13.75" customHeight="1">
      <c r="A1114" s="9"/>
      <c r="B1114" s="9"/>
      <c r="C1114" s="9"/>
      <c r="D1114" s="9"/>
      <c r="E1114" s="9"/>
      <c r="F1114" s="9"/>
      <c r="G1114" s="9"/>
      <c r="H1114" s="9"/>
      <c r="I1114" s="9"/>
      <c r="J1114" s="9"/>
      <c r="K1114" s="9"/>
      <c r="L1114" s="9"/>
      <c r="M1114" s="9"/>
      <c r="N1114" s="9"/>
      <c r="O1114" s="9"/>
      <c r="P1114" s="9"/>
      <c r="Q1114" s="9"/>
      <c r="R1114" s="9"/>
      <c r="S1114" s="9"/>
      <c r="T1114" s="9"/>
      <c r="U1114" s="9"/>
      <c r="V1114" s="9"/>
      <c r="W1114" s="9"/>
      <c r="X1114" s="9"/>
      <c r="Y1114" s="9"/>
      <c r="Z1114" s="9"/>
      <c r="AA1114" s="9"/>
      <c r="AB1114" s="9"/>
    </row>
    <row r="1115" ht="13.75" customHeight="1">
      <c r="A1115" s="9"/>
      <c r="B1115" s="9"/>
      <c r="C1115" s="9"/>
      <c r="D1115" s="9"/>
      <c r="E1115" s="9"/>
      <c r="F1115" s="9"/>
      <c r="G1115" s="9"/>
      <c r="H1115" s="9"/>
      <c r="I1115" s="9"/>
      <c r="J1115" s="9"/>
      <c r="K1115" s="9"/>
      <c r="L1115" s="9"/>
      <c r="M1115" s="9"/>
      <c r="N1115" s="9"/>
      <c r="O1115" s="9"/>
      <c r="P1115" s="9"/>
      <c r="Q1115" s="9"/>
      <c r="R1115" s="9"/>
      <c r="S1115" s="9"/>
      <c r="T1115" s="9"/>
      <c r="U1115" s="9"/>
      <c r="V1115" s="9"/>
      <c r="W1115" s="9"/>
      <c r="X1115" s="9"/>
      <c r="Y1115" s="9"/>
      <c r="Z1115" s="9"/>
      <c r="AA1115" s="9"/>
      <c r="AB1115" s="9"/>
    </row>
    <row r="1116" ht="13.75" customHeight="1">
      <c r="A1116" s="9"/>
      <c r="B1116" s="9"/>
      <c r="C1116" s="9"/>
      <c r="D1116" s="9"/>
      <c r="E1116" s="9"/>
      <c r="F1116" s="9"/>
      <c r="G1116" s="9"/>
      <c r="H1116" s="9"/>
      <c r="I1116" s="9"/>
      <c r="J1116" s="9"/>
      <c r="K1116" s="9"/>
      <c r="L1116" s="9"/>
      <c r="M1116" s="9"/>
      <c r="N1116" s="9"/>
      <c r="O1116" s="9"/>
      <c r="P1116" s="9"/>
      <c r="Q1116" s="9"/>
      <c r="R1116" s="9"/>
      <c r="S1116" s="9"/>
      <c r="T1116" s="9"/>
      <c r="U1116" s="9"/>
      <c r="V1116" s="9"/>
      <c r="W1116" s="9"/>
      <c r="X1116" s="9"/>
      <c r="Y1116" s="9"/>
      <c r="Z1116" s="9"/>
      <c r="AA1116" s="9"/>
      <c r="AB1116" s="9"/>
    </row>
    <row r="1117" ht="13.75" customHeight="1">
      <c r="A1117" s="9"/>
      <c r="B1117" s="9"/>
      <c r="C1117" s="9"/>
      <c r="D1117" s="9"/>
      <c r="E1117" s="9"/>
      <c r="F1117" s="9"/>
      <c r="G1117" s="9"/>
      <c r="H1117" s="9"/>
      <c r="I1117" s="9"/>
      <c r="J1117" s="9"/>
      <c r="K1117" s="9"/>
      <c r="L1117" s="9"/>
      <c r="M1117" s="9"/>
      <c r="N1117" s="9"/>
      <c r="O1117" s="9"/>
      <c r="P1117" s="9"/>
      <c r="Q1117" s="9"/>
      <c r="R1117" s="9"/>
      <c r="S1117" s="9"/>
      <c r="T1117" s="9"/>
      <c r="U1117" s="9"/>
      <c r="V1117" s="9"/>
      <c r="W1117" s="9"/>
      <c r="X1117" s="9"/>
      <c r="Y1117" s="9"/>
      <c r="Z1117" s="9"/>
      <c r="AA1117" s="9"/>
      <c r="AB1117" s="9"/>
    </row>
    <row r="1118" ht="13.75" customHeight="1">
      <c r="A1118" s="9"/>
      <c r="B1118" s="9"/>
      <c r="C1118" s="9"/>
      <c r="D1118" s="9"/>
      <c r="E1118" s="9"/>
      <c r="F1118" s="9"/>
      <c r="G1118" s="9"/>
      <c r="H1118" s="9"/>
      <c r="I1118" s="9"/>
      <c r="J1118" s="9"/>
      <c r="K1118" s="9"/>
      <c r="L1118" s="9"/>
      <c r="M1118" s="9"/>
      <c r="N1118" s="9"/>
      <c r="O1118" s="9"/>
      <c r="P1118" s="9"/>
      <c r="Q1118" s="9"/>
      <c r="R1118" s="9"/>
      <c r="S1118" s="9"/>
      <c r="T1118" s="9"/>
      <c r="U1118" s="9"/>
      <c r="V1118" s="9"/>
      <c r="W1118" s="9"/>
      <c r="X1118" s="9"/>
      <c r="Y1118" s="9"/>
      <c r="Z1118" s="9"/>
      <c r="AA1118" s="9"/>
      <c r="AB1118" s="9"/>
    </row>
    <row r="1119" ht="13.75" customHeight="1">
      <c r="A1119" s="9"/>
      <c r="B1119" s="9"/>
      <c r="C1119" s="9"/>
      <c r="D1119" s="9"/>
      <c r="E1119" s="9"/>
      <c r="F1119" s="9"/>
      <c r="G1119" s="9"/>
      <c r="H1119" s="9"/>
      <c r="I1119" s="9"/>
      <c r="J1119" s="9"/>
      <c r="K1119" s="9"/>
      <c r="L1119" s="9"/>
      <c r="M1119" s="9"/>
      <c r="N1119" s="9"/>
      <c r="O1119" s="9"/>
      <c r="P1119" s="9"/>
      <c r="Q1119" s="9"/>
      <c r="R1119" s="9"/>
      <c r="S1119" s="9"/>
      <c r="T1119" s="9"/>
      <c r="U1119" s="9"/>
      <c r="V1119" s="9"/>
      <c r="W1119" s="9"/>
      <c r="X1119" s="9"/>
      <c r="Y1119" s="9"/>
      <c r="Z1119" s="9"/>
      <c r="AA1119" s="9"/>
      <c r="AB1119" s="9"/>
    </row>
    <row r="1120" ht="13.75" customHeight="1">
      <c r="A1120" s="9"/>
      <c r="B1120" s="9"/>
      <c r="C1120" s="9"/>
      <c r="D1120" s="9"/>
      <c r="E1120" s="9"/>
      <c r="F1120" s="9"/>
      <c r="G1120" s="9"/>
      <c r="H1120" s="9"/>
      <c r="I1120" s="9"/>
      <c r="J1120" s="9"/>
      <c r="K1120" s="9"/>
      <c r="L1120" s="9"/>
      <c r="M1120" s="9"/>
      <c r="N1120" s="9"/>
      <c r="O1120" s="9"/>
      <c r="P1120" s="9"/>
      <c r="Q1120" s="9"/>
      <c r="R1120" s="9"/>
      <c r="S1120" s="9"/>
      <c r="T1120" s="9"/>
      <c r="U1120" s="9"/>
      <c r="V1120" s="9"/>
      <c r="W1120" s="9"/>
      <c r="X1120" s="9"/>
      <c r="Y1120" s="9"/>
      <c r="Z1120" s="9"/>
      <c r="AA1120" s="9"/>
      <c r="AB1120" s="9"/>
    </row>
    <row r="1121" ht="13.75" customHeight="1">
      <c r="A1121" s="9"/>
      <c r="B1121" s="9"/>
      <c r="C1121" s="9"/>
      <c r="D1121" s="9"/>
      <c r="E1121" s="9"/>
      <c r="F1121" s="9"/>
      <c r="G1121" s="9"/>
      <c r="H1121" s="9"/>
      <c r="I1121" s="9"/>
      <c r="J1121" s="9"/>
      <c r="K1121" s="9"/>
      <c r="L1121" s="9"/>
      <c r="M1121" s="9"/>
      <c r="N1121" s="9"/>
      <c r="O1121" s="9"/>
      <c r="P1121" s="9"/>
      <c r="Q1121" s="9"/>
      <c r="R1121" s="9"/>
      <c r="S1121" s="9"/>
      <c r="T1121" s="9"/>
      <c r="U1121" s="9"/>
      <c r="V1121" s="9"/>
      <c r="W1121" s="9"/>
      <c r="X1121" s="9"/>
      <c r="Y1121" s="9"/>
      <c r="Z1121" s="9"/>
      <c r="AA1121" s="9"/>
      <c r="AB1121" s="9"/>
    </row>
    <row r="1122" ht="13.75" customHeight="1">
      <c r="A1122" s="9"/>
      <c r="B1122" s="9"/>
      <c r="C1122" s="9"/>
      <c r="D1122" s="9"/>
      <c r="E1122" s="9"/>
      <c r="F1122" s="9"/>
      <c r="G1122" s="9"/>
      <c r="H1122" s="9"/>
      <c r="I1122" s="9"/>
      <c r="J1122" s="9"/>
      <c r="K1122" s="9"/>
      <c r="L1122" s="9"/>
      <c r="M1122" s="9"/>
      <c r="N1122" s="9"/>
      <c r="O1122" s="9"/>
      <c r="P1122" s="9"/>
      <c r="Q1122" s="9"/>
      <c r="R1122" s="9"/>
      <c r="S1122" s="9"/>
      <c r="T1122" s="9"/>
      <c r="U1122" s="9"/>
      <c r="V1122" s="9"/>
      <c r="W1122" s="9"/>
      <c r="X1122" s="9"/>
      <c r="Y1122" s="9"/>
      <c r="Z1122" s="9"/>
      <c r="AA1122" s="9"/>
      <c r="AB1122" s="9"/>
    </row>
    <row r="1123" ht="13.75" customHeight="1">
      <c r="A1123" s="9"/>
      <c r="B1123" s="9"/>
      <c r="C1123" s="9"/>
      <c r="D1123" s="9"/>
      <c r="E1123" s="9"/>
      <c r="F1123" s="9"/>
      <c r="G1123" s="9"/>
      <c r="H1123" s="9"/>
      <c r="I1123" s="9"/>
      <c r="J1123" s="9"/>
      <c r="K1123" s="9"/>
      <c r="L1123" s="9"/>
      <c r="M1123" s="9"/>
      <c r="N1123" s="9"/>
      <c r="O1123" s="9"/>
      <c r="P1123" s="9"/>
      <c r="Q1123" s="9"/>
      <c r="R1123" s="9"/>
      <c r="S1123" s="9"/>
      <c r="T1123" s="9"/>
      <c r="U1123" s="9"/>
      <c r="V1123" s="9"/>
      <c r="W1123" s="9"/>
      <c r="X1123" s="9"/>
      <c r="Y1123" s="9"/>
      <c r="Z1123" s="9"/>
      <c r="AA1123" s="9"/>
      <c r="AB1123" s="9"/>
    </row>
    <row r="1124" ht="13.75" customHeight="1">
      <c r="A1124" s="9"/>
      <c r="B1124" s="9"/>
      <c r="C1124" s="9"/>
      <c r="D1124" s="9"/>
      <c r="E1124" s="9"/>
      <c r="F1124" s="9"/>
      <c r="G1124" s="9"/>
      <c r="H1124" s="9"/>
      <c r="I1124" s="9"/>
      <c r="J1124" s="9"/>
      <c r="K1124" s="9"/>
      <c r="L1124" s="9"/>
      <c r="M1124" s="9"/>
      <c r="N1124" s="9"/>
      <c r="O1124" s="9"/>
      <c r="P1124" s="9"/>
      <c r="Q1124" s="9"/>
      <c r="R1124" s="9"/>
      <c r="S1124" s="9"/>
      <c r="T1124" s="9"/>
      <c r="U1124" s="9"/>
      <c r="V1124" s="9"/>
      <c r="W1124" s="9"/>
      <c r="X1124" s="9"/>
      <c r="Y1124" s="9"/>
      <c r="Z1124" s="9"/>
      <c r="AA1124" s="9"/>
      <c r="AB1124" s="9"/>
    </row>
    <row r="1125" ht="13.75" customHeight="1">
      <c r="A1125" s="9"/>
      <c r="B1125" s="9"/>
      <c r="C1125" s="9"/>
      <c r="D1125" s="9"/>
      <c r="E1125" s="9"/>
      <c r="F1125" s="9"/>
      <c r="G1125" s="9"/>
      <c r="H1125" s="9"/>
      <c r="I1125" s="9"/>
      <c r="J1125" s="9"/>
      <c r="K1125" s="9"/>
      <c r="L1125" s="9"/>
      <c r="M1125" s="9"/>
      <c r="N1125" s="9"/>
      <c r="O1125" s="9"/>
      <c r="P1125" s="9"/>
      <c r="Q1125" s="9"/>
      <c r="R1125" s="9"/>
      <c r="S1125" s="9"/>
      <c r="T1125" s="9"/>
      <c r="U1125" s="9"/>
      <c r="V1125" s="9"/>
      <c r="W1125" s="9"/>
      <c r="X1125" s="9"/>
      <c r="Y1125" s="9"/>
      <c r="Z1125" s="9"/>
      <c r="AA1125" s="9"/>
      <c r="AB1125" s="9"/>
    </row>
    <row r="1126" ht="13.75" customHeight="1">
      <c r="A1126" s="9"/>
      <c r="B1126" s="9"/>
      <c r="C1126" s="9"/>
      <c r="D1126" s="9"/>
      <c r="E1126" s="9"/>
      <c r="F1126" s="9"/>
      <c r="G1126" s="9"/>
      <c r="H1126" s="9"/>
      <c r="I1126" s="9"/>
      <c r="J1126" s="9"/>
      <c r="K1126" s="9"/>
      <c r="L1126" s="9"/>
      <c r="M1126" s="9"/>
      <c r="N1126" s="9"/>
      <c r="O1126" s="9"/>
      <c r="P1126" s="9"/>
      <c r="Q1126" s="9"/>
      <c r="R1126" s="9"/>
      <c r="S1126" s="9"/>
      <c r="T1126" s="9"/>
      <c r="U1126" s="9"/>
      <c r="V1126" s="9"/>
      <c r="W1126" s="9"/>
      <c r="X1126" s="9"/>
      <c r="Y1126" s="9"/>
      <c r="Z1126" s="9"/>
      <c r="AA1126" s="9"/>
      <c r="AB1126" s="9"/>
    </row>
    <row r="1127" ht="13.75" customHeight="1">
      <c r="A1127" s="9"/>
      <c r="B1127" s="9"/>
      <c r="C1127" s="9"/>
      <c r="D1127" s="9"/>
      <c r="E1127" s="9"/>
      <c r="F1127" s="9"/>
      <c r="G1127" s="9"/>
      <c r="H1127" s="9"/>
      <c r="I1127" s="9"/>
      <c r="J1127" s="9"/>
      <c r="K1127" s="9"/>
      <c r="L1127" s="9"/>
      <c r="M1127" s="9"/>
      <c r="N1127" s="9"/>
      <c r="O1127" s="9"/>
      <c r="P1127" s="9"/>
      <c r="Q1127" s="9"/>
      <c r="R1127" s="9"/>
      <c r="S1127" s="9"/>
      <c r="T1127" s="9"/>
      <c r="U1127" s="9"/>
      <c r="V1127" s="9"/>
      <c r="W1127" s="9"/>
      <c r="X1127" s="9"/>
      <c r="Y1127" s="9"/>
      <c r="Z1127" s="9"/>
      <c r="AA1127" s="9"/>
      <c r="AB1127" s="9"/>
    </row>
    <row r="1128" ht="13.75" customHeight="1">
      <c r="A1128" s="9"/>
      <c r="B1128" s="9"/>
      <c r="C1128" s="9"/>
      <c r="D1128" s="9"/>
      <c r="E1128" s="9"/>
      <c r="F1128" s="9"/>
      <c r="G1128" s="9"/>
      <c r="H1128" s="9"/>
      <c r="I1128" s="9"/>
      <c r="J1128" s="9"/>
      <c r="K1128" s="9"/>
      <c r="L1128" s="9"/>
      <c r="M1128" s="9"/>
      <c r="N1128" s="9"/>
      <c r="O1128" s="9"/>
      <c r="P1128" s="9"/>
      <c r="Q1128" s="9"/>
      <c r="R1128" s="9"/>
      <c r="S1128" s="9"/>
      <c r="T1128" s="9"/>
      <c r="U1128" s="9"/>
      <c r="V1128" s="9"/>
      <c r="W1128" s="9"/>
      <c r="X1128" s="9"/>
      <c r="Y1128" s="9"/>
      <c r="Z1128" s="9"/>
      <c r="AA1128" s="9"/>
      <c r="AB1128" s="9"/>
    </row>
    <row r="1129" ht="13.75" customHeight="1">
      <c r="A1129" s="9"/>
      <c r="B1129" s="9"/>
      <c r="C1129" s="9"/>
      <c r="D1129" s="9"/>
      <c r="E1129" s="9"/>
      <c r="F1129" s="9"/>
      <c r="G1129" s="9"/>
      <c r="H1129" s="9"/>
      <c r="I1129" s="9"/>
      <c r="J1129" s="9"/>
      <c r="K1129" s="9"/>
      <c r="L1129" s="9"/>
      <c r="M1129" s="9"/>
      <c r="N1129" s="9"/>
      <c r="O1129" s="9"/>
      <c r="P1129" s="9"/>
      <c r="Q1129" s="9"/>
      <c r="R1129" s="9"/>
      <c r="S1129" s="9"/>
      <c r="T1129" s="9"/>
      <c r="U1129" s="9"/>
      <c r="V1129" s="9"/>
      <c r="W1129" s="9"/>
      <c r="X1129" s="9"/>
      <c r="Y1129" s="9"/>
      <c r="Z1129" s="9"/>
      <c r="AA1129" s="9"/>
      <c r="AB1129" s="9"/>
    </row>
    <row r="1130" ht="13.75" customHeight="1">
      <c r="A1130" s="9"/>
      <c r="B1130" s="9"/>
      <c r="C1130" s="9"/>
      <c r="D1130" s="9"/>
      <c r="E1130" s="9"/>
      <c r="F1130" s="9"/>
      <c r="G1130" s="9"/>
      <c r="H1130" s="9"/>
      <c r="I1130" s="9"/>
      <c r="J1130" s="9"/>
      <c r="K1130" s="9"/>
      <c r="L1130" s="9"/>
      <c r="M1130" s="9"/>
      <c r="N1130" s="9"/>
      <c r="O1130" s="9"/>
      <c r="P1130" s="9"/>
      <c r="Q1130" s="9"/>
      <c r="R1130" s="9"/>
      <c r="S1130" s="9"/>
      <c r="T1130" s="9"/>
      <c r="U1130" s="9"/>
      <c r="V1130" s="9"/>
      <c r="W1130" s="9"/>
      <c r="X1130" s="9"/>
      <c r="Y1130" s="9"/>
      <c r="Z1130" s="9"/>
      <c r="AA1130" s="9"/>
      <c r="AB1130" s="9"/>
    </row>
    <row r="1131" ht="13.75" customHeight="1">
      <c r="A1131" s="9"/>
      <c r="B1131" s="9"/>
      <c r="C1131" s="9"/>
      <c r="D1131" s="9"/>
      <c r="E1131" s="9"/>
      <c r="F1131" s="9"/>
      <c r="G1131" s="9"/>
      <c r="H1131" s="9"/>
      <c r="I1131" s="9"/>
      <c r="J1131" s="9"/>
      <c r="K1131" s="9"/>
      <c r="L1131" s="9"/>
      <c r="M1131" s="9"/>
      <c r="N1131" s="9"/>
      <c r="O1131" s="9"/>
      <c r="P1131" s="9"/>
      <c r="Q1131" s="9"/>
      <c r="R1131" s="9"/>
      <c r="S1131" s="9"/>
      <c r="T1131" s="9"/>
      <c r="U1131" s="9"/>
      <c r="V1131" s="9"/>
      <c r="W1131" s="9"/>
      <c r="X1131" s="9"/>
      <c r="Y1131" s="9"/>
      <c r="Z1131" s="9"/>
      <c r="AA1131" s="9"/>
      <c r="AB1131" s="9"/>
    </row>
    <row r="1132" ht="13.75" customHeight="1">
      <c r="A1132" s="9"/>
      <c r="B1132" s="9"/>
      <c r="C1132" s="9"/>
      <c r="D1132" s="9"/>
      <c r="E1132" s="9"/>
      <c r="F1132" s="9"/>
      <c r="G1132" s="9"/>
      <c r="H1132" s="9"/>
      <c r="I1132" s="9"/>
      <c r="J1132" s="9"/>
      <c r="K1132" s="9"/>
      <c r="L1132" s="9"/>
      <c r="M1132" s="9"/>
      <c r="N1132" s="9"/>
      <c r="O1132" s="9"/>
      <c r="P1132" s="9"/>
      <c r="Q1132" s="9"/>
      <c r="R1132" s="9"/>
      <c r="S1132" s="9"/>
      <c r="T1132" s="9"/>
      <c r="U1132" s="9"/>
      <c r="V1132" s="9"/>
      <c r="W1132" s="9"/>
      <c r="X1132" s="9"/>
      <c r="Y1132" s="9"/>
      <c r="Z1132" s="9"/>
      <c r="AA1132" s="9"/>
      <c r="AB1132" s="9"/>
    </row>
    <row r="1133" ht="13.75" customHeight="1">
      <c r="A1133" s="9"/>
      <c r="B1133" s="9"/>
      <c r="C1133" s="9"/>
      <c r="D1133" s="9"/>
      <c r="E1133" s="9"/>
      <c r="F1133" s="9"/>
      <c r="G1133" s="9"/>
      <c r="H1133" s="9"/>
      <c r="I1133" s="9"/>
      <c r="J1133" s="9"/>
      <c r="K1133" s="9"/>
      <c r="L1133" s="9"/>
      <c r="M1133" s="9"/>
      <c r="N1133" s="9"/>
      <c r="O1133" s="9"/>
      <c r="P1133" s="9"/>
      <c r="Q1133" s="9"/>
      <c r="R1133" s="9"/>
      <c r="S1133" s="9"/>
      <c r="T1133" s="9"/>
      <c r="U1133" s="9"/>
      <c r="V1133" s="9"/>
      <c r="W1133" s="9"/>
      <c r="X1133" s="9"/>
      <c r="Y1133" s="9"/>
      <c r="Z1133" s="9"/>
      <c r="AA1133" s="9"/>
      <c r="AB1133" s="9"/>
    </row>
    <row r="1134" ht="13.75" customHeight="1">
      <c r="A1134" s="9"/>
      <c r="B1134" s="9"/>
      <c r="C1134" s="9"/>
      <c r="D1134" s="9"/>
      <c r="E1134" s="9"/>
      <c r="F1134" s="9"/>
      <c r="G1134" s="9"/>
      <c r="H1134" s="9"/>
      <c r="I1134" s="9"/>
      <c r="J1134" s="9"/>
      <c r="K1134" s="9"/>
      <c r="L1134" s="9"/>
      <c r="M1134" s="9"/>
      <c r="N1134" s="9"/>
      <c r="O1134" s="9"/>
      <c r="P1134" s="9"/>
      <c r="Q1134" s="9"/>
      <c r="R1134" s="9"/>
      <c r="S1134" s="9"/>
      <c r="T1134" s="9"/>
      <c r="U1134" s="9"/>
      <c r="V1134" s="9"/>
      <c r="W1134" s="9"/>
      <c r="X1134" s="9"/>
      <c r="Y1134" s="9"/>
      <c r="Z1134" s="9"/>
      <c r="AA1134" s="9"/>
      <c r="AB1134" s="9"/>
    </row>
    <row r="1135" ht="13.75" customHeight="1">
      <c r="A1135" s="9"/>
      <c r="B1135" s="9"/>
      <c r="C1135" s="9"/>
      <c r="D1135" s="9"/>
      <c r="E1135" s="9"/>
      <c r="F1135" s="9"/>
      <c r="G1135" s="9"/>
      <c r="H1135" s="9"/>
      <c r="I1135" s="9"/>
      <c r="J1135" s="9"/>
      <c r="K1135" s="9"/>
      <c r="L1135" s="9"/>
      <c r="M1135" s="9"/>
      <c r="N1135" s="9"/>
      <c r="O1135" s="9"/>
      <c r="P1135" s="9"/>
      <c r="Q1135" s="9"/>
      <c r="R1135" s="9"/>
      <c r="S1135" s="9"/>
      <c r="T1135" s="9"/>
      <c r="U1135" s="9"/>
      <c r="V1135" s="9"/>
      <c r="W1135" s="9"/>
      <c r="X1135" s="9"/>
      <c r="Y1135" s="9"/>
      <c r="Z1135" s="9"/>
      <c r="AA1135" s="9"/>
      <c r="AB1135" s="9"/>
    </row>
    <row r="1136" ht="13.75" customHeight="1">
      <c r="A1136" s="9"/>
      <c r="B1136" s="9"/>
      <c r="C1136" s="9"/>
      <c r="D1136" s="9"/>
      <c r="E1136" s="9"/>
      <c r="F1136" s="9"/>
      <c r="G1136" s="9"/>
      <c r="H1136" s="9"/>
      <c r="I1136" s="9"/>
      <c r="J1136" s="9"/>
      <c r="K1136" s="9"/>
      <c r="L1136" s="9"/>
      <c r="M1136" s="9"/>
      <c r="N1136" s="9"/>
      <c r="O1136" s="9"/>
      <c r="P1136" s="9"/>
      <c r="Q1136" s="9"/>
      <c r="R1136" s="9"/>
      <c r="S1136" s="9"/>
      <c r="T1136" s="9"/>
      <c r="U1136" s="9"/>
      <c r="V1136" s="9"/>
      <c r="W1136" s="9"/>
      <c r="X1136" s="9"/>
      <c r="Y1136" s="9"/>
      <c r="Z1136" s="9"/>
      <c r="AA1136" s="9"/>
      <c r="AB1136" s="9"/>
    </row>
    <row r="1137" ht="13.75" customHeight="1">
      <c r="A1137" s="9"/>
      <c r="B1137" s="9"/>
      <c r="C1137" s="9"/>
      <c r="D1137" s="9"/>
      <c r="E1137" s="9"/>
      <c r="F1137" s="9"/>
      <c r="G1137" s="9"/>
      <c r="H1137" s="9"/>
      <c r="I1137" s="9"/>
      <c r="J1137" s="9"/>
      <c r="K1137" s="9"/>
      <c r="L1137" s="9"/>
      <c r="M1137" s="9"/>
      <c r="N1137" s="9"/>
      <c r="O1137" s="9"/>
      <c r="P1137" s="9"/>
      <c r="Q1137" s="9"/>
      <c r="R1137" s="9"/>
      <c r="S1137" s="9"/>
      <c r="T1137" s="9"/>
      <c r="U1137" s="9"/>
      <c r="V1137" s="9"/>
      <c r="W1137" s="9"/>
      <c r="X1137" s="9"/>
      <c r="Y1137" s="9"/>
      <c r="Z1137" s="9"/>
      <c r="AA1137" s="9"/>
      <c r="AB1137" s="9"/>
    </row>
    <row r="1138" ht="13.75" customHeight="1">
      <c r="A1138" s="9"/>
      <c r="B1138" s="9"/>
      <c r="C1138" s="9"/>
      <c r="D1138" s="9"/>
      <c r="E1138" s="9"/>
      <c r="F1138" s="9"/>
      <c r="G1138" s="9"/>
      <c r="H1138" s="9"/>
      <c r="I1138" s="9"/>
      <c r="J1138" s="9"/>
      <c r="K1138" s="9"/>
      <c r="L1138" s="9"/>
      <c r="M1138" s="9"/>
      <c r="N1138" s="9"/>
      <c r="O1138" s="9"/>
      <c r="P1138" s="9"/>
      <c r="Q1138" s="9"/>
      <c r="R1138" s="9"/>
      <c r="S1138" s="9"/>
      <c r="T1138" s="9"/>
      <c r="U1138" s="9"/>
      <c r="V1138" s="9"/>
      <c r="W1138" s="9"/>
      <c r="X1138" s="9"/>
      <c r="Y1138" s="9"/>
      <c r="Z1138" s="9"/>
      <c r="AA1138" s="9"/>
      <c r="AB1138" s="9"/>
    </row>
    <row r="1139" ht="13.75" customHeight="1">
      <c r="A1139" s="9"/>
      <c r="B1139" s="9"/>
      <c r="C1139" s="9"/>
      <c r="D1139" s="9"/>
      <c r="E1139" s="9"/>
      <c r="F1139" s="9"/>
      <c r="G1139" s="9"/>
      <c r="H1139" s="9"/>
      <c r="I1139" s="9"/>
      <c r="J1139" s="9"/>
      <c r="K1139" s="9"/>
      <c r="L1139" s="9"/>
      <c r="M1139" s="9"/>
      <c r="N1139" s="9"/>
      <c r="O1139" s="9"/>
      <c r="P1139" s="9"/>
      <c r="Q1139" s="9"/>
      <c r="R1139" s="9"/>
      <c r="S1139" s="9"/>
      <c r="T1139" s="9"/>
      <c r="U1139" s="9"/>
      <c r="V1139" s="9"/>
      <c r="W1139" s="9"/>
      <c r="X1139" s="9"/>
      <c r="Y1139" s="9"/>
      <c r="Z1139" s="9"/>
      <c r="AA1139" s="9"/>
      <c r="AB1139" s="9"/>
    </row>
    <row r="1140" ht="13.75" customHeight="1">
      <c r="A1140" s="9"/>
      <c r="B1140" s="9"/>
      <c r="C1140" s="9"/>
      <c r="D1140" s="9"/>
      <c r="E1140" s="9"/>
      <c r="F1140" s="9"/>
      <c r="G1140" s="9"/>
      <c r="H1140" s="9"/>
      <c r="I1140" s="9"/>
      <c r="J1140" s="9"/>
      <c r="K1140" s="9"/>
      <c r="L1140" s="9"/>
      <c r="M1140" s="9"/>
      <c r="N1140" s="9"/>
      <c r="O1140" s="9"/>
      <c r="P1140" s="9"/>
      <c r="Q1140" s="9"/>
      <c r="R1140" s="9"/>
      <c r="S1140" s="9"/>
      <c r="T1140" s="9"/>
      <c r="U1140" s="9"/>
      <c r="V1140" s="9"/>
      <c r="W1140" s="9"/>
      <c r="X1140" s="9"/>
      <c r="Y1140" s="9"/>
      <c r="Z1140" s="9"/>
      <c r="AA1140" s="9"/>
      <c r="AB1140" s="9"/>
    </row>
    <row r="1141" ht="13.75" customHeight="1">
      <c r="A1141" s="9"/>
      <c r="B1141" s="9"/>
      <c r="C1141" s="9"/>
      <c r="D1141" s="9"/>
      <c r="E1141" s="9"/>
      <c r="F1141" s="9"/>
      <c r="G1141" s="9"/>
      <c r="H1141" s="9"/>
      <c r="I1141" s="9"/>
      <c r="J1141" s="9"/>
      <c r="K1141" s="9"/>
      <c r="L1141" s="9"/>
      <c r="M1141" s="9"/>
      <c r="N1141" s="9"/>
      <c r="O1141" s="9"/>
      <c r="P1141" s="9"/>
      <c r="Q1141" s="9"/>
      <c r="R1141" s="9"/>
      <c r="S1141" s="9"/>
      <c r="T1141" s="9"/>
      <c r="U1141" s="9"/>
      <c r="V1141" s="9"/>
      <c r="W1141" s="9"/>
      <c r="X1141" s="9"/>
      <c r="Y1141" s="9"/>
      <c r="Z1141" s="9"/>
      <c r="AA1141" s="9"/>
      <c r="AB1141" s="9"/>
    </row>
    <row r="1142" ht="13.75" customHeight="1">
      <c r="A1142" s="9"/>
      <c r="B1142" s="9"/>
      <c r="C1142" s="9"/>
      <c r="D1142" s="9"/>
      <c r="E1142" s="9"/>
      <c r="F1142" s="9"/>
      <c r="G1142" s="9"/>
      <c r="H1142" s="9"/>
      <c r="I1142" s="9"/>
      <c r="J1142" s="9"/>
      <c r="K1142" s="9"/>
      <c r="L1142" s="9"/>
      <c r="M1142" s="9"/>
      <c r="N1142" s="9"/>
      <c r="O1142" s="9"/>
      <c r="P1142" s="9"/>
      <c r="Q1142" s="9"/>
      <c r="R1142" s="9"/>
      <c r="S1142" s="9"/>
      <c r="T1142" s="9"/>
      <c r="U1142" s="9"/>
      <c r="V1142" s="9"/>
      <c r="W1142" s="9"/>
      <c r="X1142" s="9"/>
      <c r="Y1142" s="9"/>
      <c r="Z1142" s="9"/>
      <c r="AA1142" s="9"/>
      <c r="AB1142" s="9"/>
    </row>
    <row r="1143" ht="13.75" customHeight="1">
      <c r="A1143" s="9"/>
      <c r="B1143" s="9"/>
      <c r="C1143" s="9"/>
      <c r="D1143" s="9"/>
      <c r="E1143" s="9"/>
      <c r="F1143" s="9"/>
      <c r="G1143" s="9"/>
      <c r="H1143" s="9"/>
      <c r="I1143" s="9"/>
      <c r="J1143" s="9"/>
      <c r="K1143" s="9"/>
      <c r="L1143" s="9"/>
      <c r="M1143" s="9"/>
      <c r="N1143" s="9"/>
      <c r="O1143" s="9"/>
      <c r="P1143" s="9"/>
      <c r="Q1143" s="9"/>
      <c r="R1143" s="9"/>
      <c r="S1143" s="9"/>
      <c r="T1143" s="9"/>
      <c r="U1143" s="9"/>
      <c r="V1143" s="9"/>
      <c r="W1143" s="9"/>
      <c r="X1143" s="9"/>
      <c r="Y1143" s="9"/>
      <c r="Z1143" s="9"/>
      <c r="AA1143" s="9"/>
      <c r="AB1143" s="9"/>
    </row>
    <row r="1144" ht="13.75" customHeight="1">
      <c r="A1144" s="9"/>
      <c r="B1144" s="9"/>
      <c r="C1144" s="9"/>
      <c r="D1144" s="9"/>
      <c r="E1144" s="9"/>
      <c r="F1144" s="9"/>
      <c r="G1144" s="9"/>
      <c r="H1144" s="9"/>
      <c r="I1144" s="9"/>
      <c r="J1144" s="9"/>
      <c r="K1144" s="9"/>
      <c r="L1144" s="9"/>
      <c r="M1144" s="9"/>
      <c r="N1144" s="9"/>
      <c r="O1144" s="9"/>
      <c r="P1144" s="9"/>
      <c r="Q1144" s="9"/>
      <c r="R1144" s="9"/>
      <c r="S1144" s="9"/>
      <c r="T1144" s="9"/>
      <c r="U1144" s="9"/>
      <c r="V1144" s="9"/>
      <c r="W1144" s="9"/>
      <c r="X1144" s="9"/>
      <c r="Y1144" s="9"/>
      <c r="Z1144" s="9"/>
      <c r="AA1144" s="9"/>
      <c r="AB1144" s="9"/>
    </row>
    <row r="1145" ht="13.75" customHeight="1">
      <c r="A1145" s="9"/>
      <c r="B1145" s="9"/>
      <c r="C1145" s="9"/>
      <c r="D1145" s="9"/>
      <c r="E1145" s="9"/>
      <c r="F1145" s="9"/>
      <c r="G1145" s="9"/>
      <c r="H1145" s="9"/>
      <c r="I1145" s="9"/>
      <c r="J1145" s="9"/>
      <c r="K1145" s="9"/>
      <c r="L1145" s="9"/>
      <c r="M1145" s="9"/>
      <c r="N1145" s="9"/>
      <c r="O1145" s="9"/>
      <c r="P1145" s="9"/>
      <c r="Q1145" s="9"/>
      <c r="R1145" s="9"/>
      <c r="S1145" s="9"/>
      <c r="T1145" s="9"/>
      <c r="U1145" s="9"/>
      <c r="V1145" s="9"/>
      <c r="W1145" s="9"/>
      <c r="X1145" s="9"/>
      <c r="Y1145" s="9"/>
      <c r="Z1145" s="9"/>
      <c r="AA1145" s="9"/>
      <c r="AB1145" s="9"/>
    </row>
    <row r="1146" ht="13.75" customHeight="1">
      <c r="A1146" s="9"/>
      <c r="B1146" s="9"/>
      <c r="C1146" s="9"/>
      <c r="D1146" s="9"/>
      <c r="E1146" s="9"/>
      <c r="F1146" s="9"/>
      <c r="G1146" s="9"/>
      <c r="H1146" s="9"/>
      <c r="I1146" s="9"/>
      <c r="J1146" s="9"/>
      <c r="K1146" s="9"/>
      <c r="L1146" s="9"/>
      <c r="M1146" s="9"/>
      <c r="N1146" s="9"/>
      <c r="O1146" s="9"/>
      <c r="P1146" s="9"/>
      <c r="Q1146" s="9"/>
      <c r="R1146" s="9"/>
      <c r="S1146" s="9"/>
      <c r="T1146" s="9"/>
      <c r="U1146" s="9"/>
      <c r="V1146" s="9"/>
      <c r="W1146" s="9"/>
      <c r="X1146" s="9"/>
      <c r="Y1146" s="9"/>
      <c r="Z1146" s="9"/>
      <c r="AA1146" s="9"/>
      <c r="AB1146" s="9"/>
    </row>
    <row r="1147" ht="13.75" customHeight="1">
      <c r="A1147" s="9"/>
      <c r="B1147" s="9"/>
      <c r="C1147" s="9"/>
      <c r="D1147" s="9"/>
      <c r="E1147" s="9"/>
      <c r="F1147" s="9"/>
      <c r="G1147" s="9"/>
      <c r="H1147" s="9"/>
      <c r="I1147" s="9"/>
      <c r="J1147" s="9"/>
      <c r="K1147" s="9"/>
      <c r="L1147" s="9"/>
      <c r="M1147" s="9"/>
      <c r="N1147" s="9"/>
      <c r="O1147" s="9"/>
      <c r="P1147" s="9"/>
      <c r="Q1147" s="9"/>
      <c r="R1147" s="9"/>
      <c r="S1147" s="9"/>
      <c r="T1147" s="9"/>
      <c r="U1147" s="9"/>
      <c r="V1147" s="9"/>
      <c r="W1147" s="9"/>
      <c r="X1147" s="9"/>
      <c r="Y1147" s="9"/>
      <c r="Z1147" s="9"/>
      <c r="AA1147" s="9"/>
      <c r="AB1147" s="9"/>
    </row>
    <row r="1148" ht="13.75" customHeight="1">
      <c r="A1148" s="9"/>
      <c r="B1148" s="9"/>
      <c r="C1148" s="9"/>
      <c r="D1148" s="9"/>
      <c r="E1148" s="9"/>
      <c r="F1148" s="9"/>
      <c r="G1148" s="9"/>
      <c r="H1148" s="9"/>
      <c r="I1148" s="9"/>
      <c r="J1148" s="9"/>
      <c r="K1148" s="9"/>
      <c r="L1148" s="9"/>
      <c r="M1148" s="9"/>
      <c r="N1148" s="9"/>
      <c r="O1148" s="9"/>
      <c r="P1148" s="9"/>
      <c r="Q1148" s="9"/>
      <c r="R1148" s="9"/>
      <c r="S1148" s="9"/>
      <c r="T1148" s="9"/>
      <c r="U1148" s="9"/>
      <c r="V1148" s="9"/>
      <c r="W1148" s="9"/>
      <c r="X1148" s="9"/>
      <c r="Y1148" s="9"/>
      <c r="Z1148" s="9"/>
      <c r="AA1148" s="9"/>
      <c r="AB1148" s="9"/>
    </row>
    <row r="1149" ht="13.75" customHeight="1">
      <c r="A1149" s="9"/>
      <c r="B1149" s="9"/>
      <c r="C1149" s="9"/>
      <c r="D1149" s="9"/>
      <c r="E1149" s="9"/>
      <c r="F1149" s="9"/>
      <c r="G1149" s="9"/>
      <c r="H1149" s="9"/>
      <c r="I1149" s="9"/>
      <c r="J1149" s="9"/>
      <c r="K1149" s="9"/>
      <c r="L1149" s="9"/>
      <c r="M1149" s="9"/>
      <c r="N1149" s="9"/>
      <c r="O1149" s="9"/>
      <c r="P1149" s="9"/>
      <c r="Q1149" s="9"/>
      <c r="R1149" s="9"/>
      <c r="S1149" s="9"/>
      <c r="T1149" s="9"/>
      <c r="U1149" s="9"/>
      <c r="V1149" s="9"/>
      <c r="W1149" s="9"/>
      <c r="X1149" s="9"/>
      <c r="Y1149" s="9"/>
      <c r="Z1149" s="9"/>
      <c r="AA1149" s="9"/>
      <c r="AB1149" s="9"/>
    </row>
    <row r="1150" ht="13.75" customHeight="1">
      <c r="A1150" s="9"/>
      <c r="B1150" s="9"/>
      <c r="C1150" s="9"/>
      <c r="D1150" s="9"/>
      <c r="E1150" s="9"/>
      <c r="F1150" s="9"/>
      <c r="G1150" s="9"/>
      <c r="H1150" s="9"/>
      <c r="I1150" s="9"/>
      <c r="J1150" s="9"/>
      <c r="K1150" s="9"/>
      <c r="L1150" s="9"/>
      <c r="M1150" s="9"/>
      <c r="N1150" s="9"/>
      <c r="O1150" s="9"/>
      <c r="P1150" s="9"/>
      <c r="Q1150" s="9"/>
      <c r="R1150" s="9"/>
      <c r="S1150" s="9"/>
      <c r="T1150" s="9"/>
      <c r="U1150" s="9"/>
      <c r="V1150" s="9"/>
      <c r="W1150" s="9"/>
      <c r="X1150" s="9"/>
      <c r="Y1150" s="9"/>
      <c r="Z1150" s="9"/>
      <c r="AA1150" s="9"/>
      <c r="AB1150" s="9"/>
    </row>
    <row r="1151" ht="13.75" customHeight="1">
      <c r="A1151" s="9"/>
      <c r="B1151" s="9"/>
      <c r="C1151" s="9"/>
      <c r="D1151" s="9"/>
      <c r="E1151" s="9"/>
      <c r="F1151" s="9"/>
      <c r="G1151" s="9"/>
      <c r="H1151" s="9"/>
      <c r="I1151" s="9"/>
      <c r="J1151" s="9"/>
      <c r="K1151" s="9"/>
      <c r="L1151" s="9"/>
      <c r="M1151" s="9"/>
      <c r="N1151" s="9"/>
      <c r="O1151" s="9"/>
      <c r="P1151" s="9"/>
      <c r="Q1151" s="9"/>
      <c r="R1151" s="9"/>
      <c r="S1151" s="9"/>
      <c r="T1151" s="9"/>
      <c r="U1151" s="9"/>
      <c r="V1151" s="9"/>
      <c r="W1151" s="9"/>
      <c r="X1151" s="9"/>
      <c r="Y1151" s="9"/>
      <c r="Z1151" s="9"/>
      <c r="AA1151" s="9"/>
      <c r="AB1151" s="9"/>
    </row>
    <row r="1152" ht="13.75" customHeight="1">
      <c r="A1152" s="9"/>
      <c r="B1152" s="9"/>
      <c r="C1152" s="9"/>
      <c r="D1152" s="9"/>
      <c r="E1152" s="9"/>
      <c r="F1152" s="9"/>
      <c r="G1152" s="9"/>
      <c r="H1152" s="9"/>
      <c r="I1152" s="9"/>
      <c r="J1152" s="9"/>
      <c r="K1152" s="9"/>
      <c r="L1152" s="9"/>
      <c r="M1152" s="9"/>
      <c r="N1152" s="9"/>
      <c r="O1152" s="9"/>
      <c r="P1152" s="9"/>
      <c r="Q1152" s="9"/>
      <c r="R1152" s="9"/>
      <c r="S1152" s="9"/>
      <c r="T1152" s="9"/>
      <c r="U1152" s="9"/>
      <c r="V1152" s="9"/>
      <c r="W1152" s="9"/>
      <c r="X1152" s="9"/>
      <c r="Y1152" s="9"/>
      <c r="Z1152" s="9"/>
      <c r="AA1152" s="9"/>
      <c r="AB1152" s="9"/>
    </row>
    <row r="1153" ht="13.75" customHeight="1">
      <c r="A1153" s="9"/>
      <c r="B1153" s="9"/>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c r="AA1153" s="9"/>
      <c r="AB1153" s="9"/>
    </row>
    <row r="1154" ht="13.75" customHeight="1">
      <c r="A1154" s="9"/>
      <c r="B1154" s="9"/>
      <c r="C1154" s="9"/>
      <c r="D1154" s="9"/>
      <c r="E1154" s="9"/>
      <c r="F1154" s="9"/>
      <c r="G1154" s="9"/>
      <c r="H1154" s="9"/>
      <c r="I1154" s="9"/>
      <c r="J1154" s="9"/>
      <c r="K1154" s="9"/>
      <c r="L1154" s="9"/>
      <c r="M1154" s="9"/>
      <c r="N1154" s="9"/>
      <c r="O1154" s="9"/>
      <c r="P1154" s="9"/>
      <c r="Q1154" s="9"/>
      <c r="R1154" s="9"/>
      <c r="S1154" s="9"/>
      <c r="T1154" s="9"/>
      <c r="U1154" s="9"/>
      <c r="V1154" s="9"/>
      <c r="W1154" s="9"/>
      <c r="X1154" s="9"/>
      <c r="Y1154" s="9"/>
      <c r="Z1154" s="9"/>
      <c r="AA1154" s="9"/>
      <c r="AB1154" s="9"/>
    </row>
    <row r="1155" ht="13.75" customHeight="1">
      <c r="A1155" s="9"/>
      <c r="B1155" s="9"/>
      <c r="C1155" s="9"/>
      <c r="D1155" s="9"/>
      <c r="E1155" s="9"/>
      <c r="F1155" s="9"/>
      <c r="G1155" s="9"/>
      <c r="H1155" s="9"/>
      <c r="I1155" s="9"/>
      <c r="J1155" s="9"/>
      <c r="K1155" s="9"/>
      <c r="L1155" s="9"/>
      <c r="M1155" s="9"/>
      <c r="N1155" s="9"/>
      <c r="O1155" s="9"/>
      <c r="P1155" s="9"/>
      <c r="Q1155" s="9"/>
      <c r="R1155" s="9"/>
      <c r="S1155" s="9"/>
      <c r="T1155" s="9"/>
      <c r="U1155" s="9"/>
      <c r="V1155" s="9"/>
      <c r="W1155" s="9"/>
      <c r="X1155" s="9"/>
      <c r="Y1155" s="9"/>
      <c r="Z1155" s="9"/>
      <c r="AA1155" s="9"/>
      <c r="AB1155" s="9"/>
    </row>
    <row r="1156" ht="13.75" customHeight="1">
      <c r="A1156" s="9"/>
      <c r="B1156" s="9"/>
      <c r="C1156" s="9"/>
      <c r="D1156" s="9"/>
      <c r="E1156" s="9"/>
      <c r="F1156" s="9"/>
      <c r="G1156" s="9"/>
      <c r="H1156" s="9"/>
      <c r="I1156" s="9"/>
      <c r="J1156" s="9"/>
      <c r="K1156" s="9"/>
      <c r="L1156" s="9"/>
      <c r="M1156" s="9"/>
      <c r="N1156" s="9"/>
      <c r="O1156" s="9"/>
      <c r="P1156" s="9"/>
      <c r="Q1156" s="9"/>
      <c r="R1156" s="9"/>
      <c r="S1156" s="9"/>
      <c r="T1156" s="9"/>
      <c r="U1156" s="9"/>
      <c r="V1156" s="9"/>
      <c r="W1156" s="9"/>
      <c r="X1156" s="9"/>
      <c r="Y1156" s="9"/>
      <c r="Z1156" s="9"/>
      <c r="AA1156" s="9"/>
      <c r="AB1156" s="9"/>
    </row>
    <row r="1157" ht="13.75" customHeight="1">
      <c r="A1157" s="9"/>
      <c r="B1157" s="9"/>
      <c r="C1157" s="9"/>
      <c r="D1157" s="9"/>
      <c r="E1157" s="9"/>
      <c r="F1157" s="9"/>
      <c r="G1157" s="9"/>
      <c r="H1157" s="9"/>
      <c r="I1157" s="9"/>
      <c r="J1157" s="9"/>
      <c r="K1157" s="9"/>
      <c r="L1157" s="9"/>
      <c r="M1157" s="9"/>
      <c r="N1157" s="9"/>
      <c r="O1157" s="9"/>
      <c r="P1157" s="9"/>
      <c r="Q1157" s="9"/>
      <c r="R1157" s="9"/>
      <c r="S1157" s="9"/>
      <c r="T1157" s="9"/>
      <c r="U1157" s="9"/>
      <c r="V1157" s="9"/>
      <c r="W1157" s="9"/>
      <c r="X1157" s="9"/>
      <c r="Y1157" s="9"/>
      <c r="Z1157" s="9"/>
      <c r="AA1157" s="9"/>
      <c r="AB1157" s="9"/>
    </row>
    <row r="1158" ht="13.75" customHeight="1">
      <c r="A1158" s="9"/>
      <c r="B1158" s="9"/>
      <c r="C1158" s="9"/>
      <c r="D1158" s="9"/>
      <c r="E1158" s="9"/>
      <c r="F1158" s="9"/>
      <c r="G1158" s="9"/>
      <c r="H1158" s="9"/>
      <c r="I1158" s="9"/>
      <c r="J1158" s="9"/>
      <c r="K1158" s="9"/>
      <c r="L1158" s="9"/>
      <c r="M1158" s="9"/>
      <c r="N1158" s="9"/>
      <c r="O1158" s="9"/>
      <c r="P1158" s="9"/>
      <c r="Q1158" s="9"/>
      <c r="R1158" s="9"/>
      <c r="S1158" s="9"/>
      <c r="T1158" s="9"/>
      <c r="U1158" s="9"/>
      <c r="V1158" s="9"/>
      <c r="W1158" s="9"/>
      <c r="X1158" s="9"/>
      <c r="Y1158" s="9"/>
      <c r="Z1158" s="9"/>
      <c r="AA1158" s="9"/>
      <c r="AB1158" s="9"/>
    </row>
    <row r="1159" ht="13.75" customHeight="1">
      <c r="A1159" s="9"/>
      <c r="B1159" s="9"/>
      <c r="C1159" s="9"/>
      <c r="D1159" s="9"/>
      <c r="E1159" s="9"/>
      <c r="F1159" s="9"/>
      <c r="G1159" s="9"/>
      <c r="H1159" s="9"/>
      <c r="I1159" s="9"/>
      <c r="J1159" s="9"/>
      <c r="K1159" s="9"/>
      <c r="L1159" s="9"/>
      <c r="M1159" s="9"/>
      <c r="N1159" s="9"/>
      <c r="O1159" s="9"/>
      <c r="P1159" s="9"/>
      <c r="Q1159" s="9"/>
      <c r="R1159" s="9"/>
      <c r="S1159" s="9"/>
      <c r="T1159" s="9"/>
      <c r="U1159" s="9"/>
      <c r="V1159" s="9"/>
      <c r="W1159" s="9"/>
      <c r="X1159" s="9"/>
      <c r="Y1159" s="9"/>
      <c r="Z1159" s="9"/>
      <c r="AA1159" s="9"/>
      <c r="AB1159" s="9"/>
    </row>
    <row r="1160" ht="13.75" customHeight="1">
      <c r="A1160" s="9"/>
      <c r="B1160" s="9"/>
      <c r="C1160" s="9"/>
      <c r="D1160" s="9"/>
      <c r="E1160" s="9"/>
      <c r="F1160" s="9"/>
      <c r="G1160" s="9"/>
      <c r="H1160" s="9"/>
      <c r="I1160" s="9"/>
      <c r="J1160" s="9"/>
      <c r="K1160" s="9"/>
      <c r="L1160" s="9"/>
      <c r="M1160" s="9"/>
      <c r="N1160" s="9"/>
      <c r="O1160" s="9"/>
      <c r="P1160" s="9"/>
      <c r="Q1160" s="9"/>
      <c r="R1160" s="9"/>
      <c r="S1160" s="9"/>
      <c r="T1160" s="9"/>
      <c r="U1160" s="9"/>
      <c r="V1160" s="9"/>
      <c r="W1160" s="9"/>
      <c r="X1160" s="9"/>
      <c r="Y1160" s="9"/>
      <c r="Z1160" s="9"/>
      <c r="AA1160" s="9"/>
      <c r="AB1160" s="9"/>
    </row>
    <row r="1161" ht="13.75" customHeight="1">
      <c r="A1161" s="9"/>
      <c r="B1161" s="9"/>
      <c r="C1161" s="9"/>
      <c r="D1161" s="9"/>
      <c r="E1161" s="9"/>
      <c r="F1161" s="9"/>
      <c r="G1161" s="9"/>
      <c r="H1161" s="9"/>
      <c r="I1161" s="9"/>
      <c r="J1161" s="9"/>
      <c r="K1161" s="9"/>
      <c r="L1161" s="9"/>
      <c r="M1161" s="9"/>
      <c r="N1161" s="9"/>
      <c r="O1161" s="9"/>
      <c r="P1161" s="9"/>
      <c r="Q1161" s="9"/>
      <c r="R1161" s="9"/>
      <c r="S1161" s="9"/>
      <c r="T1161" s="9"/>
      <c r="U1161" s="9"/>
      <c r="V1161" s="9"/>
      <c r="W1161" s="9"/>
      <c r="X1161" s="9"/>
      <c r="Y1161" s="9"/>
      <c r="Z1161" s="9"/>
      <c r="AA1161" s="9"/>
      <c r="AB1161" s="9"/>
    </row>
    <row r="1162" ht="13.75" customHeight="1">
      <c r="A1162" s="9"/>
      <c r="B1162" s="9"/>
      <c r="C1162" s="9"/>
      <c r="D1162" s="9"/>
      <c r="E1162" s="9"/>
      <c r="F1162" s="9"/>
      <c r="G1162" s="9"/>
      <c r="H1162" s="9"/>
      <c r="I1162" s="9"/>
      <c r="J1162" s="9"/>
      <c r="K1162" s="9"/>
      <c r="L1162" s="9"/>
      <c r="M1162" s="9"/>
      <c r="N1162" s="9"/>
      <c r="O1162" s="9"/>
      <c r="P1162" s="9"/>
      <c r="Q1162" s="9"/>
      <c r="R1162" s="9"/>
      <c r="S1162" s="9"/>
      <c r="T1162" s="9"/>
      <c r="U1162" s="9"/>
      <c r="V1162" s="9"/>
      <c r="W1162" s="9"/>
      <c r="X1162" s="9"/>
      <c r="Y1162" s="9"/>
      <c r="Z1162" s="9"/>
      <c r="AA1162" s="9"/>
      <c r="AB1162" s="9"/>
    </row>
    <row r="1163" ht="13.75" customHeight="1">
      <c r="A1163" s="9"/>
      <c r="B1163" s="9"/>
      <c r="C1163" s="9"/>
      <c r="D1163" s="9"/>
      <c r="E1163" s="9"/>
      <c r="F1163" s="9"/>
      <c r="G1163" s="9"/>
      <c r="H1163" s="9"/>
      <c r="I1163" s="9"/>
      <c r="J1163" s="9"/>
      <c r="K1163" s="9"/>
      <c r="L1163" s="9"/>
      <c r="M1163" s="9"/>
      <c r="N1163" s="9"/>
      <c r="O1163" s="9"/>
      <c r="P1163" s="9"/>
      <c r="Q1163" s="9"/>
      <c r="R1163" s="9"/>
      <c r="S1163" s="9"/>
      <c r="T1163" s="9"/>
      <c r="U1163" s="9"/>
      <c r="V1163" s="9"/>
      <c r="W1163" s="9"/>
      <c r="X1163" s="9"/>
      <c r="Y1163" s="9"/>
      <c r="Z1163" s="9"/>
      <c r="AA1163" s="9"/>
      <c r="AB1163" s="9"/>
    </row>
    <row r="1164" ht="13.75" customHeight="1">
      <c r="A1164" s="9"/>
      <c r="B1164" s="9"/>
      <c r="C1164" s="9"/>
      <c r="D1164" s="9"/>
      <c r="E1164" s="9"/>
      <c r="F1164" s="9"/>
      <c r="G1164" s="9"/>
      <c r="H1164" s="9"/>
      <c r="I1164" s="9"/>
      <c r="J1164" s="9"/>
      <c r="K1164" s="9"/>
      <c r="L1164" s="9"/>
      <c r="M1164" s="9"/>
      <c r="N1164" s="9"/>
      <c r="O1164" s="9"/>
      <c r="P1164" s="9"/>
      <c r="Q1164" s="9"/>
      <c r="R1164" s="9"/>
      <c r="S1164" s="9"/>
      <c r="T1164" s="9"/>
      <c r="U1164" s="9"/>
      <c r="V1164" s="9"/>
      <c r="W1164" s="9"/>
      <c r="X1164" s="9"/>
      <c r="Y1164" s="9"/>
      <c r="Z1164" s="9"/>
      <c r="AA1164" s="9"/>
      <c r="AB1164" s="9"/>
    </row>
    <row r="1165" ht="13.75" customHeight="1">
      <c r="A1165" s="9"/>
      <c r="B1165" s="9"/>
      <c r="C1165" s="9"/>
      <c r="D1165" s="9"/>
      <c r="E1165" s="9"/>
      <c r="F1165" s="9"/>
      <c r="G1165" s="9"/>
      <c r="H1165" s="9"/>
      <c r="I1165" s="9"/>
      <c r="J1165" s="9"/>
      <c r="K1165" s="9"/>
      <c r="L1165" s="9"/>
      <c r="M1165" s="9"/>
      <c r="N1165" s="9"/>
      <c r="O1165" s="9"/>
      <c r="P1165" s="9"/>
      <c r="Q1165" s="9"/>
      <c r="R1165" s="9"/>
      <c r="S1165" s="9"/>
      <c r="T1165" s="9"/>
      <c r="U1165" s="9"/>
      <c r="V1165" s="9"/>
      <c r="W1165" s="9"/>
      <c r="X1165" s="9"/>
      <c r="Y1165" s="9"/>
      <c r="Z1165" s="9"/>
      <c r="AA1165" s="9"/>
      <c r="AB1165" s="9"/>
    </row>
    <row r="1166" ht="13.75" customHeight="1">
      <c r="A1166" s="9"/>
      <c r="B1166" s="9"/>
      <c r="C1166" s="9"/>
      <c r="D1166" s="9"/>
      <c r="E1166" s="9"/>
      <c r="F1166" s="9"/>
      <c r="G1166" s="9"/>
      <c r="H1166" s="9"/>
      <c r="I1166" s="9"/>
      <c r="J1166" s="9"/>
      <c r="K1166" s="9"/>
      <c r="L1166" s="9"/>
      <c r="M1166" s="9"/>
      <c r="N1166" s="9"/>
      <c r="O1166" s="9"/>
      <c r="P1166" s="9"/>
      <c r="Q1166" s="9"/>
      <c r="R1166" s="9"/>
      <c r="S1166" s="9"/>
      <c r="T1166" s="9"/>
      <c r="U1166" s="9"/>
      <c r="V1166" s="9"/>
      <c r="W1166" s="9"/>
      <c r="X1166" s="9"/>
      <c r="Y1166" s="9"/>
      <c r="Z1166" s="9"/>
      <c r="AA1166" s="9"/>
      <c r="AB1166" s="9"/>
    </row>
    <row r="1167" ht="13.75" customHeight="1">
      <c r="A1167" s="9"/>
      <c r="B1167" s="9"/>
      <c r="C1167" s="9"/>
      <c r="D1167" s="9"/>
      <c r="E1167" s="9"/>
      <c r="F1167" s="9"/>
      <c r="G1167" s="9"/>
      <c r="H1167" s="9"/>
      <c r="I1167" s="9"/>
      <c r="J1167" s="9"/>
      <c r="K1167" s="9"/>
      <c r="L1167" s="9"/>
      <c r="M1167" s="9"/>
      <c r="N1167" s="9"/>
      <c r="O1167" s="9"/>
      <c r="P1167" s="9"/>
      <c r="Q1167" s="9"/>
      <c r="R1167" s="9"/>
      <c r="S1167" s="9"/>
      <c r="T1167" s="9"/>
      <c r="U1167" s="9"/>
      <c r="V1167" s="9"/>
      <c r="W1167" s="9"/>
      <c r="X1167" s="9"/>
      <c r="Y1167" s="9"/>
      <c r="Z1167" s="9"/>
      <c r="AA1167" s="9"/>
      <c r="AB1167" s="9"/>
    </row>
    <row r="1168" ht="13.75" customHeight="1">
      <c r="A1168" s="9"/>
      <c r="B1168" s="9"/>
      <c r="C1168" s="9"/>
      <c r="D1168" s="9"/>
      <c r="E1168" s="9"/>
      <c r="F1168" s="9"/>
      <c r="G1168" s="9"/>
      <c r="H1168" s="9"/>
      <c r="I1168" s="9"/>
      <c r="J1168" s="9"/>
      <c r="K1168" s="9"/>
      <c r="L1168" s="9"/>
      <c r="M1168" s="9"/>
      <c r="N1168" s="9"/>
      <c r="O1168" s="9"/>
      <c r="P1168" s="9"/>
      <c r="Q1168" s="9"/>
      <c r="R1168" s="9"/>
      <c r="S1168" s="9"/>
      <c r="T1168" s="9"/>
      <c r="U1168" s="9"/>
      <c r="V1168" s="9"/>
      <c r="W1168" s="9"/>
      <c r="X1168" s="9"/>
      <c r="Y1168" s="9"/>
      <c r="Z1168" s="9"/>
      <c r="AA1168" s="9"/>
      <c r="AB1168" s="9"/>
    </row>
    <row r="1169" ht="13.75" customHeight="1">
      <c r="A1169" s="9"/>
      <c r="B1169" s="9"/>
      <c r="C1169" s="9"/>
      <c r="D1169" s="9"/>
      <c r="E1169" s="9"/>
      <c r="F1169" s="9"/>
      <c r="G1169" s="9"/>
      <c r="H1169" s="9"/>
      <c r="I1169" s="9"/>
      <c r="J1169" s="9"/>
      <c r="K1169" s="9"/>
      <c r="L1169" s="9"/>
      <c r="M1169" s="9"/>
      <c r="N1169" s="9"/>
      <c r="O1169" s="9"/>
      <c r="P1169" s="9"/>
      <c r="Q1169" s="9"/>
      <c r="R1169" s="9"/>
      <c r="S1169" s="9"/>
      <c r="T1169" s="9"/>
      <c r="U1169" s="9"/>
      <c r="V1169" s="9"/>
      <c r="W1169" s="9"/>
      <c r="X1169" s="9"/>
      <c r="Y1169" s="9"/>
      <c r="Z1169" s="9"/>
      <c r="AA1169" s="9"/>
      <c r="AB1169" s="9"/>
    </row>
    <row r="1170" ht="13.75" customHeight="1">
      <c r="A1170" s="9"/>
      <c r="B1170" s="9"/>
      <c r="C1170" s="9"/>
      <c r="D1170" s="9"/>
      <c r="E1170" s="9"/>
      <c r="F1170" s="9"/>
      <c r="G1170" s="9"/>
      <c r="H1170" s="9"/>
      <c r="I1170" s="9"/>
      <c r="J1170" s="9"/>
      <c r="K1170" s="9"/>
      <c r="L1170" s="9"/>
      <c r="M1170" s="9"/>
      <c r="N1170" s="9"/>
      <c r="O1170" s="9"/>
      <c r="P1170" s="9"/>
      <c r="Q1170" s="9"/>
      <c r="R1170" s="9"/>
      <c r="S1170" s="9"/>
      <c r="T1170" s="9"/>
      <c r="U1170" s="9"/>
      <c r="V1170" s="9"/>
      <c r="W1170" s="9"/>
      <c r="X1170" s="9"/>
      <c r="Y1170" s="9"/>
      <c r="Z1170" s="9"/>
      <c r="AA1170" s="9"/>
      <c r="AB1170" s="9"/>
    </row>
    <row r="1171" ht="13.75" customHeight="1">
      <c r="A1171" s="9"/>
      <c r="B1171" s="9"/>
      <c r="C1171" s="9"/>
      <c r="D1171" s="9"/>
      <c r="E1171" s="9"/>
      <c r="F1171" s="9"/>
      <c r="G1171" s="9"/>
      <c r="H1171" s="9"/>
      <c r="I1171" s="9"/>
      <c r="J1171" s="9"/>
      <c r="K1171" s="9"/>
      <c r="L1171" s="9"/>
      <c r="M1171" s="9"/>
      <c r="N1171" s="9"/>
      <c r="O1171" s="9"/>
      <c r="P1171" s="9"/>
      <c r="Q1171" s="9"/>
      <c r="R1171" s="9"/>
      <c r="S1171" s="9"/>
      <c r="T1171" s="9"/>
      <c r="U1171" s="9"/>
      <c r="V1171" s="9"/>
      <c r="W1171" s="9"/>
      <c r="X1171" s="9"/>
      <c r="Y1171" s="9"/>
      <c r="Z1171" s="9"/>
      <c r="AA1171" s="9"/>
      <c r="AB1171" s="9"/>
    </row>
    <row r="1172" ht="13.75" customHeight="1">
      <c r="A1172" s="9"/>
      <c r="B1172" s="9"/>
      <c r="C1172" s="9"/>
      <c r="D1172" s="9"/>
      <c r="E1172" s="9"/>
      <c r="F1172" s="9"/>
      <c r="G1172" s="9"/>
      <c r="H1172" s="9"/>
      <c r="I1172" s="9"/>
      <c r="J1172" s="9"/>
      <c r="K1172" s="9"/>
      <c r="L1172" s="9"/>
      <c r="M1172" s="9"/>
      <c r="N1172" s="9"/>
      <c r="O1172" s="9"/>
      <c r="P1172" s="9"/>
      <c r="Q1172" s="9"/>
      <c r="R1172" s="9"/>
      <c r="S1172" s="9"/>
      <c r="T1172" s="9"/>
      <c r="U1172" s="9"/>
      <c r="V1172" s="9"/>
      <c r="W1172" s="9"/>
      <c r="X1172" s="9"/>
      <c r="Y1172" s="9"/>
      <c r="Z1172" s="9"/>
      <c r="AA1172" s="9"/>
      <c r="AB1172" s="9"/>
    </row>
    <row r="1173" ht="13.75" customHeight="1">
      <c r="A1173" s="9"/>
      <c r="B1173" s="9"/>
      <c r="C1173" s="9"/>
      <c r="D1173" s="9"/>
      <c r="E1173" s="9"/>
      <c r="F1173" s="9"/>
      <c r="G1173" s="9"/>
      <c r="H1173" s="9"/>
      <c r="I1173" s="9"/>
      <c r="J1173" s="9"/>
      <c r="K1173" s="9"/>
      <c r="L1173" s="9"/>
      <c r="M1173" s="9"/>
      <c r="N1173" s="9"/>
      <c r="O1173" s="9"/>
      <c r="P1173" s="9"/>
      <c r="Q1173" s="9"/>
      <c r="R1173" s="9"/>
      <c r="S1173" s="9"/>
      <c r="T1173" s="9"/>
      <c r="U1173" s="9"/>
      <c r="V1173" s="9"/>
      <c r="W1173" s="9"/>
      <c r="X1173" s="9"/>
      <c r="Y1173" s="9"/>
      <c r="Z1173" s="9"/>
      <c r="AA1173" s="9"/>
      <c r="AB1173" s="9"/>
    </row>
    <row r="1174" ht="13.75" customHeight="1">
      <c r="A1174" s="9"/>
      <c r="B1174" s="9"/>
      <c r="C1174" s="9"/>
      <c r="D1174" s="9"/>
      <c r="E1174" s="9"/>
      <c r="F1174" s="9"/>
      <c r="G1174" s="9"/>
      <c r="H1174" s="9"/>
      <c r="I1174" s="9"/>
      <c r="J1174" s="9"/>
      <c r="K1174" s="9"/>
      <c r="L1174" s="9"/>
      <c r="M1174" s="9"/>
      <c r="N1174" s="9"/>
      <c r="O1174" s="9"/>
      <c r="P1174" s="9"/>
      <c r="Q1174" s="9"/>
      <c r="R1174" s="9"/>
      <c r="S1174" s="9"/>
      <c r="T1174" s="9"/>
      <c r="U1174" s="9"/>
      <c r="V1174" s="9"/>
      <c r="W1174" s="9"/>
      <c r="X1174" s="9"/>
      <c r="Y1174" s="9"/>
      <c r="Z1174" s="9"/>
      <c r="AA1174" s="9"/>
      <c r="AB1174" s="9"/>
    </row>
    <row r="1175" ht="13.75" customHeight="1">
      <c r="A1175" s="9"/>
      <c r="B1175" s="9"/>
      <c r="C1175" s="9"/>
      <c r="D1175" s="9"/>
      <c r="E1175" s="9"/>
      <c r="F1175" s="9"/>
      <c r="G1175" s="9"/>
      <c r="H1175" s="9"/>
      <c r="I1175" s="9"/>
      <c r="J1175" s="9"/>
      <c r="K1175" s="9"/>
      <c r="L1175" s="9"/>
      <c r="M1175" s="9"/>
      <c r="N1175" s="9"/>
      <c r="O1175" s="9"/>
      <c r="P1175" s="9"/>
      <c r="Q1175" s="9"/>
      <c r="R1175" s="9"/>
      <c r="S1175" s="9"/>
      <c r="T1175" s="9"/>
      <c r="U1175" s="9"/>
      <c r="V1175" s="9"/>
      <c r="W1175" s="9"/>
      <c r="X1175" s="9"/>
      <c r="Y1175" s="9"/>
      <c r="Z1175" s="9"/>
      <c r="AA1175" s="9"/>
      <c r="AB1175" s="9"/>
    </row>
    <row r="1176" ht="13.75" customHeight="1">
      <c r="A1176" s="9"/>
      <c r="B1176" s="9"/>
      <c r="C1176" s="9"/>
      <c r="D1176" s="9"/>
      <c r="E1176" s="9"/>
      <c r="F1176" s="9"/>
      <c r="G1176" s="9"/>
      <c r="H1176" s="9"/>
      <c r="I1176" s="9"/>
      <c r="J1176" s="9"/>
      <c r="K1176" s="9"/>
      <c r="L1176" s="9"/>
      <c r="M1176" s="9"/>
      <c r="N1176" s="9"/>
      <c r="O1176" s="9"/>
      <c r="P1176" s="9"/>
      <c r="Q1176" s="9"/>
      <c r="R1176" s="9"/>
      <c r="S1176" s="9"/>
      <c r="T1176" s="9"/>
      <c r="U1176" s="9"/>
      <c r="V1176" s="9"/>
      <c r="W1176" s="9"/>
      <c r="X1176" s="9"/>
      <c r="Y1176" s="9"/>
      <c r="Z1176" s="9"/>
      <c r="AA1176" s="9"/>
      <c r="AB1176" s="9"/>
    </row>
    <row r="1177" ht="13.75" customHeight="1">
      <c r="A1177" s="9"/>
      <c r="B1177" s="9"/>
      <c r="C1177" s="9"/>
      <c r="D1177" s="9"/>
      <c r="E1177" s="9"/>
      <c r="F1177" s="9"/>
      <c r="G1177" s="9"/>
      <c r="H1177" s="9"/>
      <c r="I1177" s="9"/>
      <c r="J1177" s="9"/>
      <c r="K1177" s="9"/>
      <c r="L1177" s="9"/>
      <c r="M1177" s="9"/>
      <c r="N1177" s="9"/>
      <c r="O1177" s="9"/>
      <c r="P1177" s="9"/>
      <c r="Q1177" s="9"/>
      <c r="R1177" s="9"/>
      <c r="S1177" s="9"/>
      <c r="T1177" s="9"/>
      <c r="U1177" s="9"/>
      <c r="V1177" s="9"/>
      <c r="W1177" s="9"/>
      <c r="X1177" s="9"/>
      <c r="Y1177" s="9"/>
      <c r="Z1177" s="9"/>
      <c r="AA1177" s="9"/>
      <c r="AB1177" s="9"/>
    </row>
    <row r="1178" ht="13.75" customHeight="1">
      <c r="A1178" s="9"/>
      <c r="B1178" s="9"/>
      <c r="C1178" s="9"/>
      <c r="D1178" s="9"/>
      <c r="E1178" s="9"/>
      <c r="F1178" s="9"/>
      <c r="G1178" s="9"/>
      <c r="H1178" s="9"/>
      <c r="I1178" s="9"/>
      <c r="J1178" s="9"/>
      <c r="K1178" s="9"/>
      <c r="L1178" s="9"/>
      <c r="M1178" s="9"/>
      <c r="N1178" s="9"/>
      <c r="O1178" s="9"/>
      <c r="P1178" s="9"/>
      <c r="Q1178" s="9"/>
      <c r="R1178" s="9"/>
      <c r="S1178" s="9"/>
      <c r="T1178" s="9"/>
      <c r="U1178" s="9"/>
      <c r="V1178" s="9"/>
      <c r="W1178" s="9"/>
      <c r="X1178" s="9"/>
      <c r="Y1178" s="9"/>
      <c r="Z1178" s="9"/>
      <c r="AA1178" s="9"/>
      <c r="AB1178" s="9"/>
    </row>
    <row r="1179" ht="13.75" customHeight="1">
      <c r="A1179" s="9"/>
      <c r="B1179" s="9"/>
      <c r="C1179" s="9"/>
      <c r="D1179" s="9"/>
      <c r="E1179" s="9"/>
      <c r="F1179" s="9"/>
      <c r="G1179" s="9"/>
      <c r="H1179" s="9"/>
      <c r="I1179" s="9"/>
      <c r="J1179" s="9"/>
      <c r="K1179" s="9"/>
      <c r="L1179" s="9"/>
      <c r="M1179" s="9"/>
      <c r="N1179" s="9"/>
      <c r="O1179" s="9"/>
      <c r="P1179" s="9"/>
      <c r="Q1179" s="9"/>
      <c r="R1179" s="9"/>
      <c r="S1179" s="9"/>
      <c r="T1179" s="9"/>
      <c r="U1179" s="9"/>
      <c r="V1179" s="9"/>
      <c r="W1179" s="9"/>
      <c r="X1179" s="9"/>
      <c r="Y1179" s="9"/>
      <c r="Z1179" s="9"/>
      <c r="AA1179" s="9"/>
      <c r="AB1179" s="9"/>
    </row>
    <row r="1180" ht="13.75" customHeight="1">
      <c r="A1180" s="9"/>
      <c r="B1180" s="9"/>
      <c r="C1180" s="9"/>
      <c r="D1180" s="9"/>
      <c r="E1180" s="9"/>
      <c r="F1180" s="9"/>
      <c r="G1180" s="9"/>
      <c r="H1180" s="9"/>
      <c r="I1180" s="9"/>
      <c r="J1180" s="9"/>
      <c r="K1180" s="9"/>
      <c r="L1180" s="9"/>
      <c r="M1180" s="9"/>
      <c r="N1180" s="9"/>
      <c r="O1180" s="9"/>
      <c r="P1180" s="9"/>
      <c r="Q1180" s="9"/>
      <c r="R1180" s="9"/>
      <c r="S1180" s="9"/>
      <c r="T1180" s="9"/>
      <c r="U1180" s="9"/>
      <c r="V1180" s="9"/>
      <c r="W1180" s="9"/>
      <c r="X1180" s="9"/>
      <c r="Y1180" s="9"/>
      <c r="Z1180" s="9"/>
      <c r="AA1180" s="9"/>
      <c r="AB1180" s="9"/>
    </row>
    <row r="1181" ht="13.75" customHeight="1">
      <c r="A1181" s="9"/>
      <c r="B1181" s="9"/>
      <c r="C1181" s="9"/>
      <c r="D1181" s="9"/>
      <c r="E1181" s="9"/>
      <c r="F1181" s="9"/>
      <c r="G1181" s="9"/>
      <c r="H1181" s="9"/>
      <c r="I1181" s="9"/>
      <c r="J1181" s="9"/>
      <c r="K1181" s="9"/>
      <c r="L1181" s="9"/>
      <c r="M1181" s="9"/>
      <c r="N1181" s="9"/>
      <c r="O1181" s="9"/>
      <c r="P1181" s="9"/>
      <c r="Q1181" s="9"/>
      <c r="R1181" s="9"/>
      <c r="S1181" s="9"/>
      <c r="T1181" s="9"/>
      <c r="U1181" s="9"/>
      <c r="V1181" s="9"/>
      <c r="W1181" s="9"/>
      <c r="X1181" s="9"/>
      <c r="Y1181" s="9"/>
      <c r="Z1181" s="9"/>
      <c r="AA1181" s="9"/>
      <c r="AB1181" s="9"/>
    </row>
    <row r="1182" ht="13.75" customHeight="1">
      <c r="A1182" s="9"/>
      <c r="B1182" s="9"/>
      <c r="C1182" s="9"/>
      <c r="D1182" s="9"/>
      <c r="E1182" s="9"/>
      <c r="F1182" s="9"/>
      <c r="G1182" s="9"/>
      <c r="H1182" s="9"/>
      <c r="I1182" s="9"/>
      <c r="J1182" s="9"/>
      <c r="K1182" s="9"/>
      <c r="L1182" s="9"/>
      <c r="M1182" s="9"/>
      <c r="N1182" s="9"/>
      <c r="O1182" s="9"/>
      <c r="P1182" s="9"/>
      <c r="Q1182" s="9"/>
      <c r="R1182" s="9"/>
      <c r="S1182" s="9"/>
      <c r="T1182" s="9"/>
      <c r="U1182" s="9"/>
      <c r="V1182" s="9"/>
      <c r="W1182" s="9"/>
      <c r="X1182" s="9"/>
      <c r="Y1182" s="9"/>
      <c r="Z1182" s="9"/>
      <c r="AA1182" s="9"/>
      <c r="AB1182" s="9"/>
    </row>
    <row r="1183" ht="13.75" customHeight="1">
      <c r="A1183" s="9"/>
      <c r="B1183" s="9"/>
      <c r="C1183" s="9"/>
      <c r="D1183" s="9"/>
      <c r="E1183" s="9"/>
      <c r="F1183" s="9"/>
      <c r="G1183" s="9"/>
      <c r="H1183" s="9"/>
      <c r="I1183" s="9"/>
      <c r="J1183" s="9"/>
      <c r="K1183" s="9"/>
      <c r="L1183" s="9"/>
      <c r="M1183" s="9"/>
      <c r="N1183" s="9"/>
      <c r="O1183" s="9"/>
      <c r="P1183" s="9"/>
      <c r="Q1183" s="9"/>
      <c r="R1183" s="9"/>
      <c r="S1183" s="9"/>
      <c r="T1183" s="9"/>
      <c r="U1183" s="9"/>
      <c r="V1183" s="9"/>
      <c r="W1183" s="9"/>
      <c r="X1183" s="9"/>
      <c r="Y1183" s="9"/>
      <c r="Z1183" s="9"/>
      <c r="AA1183" s="9"/>
      <c r="AB1183" s="9"/>
    </row>
    <row r="1184" ht="13.75" customHeight="1">
      <c r="A1184" s="9"/>
      <c r="B1184" s="9"/>
      <c r="C1184" s="9"/>
      <c r="D1184" s="9"/>
      <c r="E1184" s="9"/>
      <c r="F1184" s="9"/>
      <c r="G1184" s="9"/>
      <c r="H1184" s="9"/>
      <c r="I1184" s="9"/>
      <c r="J1184" s="9"/>
      <c r="K1184" s="9"/>
      <c r="L1184" s="9"/>
      <c r="M1184" s="9"/>
      <c r="N1184" s="9"/>
      <c r="O1184" s="9"/>
      <c r="P1184" s="9"/>
      <c r="Q1184" s="9"/>
      <c r="R1184" s="9"/>
      <c r="S1184" s="9"/>
      <c r="T1184" s="9"/>
      <c r="U1184" s="9"/>
      <c r="V1184" s="9"/>
      <c r="W1184" s="9"/>
      <c r="X1184" s="9"/>
      <c r="Y1184" s="9"/>
      <c r="Z1184" s="9"/>
      <c r="AA1184" s="9"/>
      <c r="AB1184" s="9"/>
    </row>
    <row r="1185" ht="13.75" customHeight="1">
      <c r="A1185" s="9"/>
      <c r="B1185" s="9"/>
      <c r="C1185" s="9"/>
      <c r="D1185" s="9"/>
      <c r="E1185" s="9"/>
      <c r="F1185" s="9"/>
      <c r="G1185" s="9"/>
      <c r="H1185" s="9"/>
      <c r="I1185" s="9"/>
      <c r="J1185" s="9"/>
      <c r="K1185" s="9"/>
      <c r="L1185" s="9"/>
      <c r="M1185" s="9"/>
      <c r="N1185" s="9"/>
      <c r="O1185" s="9"/>
      <c r="P1185" s="9"/>
      <c r="Q1185" s="9"/>
      <c r="R1185" s="9"/>
      <c r="S1185" s="9"/>
      <c r="T1185" s="9"/>
      <c r="U1185" s="9"/>
      <c r="V1185" s="9"/>
      <c r="W1185" s="9"/>
      <c r="X1185" s="9"/>
      <c r="Y1185" s="9"/>
      <c r="Z1185" s="9"/>
      <c r="AA1185" s="9"/>
      <c r="AB1185" s="9"/>
    </row>
    <row r="1186" ht="13.75" customHeight="1">
      <c r="A1186" s="9"/>
      <c r="B1186" s="9"/>
      <c r="C1186" s="9"/>
      <c r="D1186" s="9"/>
      <c r="E1186" s="9"/>
      <c r="F1186" s="9"/>
      <c r="G1186" s="9"/>
      <c r="H1186" s="9"/>
      <c r="I1186" s="9"/>
      <c r="J1186" s="9"/>
      <c r="K1186" s="9"/>
      <c r="L1186" s="9"/>
      <c r="M1186" s="9"/>
      <c r="N1186" s="9"/>
      <c r="O1186" s="9"/>
      <c r="P1186" s="9"/>
      <c r="Q1186" s="9"/>
      <c r="R1186" s="9"/>
      <c r="S1186" s="9"/>
      <c r="T1186" s="9"/>
      <c r="U1186" s="9"/>
      <c r="V1186" s="9"/>
      <c r="W1186" s="9"/>
      <c r="X1186" s="9"/>
      <c r="Y1186" s="9"/>
      <c r="Z1186" s="9"/>
      <c r="AA1186" s="9"/>
      <c r="AB1186" s="9"/>
    </row>
    <row r="1187" ht="13.75" customHeight="1">
      <c r="A1187" s="9"/>
      <c r="B1187" s="9"/>
      <c r="C1187" s="9"/>
      <c r="D1187" s="9"/>
      <c r="E1187" s="9"/>
      <c r="F1187" s="9"/>
      <c r="G1187" s="9"/>
      <c r="H1187" s="9"/>
      <c r="I1187" s="9"/>
      <c r="J1187" s="9"/>
      <c r="K1187" s="9"/>
      <c r="L1187" s="9"/>
      <c r="M1187" s="9"/>
      <c r="N1187" s="9"/>
      <c r="O1187" s="9"/>
      <c r="P1187" s="9"/>
      <c r="Q1187" s="9"/>
      <c r="R1187" s="9"/>
      <c r="S1187" s="9"/>
      <c r="T1187" s="9"/>
      <c r="U1187" s="9"/>
      <c r="V1187" s="9"/>
      <c r="W1187" s="9"/>
      <c r="X1187" s="9"/>
      <c r="Y1187" s="9"/>
      <c r="Z1187" s="9"/>
      <c r="AA1187" s="9"/>
      <c r="AB1187" s="9"/>
    </row>
    <row r="1188" ht="13.75" customHeight="1">
      <c r="A1188" s="9"/>
      <c r="B1188" s="9"/>
      <c r="C1188" s="9"/>
      <c r="D1188" s="9"/>
      <c r="E1188" s="9"/>
      <c r="F1188" s="9"/>
      <c r="G1188" s="9"/>
      <c r="H1188" s="9"/>
      <c r="I1188" s="9"/>
      <c r="J1188" s="9"/>
      <c r="K1188" s="9"/>
      <c r="L1188" s="9"/>
      <c r="M1188" s="9"/>
      <c r="N1188" s="9"/>
      <c r="O1188" s="9"/>
      <c r="P1188" s="9"/>
      <c r="Q1188" s="9"/>
      <c r="R1188" s="9"/>
      <c r="S1188" s="9"/>
      <c r="T1188" s="9"/>
      <c r="U1188" s="9"/>
      <c r="V1188" s="9"/>
      <c r="W1188" s="9"/>
      <c r="X1188" s="9"/>
      <c r="Y1188" s="9"/>
      <c r="Z1188" s="9"/>
      <c r="AA1188" s="9"/>
      <c r="AB1188" s="9"/>
    </row>
    <row r="1189" ht="13.75" customHeight="1">
      <c r="A1189" s="9"/>
      <c r="B1189" s="9"/>
      <c r="C1189" s="9"/>
      <c r="D1189" s="9"/>
      <c r="E1189" s="9"/>
      <c r="F1189" s="9"/>
      <c r="G1189" s="9"/>
      <c r="H1189" s="9"/>
      <c r="I1189" s="9"/>
      <c r="J1189" s="9"/>
      <c r="K1189" s="9"/>
      <c r="L1189" s="9"/>
      <c r="M1189" s="9"/>
      <c r="N1189" s="9"/>
      <c r="O1189" s="9"/>
      <c r="P1189" s="9"/>
      <c r="Q1189" s="9"/>
      <c r="R1189" s="9"/>
      <c r="S1189" s="9"/>
      <c r="T1189" s="9"/>
      <c r="U1189" s="9"/>
      <c r="V1189" s="9"/>
      <c r="W1189" s="9"/>
      <c r="X1189" s="9"/>
      <c r="Y1189" s="9"/>
      <c r="Z1189" s="9"/>
      <c r="AA1189" s="9"/>
      <c r="AB1189" s="9"/>
    </row>
    <row r="1190" ht="13.75" customHeight="1">
      <c r="A1190" s="9"/>
      <c r="B1190" s="9"/>
      <c r="C1190" s="9"/>
      <c r="D1190" s="9"/>
      <c r="E1190" s="9"/>
      <c r="F1190" s="9"/>
      <c r="G1190" s="9"/>
      <c r="H1190" s="9"/>
      <c r="I1190" s="9"/>
      <c r="J1190" s="9"/>
      <c r="K1190" s="9"/>
      <c r="L1190" s="9"/>
      <c r="M1190" s="9"/>
      <c r="N1190" s="9"/>
      <c r="O1190" s="9"/>
      <c r="P1190" s="9"/>
      <c r="Q1190" s="9"/>
      <c r="R1190" s="9"/>
      <c r="S1190" s="9"/>
      <c r="T1190" s="9"/>
      <c r="U1190" s="9"/>
      <c r="V1190" s="9"/>
      <c r="W1190" s="9"/>
      <c r="X1190" s="9"/>
      <c r="Y1190" s="9"/>
      <c r="Z1190" s="9"/>
      <c r="AA1190" s="9"/>
      <c r="AB1190" s="9"/>
    </row>
    <row r="1191" ht="13.75" customHeight="1">
      <c r="A1191" s="9"/>
      <c r="B1191" s="9"/>
      <c r="C1191" s="9"/>
      <c r="D1191" s="9"/>
      <c r="E1191" s="9"/>
      <c r="F1191" s="9"/>
      <c r="G1191" s="9"/>
      <c r="H1191" s="9"/>
      <c r="I1191" s="9"/>
      <c r="J1191" s="9"/>
      <c r="K1191" s="9"/>
      <c r="L1191" s="9"/>
      <c r="M1191" s="9"/>
      <c r="N1191" s="9"/>
      <c r="O1191" s="9"/>
      <c r="P1191" s="9"/>
      <c r="Q1191" s="9"/>
      <c r="R1191" s="9"/>
      <c r="S1191" s="9"/>
      <c r="T1191" s="9"/>
      <c r="U1191" s="9"/>
      <c r="V1191" s="9"/>
      <c r="W1191" s="9"/>
      <c r="X1191" s="9"/>
      <c r="Y1191" s="9"/>
      <c r="Z1191" s="9"/>
      <c r="AA1191" s="9"/>
      <c r="AB1191" s="9"/>
    </row>
    <row r="1192" ht="13.75" customHeight="1">
      <c r="A1192" s="9"/>
      <c r="B1192" s="9"/>
      <c r="C1192" s="9"/>
      <c r="D1192" s="9"/>
      <c r="E1192" s="9"/>
      <c r="F1192" s="9"/>
      <c r="G1192" s="9"/>
      <c r="H1192" s="9"/>
      <c r="I1192" s="9"/>
      <c r="J1192" s="9"/>
      <c r="K1192" s="9"/>
      <c r="L1192" s="9"/>
      <c r="M1192" s="9"/>
      <c r="N1192" s="9"/>
      <c r="O1192" s="9"/>
      <c r="P1192" s="9"/>
      <c r="Q1192" s="9"/>
      <c r="R1192" s="9"/>
      <c r="S1192" s="9"/>
      <c r="T1192" s="9"/>
      <c r="U1192" s="9"/>
      <c r="V1192" s="9"/>
      <c r="W1192" s="9"/>
      <c r="X1192" s="9"/>
      <c r="Y1192" s="9"/>
      <c r="Z1192" s="9"/>
      <c r="AA1192" s="9"/>
      <c r="AB1192" s="9"/>
    </row>
    <row r="1193" ht="13.75" customHeight="1">
      <c r="A1193" s="9"/>
      <c r="B1193" s="9"/>
      <c r="C1193" s="9"/>
      <c r="D1193" s="9"/>
      <c r="E1193" s="9"/>
      <c r="F1193" s="9"/>
      <c r="G1193" s="9"/>
      <c r="H1193" s="9"/>
      <c r="I1193" s="9"/>
      <c r="J1193" s="9"/>
      <c r="K1193" s="9"/>
      <c r="L1193" s="9"/>
      <c r="M1193" s="9"/>
      <c r="N1193" s="9"/>
      <c r="O1193" s="9"/>
      <c r="P1193" s="9"/>
      <c r="Q1193" s="9"/>
      <c r="R1193" s="9"/>
      <c r="S1193" s="9"/>
      <c r="T1193" s="9"/>
      <c r="U1193" s="9"/>
      <c r="V1193" s="9"/>
      <c r="W1193" s="9"/>
      <c r="X1193" s="9"/>
      <c r="Y1193" s="9"/>
      <c r="Z1193" s="9"/>
      <c r="AA1193" s="9"/>
      <c r="AB1193" s="9"/>
    </row>
    <row r="1194" ht="13.75" customHeight="1">
      <c r="A1194" s="9"/>
      <c r="B1194" s="9"/>
      <c r="C1194" s="9"/>
      <c r="D1194" s="9"/>
      <c r="E1194" s="9"/>
      <c r="F1194" s="9"/>
      <c r="G1194" s="9"/>
      <c r="H1194" s="9"/>
      <c r="I1194" s="9"/>
      <c r="J1194" s="9"/>
      <c r="K1194" s="9"/>
      <c r="L1194" s="9"/>
      <c r="M1194" s="9"/>
      <c r="N1194" s="9"/>
      <c r="O1194" s="9"/>
      <c r="P1194" s="9"/>
      <c r="Q1194" s="9"/>
      <c r="R1194" s="9"/>
      <c r="S1194" s="9"/>
      <c r="T1194" s="9"/>
      <c r="U1194" s="9"/>
      <c r="V1194" s="9"/>
      <c r="W1194" s="9"/>
      <c r="X1194" s="9"/>
      <c r="Y1194" s="9"/>
      <c r="Z1194" s="9"/>
      <c r="AA1194" s="9"/>
      <c r="AB1194" s="9"/>
    </row>
    <row r="1195" ht="13.75" customHeight="1">
      <c r="A1195" s="9"/>
      <c r="B1195" s="9"/>
      <c r="C1195" s="9"/>
      <c r="D1195" s="9"/>
      <c r="E1195" s="9"/>
      <c r="F1195" s="9"/>
      <c r="G1195" s="9"/>
      <c r="H1195" s="9"/>
      <c r="I1195" s="9"/>
      <c r="J1195" s="9"/>
      <c r="K1195" s="9"/>
      <c r="L1195" s="9"/>
      <c r="M1195" s="9"/>
      <c r="N1195" s="9"/>
      <c r="O1195" s="9"/>
      <c r="P1195" s="9"/>
      <c r="Q1195" s="9"/>
      <c r="R1195" s="9"/>
      <c r="S1195" s="9"/>
      <c r="T1195" s="9"/>
      <c r="U1195" s="9"/>
      <c r="V1195" s="9"/>
      <c r="W1195" s="9"/>
      <c r="X1195" s="9"/>
      <c r="Y1195" s="9"/>
      <c r="Z1195" s="9"/>
      <c r="AA1195" s="9"/>
      <c r="AB1195" s="9"/>
    </row>
    <row r="1196" ht="13.75" customHeight="1">
      <c r="A1196" s="9"/>
      <c r="B1196" s="9"/>
      <c r="C1196" s="9"/>
      <c r="D1196" s="9"/>
      <c r="E1196" s="9"/>
      <c r="F1196" s="9"/>
      <c r="G1196" s="9"/>
      <c r="H1196" s="9"/>
      <c r="I1196" s="9"/>
      <c r="J1196" s="9"/>
      <c r="K1196" s="9"/>
      <c r="L1196" s="9"/>
      <c r="M1196" s="9"/>
      <c r="N1196" s="9"/>
      <c r="O1196" s="9"/>
      <c r="P1196" s="9"/>
      <c r="Q1196" s="9"/>
      <c r="R1196" s="9"/>
      <c r="S1196" s="9"/>
      <c r="T1196" s="9"/>
      <c r="U1196" s="9"/>
      <c r="V1196" s="9"/>
      <c r="W1196" s="9"/>
      <c r="X1196" s="9"/>
      <c r="Y1196" s="9"/>
      <c r="Z1196" s="9"/>
      <c r="AA1196" s="9"/>
      <c r="AB1196" s="9"/>
    </row>
    <row r="1197" ht="13.75" customHeight="1">
      <c r="A1197" s="9"/>
      <c r="B1197" s="9"/>
      <c r="C1197" s="9"/>
      <c r="D1197" s="9"/>
      <c r="E1197" s="9"/>
      <c r="F1197" s="9"/>
      <c r="G1197" s="9"/>
      <c r="H1197" s="9"/>
      <c r="I1197" s="9"/>
      <c r="J1197" s="9"/>
      <c r="K1197" s="9"/>
      <c r="L1197" s="9"/>
      <c r="M1197" s="9"/>
      <c r="N1197" s="9"/>
      <c r="O1197" s="9"/>
      <c r="P1197" s="9"/>
      <c r="Q1197" s="9"/>
      <c r="R1197" s="9"/>
      <c r="S1197" s="9"/>
      <c r="T1197" s="9"/>
      <c r="U1197" s="9"/>
      <c r="V1197" s="9"/>
      <c r="W1197" s="9"/>
      <c r="X1197" s="9"/>
      <c r="Y1197" s="9"/>
      <c r="Z1197" s="9"/>
      <c r="AA1197" s="9"/>
      <c r="AB1197" s="9"/>
    </row>
    <row r="1198" ht="13.75" customHeight="1">
      <c r="A1198" s="9"/>
      <c r="B1198" s="9"/>
      <c r="C1198" s="9"/>
      <c r="D1198" s="9"/>
      <c r="E1198" s="9"/>
      <c r="F1198" s="9"/>
      <c r="G1198" s="9"/>
      <c r="H1198" s="9"/>
      <c r="I1198" s="9"/>
      <c r="J1198" s="9"/>
      <c r="K1198" s="9"/>
      <c r="L1198" s="9"/>
      <c r="M1198" s="9"/>
      <c r="N1198" s="9"/>
      <c r="O1198" s="9"/>
      <c r="P1198" s="9"/>
      <c r="Q1198" s="9"/>
      <c r="R1198" s="9"/>
      <c r="S1198" s="9"/>
      <c r="T1198" s="9"/>
      <c r="U1198" s="9"/>
      <c r="V1198" s="9"/>
      <c r="W1198" s="9"/>
      <c r="X1198" s="9"/>
      <c r="Y1198" s="9"/>
      <c r="Z1198" s="9"/>
      <c r="AA1198" s="9"/>
      <c r="AB1198" s="9"/>
    </row>
    <row r="1199" ht="13.75" customHeight="1">
      <c r="A1199" s="9"/>
      <c r="B1199" s="9"/>
      <c r="C1199" s="9"/>
      <c r="D1199" s="9"/>
      <c r="E1199" s="9"/>
      <c r="F1199" s="9"/>
      <c r="G1199" s="9"/>
      <c r="H1199" s="9"/>
      <c r="I1199" s="9"/>
      <c r="J1199" s="9"/>
      <c r="K1199" s="9"/>
      <c r="L1199" s="9"/>
      <c r="M1199" s="9"/>
      <c r="N1199" s="9"/>
      <c r="O1199" s="9"/>
      <c r="P1199" s="9"/>
      <c r="Q1199" s="9"/>
      <c r="R1199" s="9"/>
      <c r="S1199" s="9"/>
      <c r="T1199" s="9"/>
      <c r="U1199" s="9"/>
      <c r="V1199" s="9"/>
      <c r="W1199" s="9"/>
      <c r="X1199" s="9"/>
      <c r="Y1199" s="9"/>
      <c r="Z1199" s="9"/>
      <c r="AA1199" s="9"/>
      <c r="AB1199" s="9"/>
    </row>
    <row r="1200" ht="13.75" customHeight="1">
      <c r="A1200" s="9"/>
      <c r="B1200" s="9"/>
      <c r="C1200" s="9"/>
      <c r="D1200" s="9"/>
      <c r="E1200" s="9"/>
      <c r="F1200" s="9"/>
      <c r="G1200" s="9"/>
      <c r="H1200" s="9"/>
      <c r="I1200" s="9"/>
      <c r="J1200" s="9"/>
      <c r="K1200" s="9"/>
      <c r="L1200" s="9"/>
      <c r="M1200" s="9"/>
      <c r="N1200" s="9"/>
      <c r="O1200" s="9"/>
      <c r="P1200" s="9"/>
      <c r="Q1200" s="9"/>
      <c r="R1200" s="9"/>
      <c r="S1200" s="9"/>
      <c r="T1200" s="9"/>
      <c r="U1200" s="9"/>
      <c r="V1200" s="9"/>
      <c r="W1200" s="9"/>
      <c r="X1200" s="9"/>
      <c r="Y1200" s="9"/>
      <c r="Z1200" s="9"/>
      <c r="AA1200" s="9"/>
      <c r="AB1200" s="9"/>
    </row>
    <row r="1201" ht="13.75" customHeight="1">
      <c r="A1201" s="9"/>
      <c r="B1201" s="9"/>
      <c r="C1201" s="9"/>
      <c r="D1201" s="9"/>
      <c r="E1201" s="9"/>
      <c r="F1201" s="9"/>
      <c r="G1201" s="9"/>
      <c r="H1201" s="9"/>
      <c r="I1201" s="9"/>
      <c r="J1201" s="9"/>
      <c r="K1201" s="9"/>
      <c r="L1201" s="9"/>
      <c r="M1201" s="9"/>
      <c r="N1201" s="9"/>
      <c r="O1201" s="9"/>
      <c r="P1201" s="9"/>
      <c r="Q1201" s="9"/>
      <c r="R1201" s="9"/>
      <c r="S1201" s="9"/>
      <c r="T1201" s="9"/>
      <c r="U1201" s="9"/>
      <c r="V1201" s="9"/>
      <c r="W1201" s="9"/>
      <c r="X1201" s="9"/>
      <c r="Y1201" s="9"/>
      <c r="Z1201" s="9"/>
      <c r="AA1201" s="9"/>
      <c r="AB1201" s="9"/>
    </row>
    <row r="1202" ht="13.75" customHeight="1">
      <c r="A1202" s="9"/>
      <c r="B1202" s="9"/>
      <c r="C1202" s="9"/>
      <c r="D1202" s="9"/>
      <c r="E1202" s="9"/>
      <c r="F1202" s="9"/>
      <c r="G1202" s="9"/>
      <c r="H1202" s="9"/>
      <c r="I1202" s="9"/>
      <c r="J1202" s="9"/>
      <c r="K1202" s="9"/>
      <c r="L1202" s="9"/>
      <c r="M1202" s="9"/>
      <c r="N1202" s="9"/>
      <c r="O1202" s="9"/>
      <c r="P1202" s="9"/>
      <c r="Q1202" s="9"/>
      <c r="R1202" s="9"/>
      <c r="S1202" s="9"/>
      <c r="T1202" s="9"/>
      <c r="U1202" s="9"/>
      <c r="V1202" s="9"/>
      <c r="W1202" s="9"/>
      <c r="X1202" s="9"/>
      <c r="Y1202" s="9"/>
      <c r="Z1202" s="9"/>
      <c r="AA1202" s="9"/>
      <c r="AB1202" s="9"/>
    </row>
    <row r="1203" ht="13.75" customHeight="1">
      <c r="A1203" s="9"/>
      <c r="B1203" s="9"/>
      <c r="C1203" s="9"/>
      <c r="D1203" s="9"/>
      <c r="E1203" s="9"/>
      <c r="F1203" s="9"/>
      <c r="G1203" s="9"/>
      <c r="H1203" s="9"/>
      <c r="I1203" s="9"/>
      <c r="J1203" s="9"/>
      <c r="K1203" s="9"/>
      <c r="L1203" s="9"/>
      <c r="M1203" s="9"/>
      <c r="N1203" s="9"/>
      <c r="O1203" s="9"/>
      <c r="P1203" s="9"/>
      <c r="Q1203" s="9"/>
      <c r="R1203" s="9"/>
      <c r="S1203" s="9"/>
      <c r="T1203" s="9"/>
      <c r="U1203" s="9"/>
      <c r="V1203" s="9"/>
      <c r="W1203" s="9"/>
      <c r="X1203" s="9"/>
      <c r="Y1203" s="9"/>
      <c r="Z1203" s="9"/>
      <c r="AA1203" s="9"/>
      <c r="AB1203" s="9"/>
    </row>
    <row r="1204" ht="13.75" customHeight="1">
      <c r="A1204" s="9"/>
      <c r="B1204" s="9"/>
      <c r="C1204" s="9"/>
      <c r="D1204" s="9"/>
      <c r="E1204" s="9"/>
      <c r="F1204" s="9"/>
      <c r="G1204" s="9"/>
      <c r="H1204" s="9"/>
      <c r="I1204" s="9"/>
      <c r="J1204" s="9"/>
      <c r="K1204" s="9"/>
      <c r="L1204" s="9"/>
      <c r="M1204" s="9"/>
      <c r="N1204" s="9"/>
      <c r="O1204" s="9"/>
      <c r="P1204" s="9"/>
      <c r="Q1204" s="9"/>
      <c r="R1204" s="9"/>
      <c r="S1204" s="9"/>
      <c r="T1204" s="9"/>
      <c r="U1204" s="9"/>
      <c r="V1204" s="9"/>
      <c r="W1204" s="9"/>
      <c r="X1204" s="9"/>
      <c r="Y1204" s="9"/>
      <c r="Z1204" s="9"/>
      <c r="AA1204" s="9"/>
      <c r="AB1204" s="9"/>
    </row>
    <row r="1205" ht="13.75" customHeight="1">
      <c r="A1205" s="9"/>
      <c r="B1205" s="9"/>
      <c r="C1205" s="9"/>
      <c r="D1205" s="9"/>
      <c r="E1205" s="9"/>
      <c r="F1205" s="9"/>
      <c r="G1205" s="9"/>
      <c r="H1205" s="9"/>
      <c r="I1205" s="9"/>
      <c r="J1205" s="9"/>
      <c r="K1205" s="9"/>
      <c r="L1205" s="9"/>
      <c r="M1205" s="9"/>
      <c r="N1205" s="9"/>
      <c r="O1205" s="9"/>
      <c r="P1205" s="9"/>
      <c r="Q1205" s="9"/>
      <c r="R1205" s="9"/>
      <c r="S1205" s="9"/>
      <c r="T1205" s="9"/>
      <c r="U1205" s="9"/>
      <c r="V1205" s="9"/>
      <c r="W1205" s="9"/>
      <c r="X1205" s="9"/>
      <c r="Y1205" s="9"/>
      <c r="Z1205" s="9"/>
      <c r="AA1205" s="9"/>
      <c r="AB1205" s="9"/>
    </row>
    <row r="1206" ht="13.75" customHeight="1">
      <c r="A1206" s="9"/>
      <c r="B1206" s="9"/>
      <c r="C1206" s="9"/>
      <c r="D1206" s="9"/>
      <c r="E1206" s="9"/>
      <c r="F1206" s="9"/>
      <c r="G1206" s="9"/>
      <c r="H1206" s="9"/>
      <c r="I1206" s="9"/>
      <c r="J1206" s="9"/>
      <c r="K1206" s="9"/>
      <c r="L1206" s="9"/>
      <c r="M1206" s="9"/>
      <c r="N1206" s="9"/>
      <c r="O1206" s="9"/>
      <c r="P1206" s="9"/>
      <c r="Q1206" s="9"/>
      <c r="R1206" s="9"/>
      <c r="S1206" s="9"/>
      <c r="T1206" s="9"/>
      <c r="U1206" s="9"/>
      <c r="V1206" s="9"/>
      <c r="W1206" s="9"/>
      <c r="X1206" s="9"/>
      <c r="Y1206" s="9"/>
      <c r="Z1206" s="9"/>
      <c r="AA1206" s="9"/>
      <c r="AB1206" s="9"/>
    </row>
    <row r="1207" ht="13.75" customHeight="1">
      <c r="A1207" s="9"/>
      <c r="B1207" s="9"/>
      <c r="C1207" s="9"/>
      <c r="D1207" s="9"/>
      <c r="E1207" s="9"/>
      <c r="F1207" s="9"/>
      <c r="G1207" s="9"/>
      <c r="H1207" s="9"/>
      <c r="I1207" s="9"/>
      <c r="J1207" s="9"/>
      <c r="K1207" s="9"/>
      <c r="L1207" s="9"/>
      <c r="M1207" s="9"/>
      <c r="N1207" s="9"/>
      <c r="O1207" s="9"/>
      <c r="P1207" s="9"/>
      <c r="Q1207" s="9"/>
      <c r="R1207" s="9"/>
      <c r="S1207" s="9"/>
      <c r="T1207" s="9"/>
      <c r="U1207" s="9"/>
      <c r="V1207" s="9"/>
      <c r="W1207" s="9"/>
      <c r="X1207" s="9"/>
      <c r="Y1207" s="9"/>
      <c r="Z1207" s="9"/>
      <c r="AA1207" s="9"/>
      <c r="AB1207" s="9"/>
    </row>
    <row r="1208" ht="13.75" customHeight="1">
      <c r="A1208" s="9"/>
      <c r="B1208" s="9"/>
      <c r="C1208" s="9"/>
      <c r="D1208" s="9"/>
      <c r="E1208" s="9"/>
      <c r="F1208" s="9"/>
      <c r="G1208" s="9"/>
      <c r="H1208" s="9"/>
      <c r="I1208" s="9"/>
      <c r="J1208" s="9"/>
      <c r="K1208" s="9"/>
      <c r="L1208" s="9"/>
      <c r="M1208" s="9"/>
      <c r="N1208" s="9"/>
      <c r="O1208" s="9"/>
      <c r="P1208" s="9"/>
      <c r="Q1208" s="9"/>
      <c r="R1208" s="9"/>
      <c r="S1208" s="9"/>
      <c r="T1208" s="9"/>
      <c r="U1208" s="9"/>
      <c r="V1208" s="9"/>
      <c r="W1208" s="9"/>
      <c r="X1208" s="9"/>
      <c r="Y1208" s="9"/>
      <c r="Z1208" s="9"/>
      <c r="AA1208" s="9"/>
      <c r="AB1208" s="9"/>
    </row>
    <row r="1209" ht="13.75" customHeight="1">
      <c r="A1209" s="9"/>
      <c r="B1209" s="9"/>
      <c r="C1209" s="9"/>
      <c r="D1209" s="9"/>
      <c r="E1209" s="9"/>
      <c r="F1209" s="9"/>
      <c r="G1209" s="9"/>
      <c r="H1209" s="9"/>
      <c r="I1209" s="9"/>
      <c r="J1209" s="9"/>
      <c r="K1209" s="9"/>
      <c r="L1209" s="9"/>
      <c r="M1209" s="9"/>
      <c r="N1209" s="9"/>
      <c r="O1209" s="9"/>
      <c r="P1209" s="9"/>
      <c r="Q1209" s="9"/>
      <c r="R1209" s="9"/>
      <c r="S1209" s="9"/>
      <c r="T1209" s="9"/>
      <c r="U1209" s="9"/>
      <c r="V1209" s="9"/>
      <c r="W1209" s="9"/>
      <c r="X1209" s="9"/>
      <c r="Y1209" s="9"/>
      <c r="Z1209" s="9"/>
      <c r="AA1209" s="9"/>
      <c r="AB1209" s="9"/>
    </row>
    <row r="1210" ht="13.75" customHeight="1">
      <c r="A1210" s="9"/>
      <c r="B1210" s="9"/>
      <c r="C1210" s="9"/>
      <c r="D1210" s="9"/>
      <c r="E1210" s="9"/>
      <c r="F1210" s="9"/>
      <c r="G1210" s="9"/>
      <c r="H1210" s="9"/>
      <c r="I1210" s="9"/>
      <c r="J1210" s="9"/>
      <c r="K1210" s="9"/>
      <c r="L1210" s="9"/>
      <c r="M1210" s="9"/>
      <c r="N1210" s="9"/>
      <c r="O1210" s="9"/>
      <c r="P1210" s="9"/>
      <c r="Q1210" s="9"/>
      <c r="R1210" s="9"/>
      <c r="S1210" s="9"/>
      <c r="T1210" s="9"/>
      <c r="U1210" s="9"/>
      <c r="V1210" s="9"/>
      <c r="W1210" s="9"/>
      <c r="X1210" s="9"/>
      <c r="Y1210" s="9"/>
      <c r="Z1210" s="9"/>
      <c r="AA1210" s="9"/>
      <c r="AB1210" s="9"/>
    </row>
    <row r="1211" ht="13.75" customHeight="1">
      <c r="A1211" s="9"/>
      <c r="B1211" s="9"/>
      <c r="C1211" s="9"/>
      <c r="D1211" s="9"/>
      <c r="E1211" s="9"/>
      <c r="F1211" s="9"/>
      <c r="G1211" s="9"/>
      <c r="H1211" s="9"/>
      <c r="I1211" s="9"/>
      <c r="J1211" s="9"/>
      <c r="K1211" s="9"/>
      <c r="L1211" s="9"/>
      <c r="M1211" s="9"/>
      <c r="N1211" s="9"/>
      <c r="O1211" s="9"/>
      <c r="P1211" s="9"/>
      <c r="Q1211" s="9"/>
      <c r="R1211" s="9"/>
      <c r="S1211" s="9"/>
      <c r="T1211" s="9"/>
      <c r="U1211" s="9"/>
      <c r="V1211" s="9"/>
      <c r="W1211" s="9"/>
      <c r="X1211" s="9"/>
      <c r="Y1211" s="9"/>
      <c r="Z1211" s="9"/>
      <c r="AA1211" s="9"/>
      <c r="AB1211" s="9"/>
    </row>
  </sheetData>
  <mergeCells count="3">
    <mergeCell ref="E1:F1"/>
    <mergeCell ref="G1:I1"/>
    <mergeCell ref="J1:K1"/>
  </mergeCells>
  <pageMargins left="0.565421" right="0.36187" top="0.7875" bottom="0.7875" header="0" footer="0"/>
  <pageSetup firstPageNumber="1" fitToHeight="1" fitToWidth="1" scale="100" useFirstPageNumber="0" orientation="landscape" pageOrder="downThenOver"/>
  <headerFooter>
    <oddHeader>&amp;C&amp;"Calibri,Regular"&amp;10&amp;K000000GENERAL Facturado</oddHeader>
    <oddFooter>&amp;C&amp;"Calibri,Regular"&amp;10&amp;K000000Página &amp;P</oddFooter>
  </headerFooter>
</worksheet>
</file>

<file path=xl/worksheets/sheet4.xml><?xml version="1.0" encoding="utf-8"?>
<worksheet xmlns:r="http://schemas.openxmlformats.org/officeDocument/2006/relationships" xmlns="http://schemas.openxmlformats.org/spreadsheetml/2006/main">
  <dimension ref="A1:AB1078"/>
  <sheetViews>
    <sheetView workbookViewId="0" showGridLines="0" defaultGridColor="1"/>
  </sheetViews>
  <sheetFormatPr defaultColWidth="14.4" defaultRowHeight="15" customHeight="1" outlineLevelRow="0" outlineLevelCol="0"/>
  <cols>
    <col min="1" max="1" width="10.8125" style="250" customWidth="1"/>
    <col min="2" max="2" width="17" style="250" customWidth="1"/>
    <col min="3" max="3" width="36.4219" style="250" customWidth="1"/>
    <col min="4" max="4" width="83.2109" style="250" customWidth="1"/>
    <col min="5" max="5" width="14.4219" style="250" customWidth="1"/>
    <col min="6" max="6" width="12.8125" style="250" customWidth="1"/>
    <col min="7" max="7" width="15.4219" style="250" customWidth="1"/>
    <col min="8" max="8" width="17.2109" style="250" customWidth="1"/>
    <col min="9" max="9" width="11.6016" style="250" customWidth="1"/>
    <col min="10" max="10" width="14.8125" style="250" customWidth="1"/>
    <col min="11" max="11" width="13.8125" style="250" customWidth="1"/>
    <col min="12" max="12" width="13.2109" style="250" customWidth="1"/>
    <col min="13" max="13" width="17.2109" style="250" customWidth="1"/>
    <col min="14" max="15" width="10.8125" style="250" customWidth="1"/>
    <col min="16" max="16" width="16" style="250" customWidth="1"/>
    <col min="17" max="17" width="18.8125" style="250" customWidth="1"/>
    <col min="18" max="18" width="10.8125" style="250" customWidth="1"/>
    <col min="19" max="20" width="8.8125" style="250" customWidth="1"/>
    <col min="21" max="21" width="11.2109" style="250" customWidth="1"/>
    <col min="22" max="24" width="8.8125" style="250" customWidth="1"/>
    <col min="25" max="25" width="13.8125" style="250" customWidth="1"/>
    <col min="26" max="26" width="14.8125" style="250" customWidth="1"/>
    <col min="27" max="27" width="11.2109" style="250" customWidth="1"/>
    <col min="28" max="28" width="8.8125" style="250" customWidth="1"/>
    <col min="29" max="16384" width="14.4219" style="250" customWidth="1"/>
  </cols>
  <sheetData>
    <row r="1" ht="13.5" customHeight="1">
      <c r="A1" s="251"/>
      <c r="B1" s="252"/>
      <c r="C1" s="252"/>
      <c r="D1" s="253"/>
      <c r="E1" t="s" s="254">
        <v>20</v>
      </c>
      <c r="F1" s="68"/>
      <c r="G1" t="s" s="255">
        <v>21</v>
      </c>
      <c r="H1" s="70"/>
      <c r="I1" s="71"/>
      <c r="J1" t="s" s="256">
        <v>22</v>
      </c>
      <c r="K1" s="73"/>
      <c r="L1" s="257"/>
      <c r="M1" s="258"/>
      <c r="N1" s="258"/>
      <c r="O1" s="258"/>
      <c r="P1" s="258"/>
      <c r="Q1" s="258"/>
      <c r="R1" s="258"/>
      <c r="S1" s="258"/>
      <c r="T1" s="258"/>
      <c r="U1" s="258"/>
      <c r="V1" s="258"/>
      <c r="W1" s="258"/>
      <c r="X1" s="258"/>
      <c r="Y1" s="258"/>
      <c r="Z1" s="258"/>
      <c r="AA1" s="258"/>
      <c r="AB1" s="258"/>
    </row>
    <row r="2" ht="12.75" customHeight="1">
      <c r="A2" t="s" s="259">
        <v>1136</v>
      </c>
      <c r="B2" t="s" s="260">
        <v>23</v>
      </c>
      <c r="C2" t="s" s="260">
        <v>24</v>
      </c>
      <c r="D2" t="s" s="261">
        <v>1137</v>
      </c>
      <c r="E2" t="s" s="262">
        <v>26</v>
      </c>
      <c r="F2" t="s" s="261">
        <v>27</v>
      </c>
      <c r="G2" t="s" s="262">
        <v>26</v>
      </c>
      <c r="H2" t="s" s="261">
        <v>27</v>
      </c>
      <c r="I2" t="s" s="263">
        <v>28</v>
      </c>
      <c r="J2" t="s" s="260">
        <v>26</v>
      </c>
      <c r="K2" t="s" s="261">
        <v>27</v>
      </c>
      <c r="L2" s="264"/>
      <c r="M2" s="258"/>
      <c r="N2" s="258"/>
      <c r="O2" s="258"/>
      <c r="P2" s="258"/>
      <c r="Q2" s="258"/>
      <c r="R2" s="258"/>
      <c r="S2" s="258"/>
      <c r="T2" s="258"/>
      <c r="U2" s="258"/>
      <c r="V2" s="258"/>
      <c r="W2" s="258"/>
      <c r="X2" s="258"/>
      <c r="Y2" s="258"/>
      <c r="Z2" s="258"/>
      <c r="AA2" s="258"/>
      <c r="AB2" s="258"/>
    </row>
    <row r="3" ht="12.75" customHeight="1">
      <c r="A3" s="265"/>
      <c r="B3" s="266"/>
      <c r="C3" s="266"/>
      <c r="D3" s="267"/>
      <c r="E3" s="268" cm="1">
        <f t="array" ref="E3">SUM(E4:E985)</f>
        <v>67402036.64</v>
      </c>
      <c r="F3" s="269" cm="1">
        <f t="array" ref="F3">SUM(F4:F985)</f>
        <v>145084.853657048</v>
      </c>
      <c r="G3" s="269" cm="1">
        <f t="array" ref="G3">SUM(G4:G1078)</f>
        <v>248570774.54</v>
      </c>
      <c r="H3" s="270" cm="1">
        <f t="array" ref="H3">SUM(H4:H1078)</f>
        <v>1318588.92177497</v>
      </c>
      <c r="I3" s="271"/>
      <c r="J3" s="272" cm="1">
        <f t="array" ref="J3">E3-G3</f>
        <v>-181168737.9</v>
      </c>
      <c r="K3" s="273" cm="1">
        <f t="array" ref="K3">F3-H3</f>
        <v>-1173504.06811792</v>
      </c>
      <c r="L3" s="264"/>
      <c r="M3" s="258"/>
      <c r="N3" s="258"/>
      <c r="O3" s="258"/>
      <c r="P3" s="258"/>
      <c r="Q3" s="258"/>
      <c r="R3" s="258"/>
      <c r="S3" s="258"/>
      <c r="T3" s="258"/>
      <c r="U3" s="258"/>
      <c r="V3" s="258"/>
      <c r="W3" s="258"/>
      <c r="X3" s="258"/>
      <c r="Y3" s="258"/>
      <c r="Z3" s="258"/>
      <c r="AA3" s="258"/>
      <c r="AB3" s="258"/>
    </row>
    <row r="4" ht="12.75" customHeight="1">
      <c r="A4" t="s" s="274">
        <v>1138</v>
      </c>
      <c r="B4" s="275"/>
      <c r="C4" t="s" s="274">
        <v>756</v>
      </c>
      <c r="D4" t="s" s="276">
        <v>1139</v>
      </c>
      <c r="E4" s="277">
        <v>44000</v>
      </c>
      <c r="F4" s="278">
        <v>10700</v>
      </c>
      <c r="G4" s="277"/>
      <c r="H4" s="279"/>
      <c r="I4" s="277" cm="1">
        <f t="array" ref="I4">E4/F4</f>
        <v>4.11214953271028</v>
      </c>
      <c r="J4" s="280"/>
      <c r="K4" s="281"/>
      <c r="L4" s="264"/>
      <c r="M4" s="258"/>
      <c r="N4" s="258"/>
      <c r="O4" s="258"/>
      <c r="P4" s="258"/>
      <c r="Q4" s="258"/>
      <c r="R4" s="258"/>
      <c r="S4" s="258"/>
      <c r="T4" s="258"/>
      <c r="U4" s="258"/>
      <c r="V4" s="258"/>
      <c r="W4" s="258"/>
      <c r="X4" s="258"/>
      <c r="Y4" s="258"/>
      <c r="Z4" s="258"/>
      <c r="AA4" s="258"/>
      <c r="AB4" s="258"/>
    </row>
    <row r="5" ht="12.75" customHeight="1">
      <c r="A5" t="s" s="259">
        <v>1140</v>
      </c>
      <c r="B5" s="282"/>
      <c r="C5" t="s" s="259">
        <v>756</v>
      </c>
      <c r="D5" t="s" s="283">
        <v>1141</v>
      </c>
      <c r="E5" s="284">
        <v>57200</v>
      </c>
      <c r="F5" s="285">
        <v>13000</v>
      </c>
      <c r="G5" s="284"/>
      <c r="H5" s="286"/>
      <c r="I5" s="284" cm="1">
        <f t="array" ref="I5">E5/F5</f>
        <v>4.4</v>
      </c>
      <c r="J5" s="280"/>
      <c r="K5" s="281"/>
      <c r="L5" s="264"/>
      <c r="M5" s="258"/>
      <c r="N5" s="258"/>
      <c r="O5" s="258"/>
      <c r="P5" s="258"/>
      <c r="Q5" s="258"/>
      <c r="R5" s="258"/>
      <c r="S5" s="258"/>
      <c r="T5" s="258"/>
      <c r="U5" s="258"/>
      <c r="V5" s="258"/>
      <c r="W5" s="258"/>
      <c r="X5" s="258"/>
      <c r="Y5" s="258"/>
      <c r="Z5" s="258"/>
      <c r="AA5" s="258"/>
      <c r="AB5" s="258"/>
    </row>
    <row r="6" ht="12.75" customHeight="1">
      <c r="A6" t="s" s="274">
        <v>1142</v>
      </c>
      <c r="B6" s="275"/>
      <c r="C6" t="s" s="274">
        <v>756</v>
      </c>
      <c r="D6" t="s" s="276">
        <v>1143</v>
      </c>
      <c r="E6" s="277">
        <v>70000</v>
      </c>
      <c r="F6" s="278">
        <v>14000</v>
      </c>
      <c r="G6" s="277"/>
      <c r="H6" s="279"/>
      <c r="I6" s="277" cm="1">
        <f t="array" ref="I6">E6/F6</f>
        <v>5</v>
      </c>
      <c r="J6" s="280"/>
      <c r="K6" s="281"/>
      <c r="L6" s="264"/>
      <c r="M6" s="258"/>
      <c r="N6" s="258"/>
      <c r="O6" s="258"/>
      <c r="P6" s="258"/>
      <c r="Q6" s="258"/>
      <c r="R6" s="258"/>
      <c r="S6" s="258"/>
      <c r="T6" s="258"/>
      <c r="U6" s="258"/>
      <c r="V6" s="258"/>
      <c r="W6" s="258"/>
      <c r="X6" s="258"/>
      <c r="Y6" s="258"/>
      <c r="Z6" s="258"/>
      <c r="AA6" s="258"/>
      <c r="AB6" s="258"/>
    </row>
    <row r="7" ht="12.75" customHeight="1">
      <c r="A7" s="287">
        <v>41296</v>
      </c>
      <c r="B7" s="288"/>
      <c r="C7" t="s" s="289">
        <v>220</v>
      </c>
      <c r="D7" t="s" s="283">
        <v>1144</v>
      </c>
      <c r="E7" s="284"/>
      <c r="F7" s="285"/>
      <c r="G7" s="284">
        <v>150008.28</v>
      </c>
      <c r="H7" s="286">
        <v>19946</v>
      </c>
      <c r="I7" s="284">
        <v>7.5</v>
      </c>
      <c r="J7" s="280"/>
      <c r="K7" s="281"/>
      <c r="L7" s="264"/>
      <c r="M7" s="258"/>
      <c r="N7" s="258"/>
      <c r="O7" s="258"/>
      <c r="P7" s="258"/>
      <c r="Q7" s="258"/>
      <c r="R7" s="258"/>
      <c r="S7" s="258"/>
      <c r="T7" s="258"/>
      <c r="U7" s="258"/>
      <c r="V7" s="258"/>
      <c r="W7" s="258"/>
      <c r="X7" s="258"/>
      <c r="Y7" s="258"/>
      <c r="Z7" s="258"/>
      <c r="AA7" s="258"/>
      <c r="AB7" s="258"/>
    </row>
    <row r="8" ht="12.75" customHeight="1">
      <c r="A8" s="290">
        <v>41296</v>
      </c>
      <c r="B8" s="291"/>
      <c r="C8" t="s" s="292">
        <v>220</v>
      </c>
      <c r="D8" t="s" s="276">
        <v>1145</v>
      </c>
      <c r="E8" s="277"/>
      <c r="F8" s="278"/>
      <c r="G8" s="277">
        <v>150028.5</v>
      </c>
      <c r="H8" s="279">
        <v>19946</v>
      </c>
      <c r="I8" s="277">
        <v>7.5</v>
      </c>
      <c r="J8" s="280"/>
      <c r="K8" s="281"/>
      <c r="L8" s="264"/>
      <c r="M8" s="258"/>
      <c r="N8" s="258"/>
      <c r="O8" s="258"/>
      <c r="P8" s="258"/>
      <c r="Q8" s="258"/>
      <c r="R8" s="258"/>
      <c r="S8" s="258"/>
      <c r="T8" s="258"/>
      <c r="U8" s="258"/>
      <c r="V8" s="258"/>
      <c r="W8" s="258"/>
      <c r="X8" s="258"/>
      <c r="Y8" s="258"/>
      <c r="Z8" s="258"/>
      <c r="AA8" s="258"/>
      <c r="AB8" s="258"/>
    </row>
    <row r="9" ht="12.75" customHeight="1">
      <c r="A9" s="287">
        <v>41470</v>
      </c>
      <c r="B9" s="288"/>
      <c r="C9" t="s" s="289">
        <v>1146</v>
      </c>
      <c r="D9" t="s" s="283">
        <v>61</v>
      </c>
      <c r="E9" s="284"/>
      <c r="F9" s="285"/>
      <c r="G9" s="284">
        <v>35000</v>
      </c>
      <c r="H9" s="286">
        <v>5000</v>
      </c>
      <c r="I9" s="284">
        <v>7</v>
      </c>
      <c r="J9" s="280"/>
      <c r="K9" s="281"/>
      <c r="L9" s="264"/>
      <c r="M9" s="258"/>
      <c r="N9" s="258"/>
      <c r="O9" s="258"/>
      <c r="P9" s="258"/>
      <c r="Q9" s="258"/>
      <c r="R9" s="258"/>
      <c r="S9" s="258"/>
      <c r="T9" s="258"/>
      <c r="U9" s="258"/>
      <c r="V9" s="258"/>
      <c r="W9" s="258"/>
      <c r="X9" s="258"/>
      <c r="Y9" s="258"/>
      <c r="Z9" s="258"/>
      <c r="AA9" s="258"/>
      <c r="AB9" s="258"/>
    </row>
    <row r="10" ht="12.75" customHeight="1">
      <c r="A10" s="290">
        <v>41508</v>
      </c>
      <c r="B10" s="291"/>
      <c r="C10" t="s" s="292">
        <v>1146</v>
      </c>
      <c r="D10" t="s" s="276">
        <v>61</v>
      </c>
      <c r="E10" s="277"/>
      <c r="F10" s="278"/>
      <c r="G10" s="277">
        <v>36000</v>
      </c>
      <c r="H10" s="279">
        <v>5000</v>
      </c>
      <c r="I10" s="277">
        <v>7</v>
      </c>
      <c r="J10" s="280"/>
      <c r="K10" s="281"/>
      <c r="L10" s="264"/>
      <c r="M10" s="258"/>
      <c r="N10" s="258"/>
      <c r="O10" s="258"/>
      <c r="P10" s="258"/>
      <c r="Q10" s="258"/>
      <c r="R10" s="258"/>
      <c r="S10" s="258"/>
      <c r="T10" s="258"/>
      <c r="U10" s="258"/>
      <c r="V10" s="258"/>
      <c r="W10" s="258"/>
      <c r="X10" s="258"/>
      <c r="Y10" s="258"/>
      <c r="Z10" s="258"/>
      <c r="AA10" s="258"/>
      <c r="AB10" s="258"/>
    </row>
    <row r="11" ht="12.75" customHeight="1">
      <c r="A11" t="s" s="259">
        <v>1147</v>
      </c>
      <c r="B11" s="288"/>
      <c r="C11" t="s" s="289">
        <v>1146</v>
      </c>
      <c r="D11" t="s" s="283">
        <v>61</v>
      </c>
      <c r="E11" s="284"/>
      <c r="F11" s="285"/>
      <c r="G11" s="284">
        <v>220000</v>
      </c>
      <c r="H11" s="286">
        <v>30000</v>
      </c>
      <c r="I11" s="284">
        <v>7.33</v>
      </c>
      <c r="J11" s="280"/>
      <c r="K11" s="281"/>
      <c r="L11" s="264"/>
      <c r="M11" s="258"/>
      <c r="N11" s="258"/>
      <c r="O11" s="258"/>
      <c r="P11" s="258"/>
      <c r="Q11" s="258"/>
      <c r="R11" s="258"/>
      <c r="S11" s="258"/>
      <c r="T11" s="258"/>
      <c r="U11" s="258"/>
      <c r="V11" s="258"/>
      <c r="W11" s="258"/>
      <c r="X11" s="258"/>
      <c r="Y11" s="258"/>
      <c r="Z11" s="258"/>
      <c r="AA11" s="258"/>
      <c r="AB11" s="258"/>
    </row>
    <row r="12" ht="12.75" customHeight="1">
      <c r="A12" t="s" s="274">
        <v>1148</v>
      </c>
      <c r="B12" s="275"/>
      <c r="C12" t="s" s="274">
        <v>756</v>
      </c>
      <c r="D12" t="s" s="276">
        <v>1149</v>
      </c>
      <c r="E12" s="277">
        <v>105000</v>
      </c>
      <c r="F12" s="278">
        <v>9200</v>
      </c>
      <c r="G12" s="277"/>
      <c r="H12" s="279"/>
      <c r="I12" s="277" cm="1">
        <f t="array" ref="I12">E12/F12</f>
        <v>11.4130434782609</v>
      </c>
      <c r="J12" s="280"/>
      <c r="K12" s="281"/>
      <c r="L12" s="264"/>
      <c r="M12" s="258"/>
      <c r="N12" s="258"/>
      <c r="O12" s="258"/>
      <c r="P12" s="258"/>
      <c r="Q12" s="258"/>
      <c r="R12" s="258"/>
      <c r="S12" s="258"/>
      <c r="T12" s="258"/>
      <c r="U12" s="258"/>
      <c r="V12" s="258"/>
      <c r="W12" s="258"/>
      <c r="X12" s="258"/>
      <c r="Y12" s="258"/>
      <c r="Z12" s="258"/>
      <c r="AA12" s="258"/>
      <c r="AB12" s="258"/>
    </row>
    <row r="13" ht="12.75" customHeight="1">
      <c r="A13" s="287">
        <v>42104</v>
      </c>
      <c r="B13" s="282"/>
      <c r="C13" t="s" s="259">
        <v>34</v>
      </c>
      <c r="D13" t="s" s="283">
        <v>1150</v>
      </c>
      <c r="E13" s="284">
        <v>3900</v>
      </c>
      <c r="F13" s="285" cm="1">
        <f t="array" ref="F13">E13/I13</f>
        <v>314.516129032258</v>
      </c>
      <c r="G13" s="284"/>
      <c r="H13" s="286"/>
      <c r="I13" s="284">
        <v>12.4</v>
      </c>
      <c r="J13" s="280"/>
      <c r="K13" s="281"/>
      <c r="L13" s="264"/>
      <c r="M13" s="258"/>
      <c r="N13" s="258"/>
      <c r="O13" s="258"/>
      <c r="P13" s="258"/>
      <c r="Q13" s="258"/>
      <c r="R13" s="258"/>
      <c r="S13" s="258"/>
      <c r="T13" s="258"/>
      <c r="U13" s="258"/>
      <c r="V13" s="258"/>
      <c r="W13" s="258"/>
      <c r="X13" s="258"/>
      <c r="Y13" s="258"/>
      <c r="Z13" s="258"/>
      <c r="AA13" s="258"/>
      <c r="AB13" s="258"/>
    </row>
    <row r="14" ht="12.75" customHeight="1">
      <c r="A14" s="290">
        <v>41740</v>
      </c>
      <c r="B14" s="291"/>
      <c r="C14" t="s" s="292">
        <v>1146</v>
      </c>
      <c r="D14" t="s" s="276">
        <v>1151</v>
      </c>
      <c r="E14" s="277"/>
      <c r="F14" s="278"/>
      <c r="G14" s="277">
        <v>11000</v>
      </c>
      <c r="H14" s="279" cm="1">
        <f t="array" ref="H14">G14/I14</f>
        <v>1057.692307692310</v>
      </c>
      <c r="I14" s="277">
        <v>10.4</v>
      </c>
      <c r="J14" s="280"/>
      <c r="K14" s="281"/>
      <c r="L14" s="264"/>
      <c r="M14" s="258"/>
      <c r="N14" s="258"/>
      <c r="O14" s="258"/>
      <c r="P14" s="258"/>
      <c r="Q14" s="258"/>
      <c r="R14" s="258"/>
      <c r="S14" s="258"/>
      <c r="T14" s="258"/>
      <c r="U14" s="258"/>
      <c r="V14" s="258"/>
      <c r="W14" s="258"/>
      <c r="X14" s="258"/>
      <c r="Y14" s="258"/>
      <c r="Z14" s="258"/>
      <c r="AA14" s="258"/>
      <c r="AB14" s="258"/>
    </row>
    <row r="15" ht="12.75" customHeight="1">
      <c r="A15" s="287">
        <v>41921</v>
      </c>
      <c r="B15" t="s" s="293">
        <v>1152</v>
      </c>
      <c r="C15" t="s" s="259">
        <v>67</v>
      </c>
      <c r="D15" t="s" s="283">
        <v>1153</v>
      </c>
      <c r="E15" s="284"/>
      <c r="F15" s="285"/>
      <c r="G15" s="284">
        <v>322719.6</v>
      </c>
      <c r="H15" s="286">
        <v>23730</v>
      </c>
      <c r="I15" s="284">
        <v>13.6</v>
      </c>
      <c r="J15" s="280"/>
      <c r="K15" s="281"/>
      <c r="L15" s="264"/>
      <c r="M15" s="258"/>
      <c r="N15" s="258"/>
      <c r="O15" s="258"/>
      <c r="P15" s="258"/>
      <c r="Q15" s="258"/>
      <c r="R15" s="258"/>
      <c r="S15" s="258"/>
      <c r="T15" s="258"/>
      <c r="U15" s="258"/>
      <c r="V15" s="258"/>
      <c r="W15" s="258"/>
      <c r="X15" s="258"/>
      <c r="Y15" s="258"/>
      <c r="Z15" s="258"/>
      <c r="AA15" s="258"/>
      <c r="AB15" s="258"/>
    </row>
    <row r="16" ht="12.75" customHeight="1">
      <c r="A16" t="s" s="274">
        <v>1154</v>
      </c>
      <c r="B16" s="275"/>
      <c r="C16" t="s" s="274">
        <v>756</v>
      </c>
      <c r="D16" t="s" s="276">
        <v>1155</v>
      </c>
      <c r="E16" s="277">
        <v>144000</v>
      </c>
      <c r="F16" s="278">
        <v>12000</v>
      </c>
      <c r="G16" s="277"/>
      <c r="H16" s="279"/>
      <c r="I16" s="277" cm="1">
        <f t="array" ref="I16">E16/F16</f>
        <v>12</v>
      </c>
      <c r="J16" s="280"/>
      <c r="K16" s="281"/>
      <c r="L16" s="264"/>
      <c r="M16" s="258"/>
      <c r="N16" s="258"/>
      <c r="O16" s="258"/>
      <c r="P16" s="258"/>
      <c r="Q16" s="258"/>
      <c r="R16" s="258"/>
      <c r="S16" s="258"/>
      <c r="T16" s="258"/>
      <c r="U16" s="258"/>
      <c r="V16" s="258"/>
      <c r="W16" s="258"/>
      <c r="X16" s="258"/>
      <c r="Y16" s="258"/>
      <c r="Z16" s="258"/>
      <c r="AA16" s="258"/>
      <c r="AB16" s="258"/>
    </row>
    <row r="17" ht="12.75" customHeight="1">
      <c r="A17" s="287">
        <v>42172</v>
      </c>
      <c r="B17" s="282"/>
      <c r="C17" t="s" s="259">
        <v>939</v>
      </c>
      <c r="D17" t="s" s="283">
        <v>1156</v>
      </c>
      <c r="E17" s="284">
        <v>1600</v>
      </c>
      <c r="F17" s="285" cm="1">
        <f t="array" ref="F17">(E17/I17)</f>
        <v>123.076923076923</v>
      </c>
      <c r="G17" s="284"/>
      <c r="H17" s="286"/>
      <c r="I17" s="284">
        <v>13</v>
      </c>
      <c r="J17" s="280"/>
      <c r="K17" s="281"/>
      <c r="L17" s="264"/>
      <c r="M17" s="258"/>
      <c r="N17" s="258"/>
      <c r="O17" s="258"/>
      <c r="P17" s="258"/>
      <c r="Q17" s="258"/>
      <c r="R17" s="258"/>
      <c r="S17" s="258"/>
      <c r="T17" s="258"/>
      <c r="U17" s="258"/>
      <c r="V17" s="258"/>
      <c r="W17" s="258"/>
      <c r="X17" s="258"/>
      <c r="Y17" s="258"/>
      <c r="Z17" s="258"/>
      <c r="AA17" s="258"/>
      <c r="AB17" s="258"/>
    </row>
    <row r="18" ht="12.75" customHeight="1">
      <c r="A18" s="287">
        <v>42237</v>
      </c>
      <c r="B18" s="282"/>
      <c r="C18" t="s" s="259">
        <v>1157</v>
      </c>
      <c r="D18" t="s" s="283">
        <v>1158</v>
      </c>
      <c r="E18" s="284"/>
      <c r="F18" s="285"/>
      <c r="G18" s="284">
        <v>7300</v>
      </c>
      <c r="H18" s="286" cm="1">
        <f t="array" ref="H18">G18/I18</f>
        <v>467.948717948718</v>
      </c>
      <c r="I18" s="284">
        <v>15.6</v>
      </c>
      <c r="J18" s="280"/>
      <c r="K18" s="281"/>
      <c r="L18" s="264"/>
      <c r="M18" s="258"/>
      <c r="N18" s="258"/>
      <c r="O18" s="258"/>
      <c r="P18" s="258"/>
      <c r="Q18" s="258"/>
      <c r="R18" s="258"/>
      <c r="S18" s="258"/>
      <c r="T18" s="258"/>
      <c r="U18" s="258"/>
      <c r="V18" s="258"/>
      <c r="W18" s="258"/>
      <c r="X18" s="258"/>
      <c r="Y18" s="258"/>
      <c r="Z18" s="258"/>
      <c r="AA18" s="258"/>
      <c r="AB18" s="258"/>
    </row>
    <row r="19" ht="12.75" customHeight="1">
      <c r="A19" t="s" s="274">
        <v>1159</v>
      </c>
      <c r="B19" s="275"/>
      <c r="C19" t="s" s="274">
        <v>756</v>
      </c>
      <c r="D19" t="s" s="276">
        <v>1160</v>
      </c>
      <c r="E19" s="277">
        <v>200000</v>
      </c>
      <c r="F19" s="278">
        <v>12900</v>
      </c>
      <c r="G19" s="277"/>
      <c r="H19" s="279"/>
      <c r="I19" s="277" cm="1">
        <f t="array" ref="I19">E19/F19</f>
        <v>15.5038759689922</v>
      </c>
      <c r="J19" s="280"/>
      <c r="K19" s="281"/>
      <c r="L19" s="264"/>
      <c r="M19" s="258"/>
      <c r="N19" s="258"/>
      <c r="O19" s="258"/>
      <c r="P19" s="258"/>
      <c r="Q19" s="258"/>
      <c r="R19" s="258"/>
      <c r="S19" s="258"/>
      <c r="T19" s="258"/>
      <c r="U19" s="258"/>
      <c r="V19" s="258"/>
      <c r="W19" s="258"/>
      <c r="X19" s="258"/>
      <c r="Y19" s="258"/>
      <c r="Z19" s="258"/>
      <c r="AA19" s="258"/>
      <c r="AB19" s="258"/>
    </row>
    <row r="20" ht="12.75" customHeight="1">
      <c r="A20" s="287">
        <v>42417</v>
      </c>
      <c r="B20" s="288"/>
      <c r="C20" t="s" s="289">
        <v>1146</v>
      </c>
      <c r="D20" t="s" s="283">
        <v>61</v>
      </c>
      <c r="E20" s="284"/>
      <c r="F20" s="285"/>
      <c r="G20" s="284">
        <v>200000</v>
      </c>
      <c r="H20" s="286">
        <v>15000</v>
      </c>
      <c r="I20" s="284">
        <v>13.3</v>
      </c>
      <c r="J20" s="280"/>
      <c r="K20" s="281"/>
      <c r="L20" s="264"/>
      <c r="M20" s="258"/>
      <c r="N20" s="258"/>
      <c r="O20" s="258"/>
      <c r="P20" s="258"/>
      <c r="Q20" s="258"/>
      <c r="R20" s="258"/>
      <c r="S20" s="258"/>
      <c r="T20" s="258"/>
      <c r="U20" s="258"/>
      <c r="V20" s="258"/>
      <c r="W20" s="258"/>
      <c r="X20" s="258"/>
      <c r="Y20" s="258"/>
      <c r="Z20" s="258"/>
      <c r="AA20" s="258"/>
      <c r="AB20" s="258"/>
    </row>
    <row r="21" ht="12.75" customHeight="1">
      <c r="A21" s="290">
        <v>42441</v>
      </c>
      <c r="B21" s="275"/>
      <c r="C21" t="s" s="274">
        <v>101</v>
      </c>
      <c r="D21" t="s" s="276">
        <v>1161</v>
      </c>
      <c r="E21" s="277"/>
      <c r="F21" s="278"/>
      <c r="G21" s="277">
        <v>400000</v>
      </c>
      <c r="H21" s="279">
        <v>25560</v>
      </c>
      <c r="I21" s="277">
        <v>15.65</v>
      </c>
      <c r="J21" s="280"/>
      <c r="K21" s="281"/>
      <c r="L21" s="264"/>
      <c r="M21" s="258"/>
      <c r="N21" s="258"/>
      <c r="O21" s="258"/>
      <c r="P21" s="258"/>
      <c r="Q21" s="258"/>
      <c r="R21" s="258"/>
      <c r="S21" s="258"/>
      <c r="T21" s="258"/>
      <c r="U21" s="258"/>
      <c r="V21" s="258"/>
      <c r="W21" s="258"/>
      <c r="X21" s="258"/>
      <c r="Y21" s="258"/>
      <c r="Z21" s="258"/>
      <c r="AA21" s="258"/>
      <c r="AB21" s="258"/>
    </row>
    <row r="22" ht="12.75" customHeight="1">
      <c r="A22" s="287">
        <v>42441</v>
      </c>
      <c r="B22" s="282"/>
      <c r="C22" t="s" s="259">
        <v>101</v>
      </c>
      <c r="D22" t="s" s="283">
        <v>1162</v>
      </c>
      <c r="E22" s="284"/>
      <c r="F22" s="285"/>
      <c r="G22" s="284">
        <v>782500</v>
      </c>
      <c r="H22" s="286" cm="1">
        <f t="array" ref="H22">G22/I22</f>
        <v>50000</v>
      </c>
      <c r="I22" s="284" cm="1">
        <f t="array" ref="I22">I21</f>
        <v>15.65</v>
      </c>
      <c r="J22" s="280"/>
      <c r="K22" s="281"/>
      <c r="L22" s="264"/>
      <c r="M22" s="258"/>
      <c r="N22" s="258"/>
      <c r="O22" s="258"/>
      <c r="P22" s="258"/>
      <c r="Q22" s="258"/>
      <c r="R22" s="258"/>
      <c r="S22" s="258"/>
      <c r="T22" s="258"/>
      <c r="U22" s="258"/>
      <c r="V22" s="258"/>
      <c r="W22" s="258"/>
      <c r="X22" s="258"/>
      <c r="Y22" s="258"/>
      <c r="Z22" s="258"/>
      <c r="AA22" s="258"/>
      <c r="AB22" s="258"/>
    </row>
    <row r="23" ht="12.75" customHeight="1">
      <c r="A23" s="290">
        <v>42459</v>
      </c>
      <c r="B23" s="275"/>
      <c r="C23" t="s" s="274">
        <v>101</v>
      </c>
      <c r="D23" t="s" s="276">
        <v>1163</v>
      </c>
      <c r="E23" s="277"/>
      <c r="F23" s="278"/>
      <c r="G23" s="277">
        <v>767500</v>
      </c>
      <c r="H23" s="279">
        <v>50000</v>
      </c>
      <c r="I23" s="277">
        <v>15.4</v>
      </c>
      <c r="J23" s="280"/>
      <c r="K23" s="281"/>
      <c r="L23" s="264"/>
      <c r="M23" s="258"/>
      <c r="N23" s="258"/>
      <c r="O23" s="258"/>
      <c r="P23" s="258"/>
      <c r="Q23" s="258"/>
      <c r="R23" s="258"/>
      <c r="S23" s="258"/>
      <c r="T23" s="258"/>
      <c r="U23" s="258"/>
      <c r="V23" s="258"/>
      <c r="W23" s="258"/>
      <c r="X23" s="258"/>
      <c r="Y23" s="258"/>
      <c r="Z23" s="258"/>
      <c r="AA23" s="258"/>
      <c r="AB23" s="258"/>
    </row>
    <row r="24" ht="12.75" customHeight="1">
      <c r="A24" s="287">
        <v>42530</v>
      </c>
      <c r="B24" s="282"/>
      <c r="C24" t="s" s="259">
        <v>101</v>
      </c>
      <c r="D24" t="s" s="283">
        <v>1163</v>
      </c>
      <c r="E24" s="284"/>
      <c r="F24" s="285"/>
      <c r="G24" s="284">
        <v>225000</v>
      </c>
      <c r="H24" s="286">
        <v>15000</v>
      </c>
      <c r="I24" s="284">
        <v>15</v>
      </c>
      <c r="J24" s="280"/>
      <c r="K24" s="281"/>
      <c r="L24" s="264"/>
      <c r="M24" s="258"/>
      <c r="N24" s="258"/>
      <c r="O24" s="258"/>
      <c r="P24" s="258"/>
      <c r="Q24" s="258"/>
      <c r="R24" s="258"/>
      <c r="S24" s="258"/>
      <c r="T24" s="258"/>
      <c r="U24" s="258"/>
      <c r="V24" s="258"/>
      <c r="W24" s="258"/>
      <c r="X24" s="258"/>
      <c r="Y24" s="258"/>
      <c r="Z24" s="258"/>
      <c r="AA24" s="258"/>
      <c r="AB24" s="258"/>
    </row>
    <row r="25" ht="12.75" customHeight="1">
      <c r="A25" s="290">
        <v>42530</v>
      </c>
      <c r="B25" s="275"/>
      <c r="C25" t="s" s="274">
        <v>101</v>
      </c>
      <c r="D25" t="s" s="276">
        <v>1163</v>
      </c>
      <c r="E25" s="277"/>
      <c r="F25" s="278"/>
      <c r="G25" s="277">
        <v>25000</v>
      </c>
      <c r="H25" s="279" cm="1">
        <f t="array" ref="H25">G25/I25</f>
        <v>1666.666666666670</v>
      </c>
      <c r="I25" s="277">
        <v>15</v>
      </c>
      <c r="J25" s="280"/>
      <c r="K25" s="281"/>
      <c r="L25" s="264"/>
      <c r="M25" s="258"/>
      <c r="N25" s="258"/>
      <c r="O25" s="258"/>
      <c r="P25" s="258"/>
      <c r="Q25" s="258"/>
      <c r="R25" s="258"/>
      <c r="S25" s="258"/>
      <c r="T25" s="258"/>
      <c r="U25" s="258"/>
      <c r="V25" s="258"/>
      <c r="W25" s="258"/>
      <c r="X25" s="258"/>
      <c r="Y25" s="258"/>
      <c r="Z25" s="258"/>
      <c r="AA25" s="258"/>
      <c r="AB25" s="258"/>
    </row>
    <row r="26" ht="12.75" customHeight="1">
      <c r="A26" s="287">
        <v>42172</v>
      </c>
      <c r="B26" s="282"/>
      <c r="C26" t="s" s="259">
        <v>34</v>
      </c>
      <c r="D26" t="s" s="283">
        <v>1164</v>
      </c>
      <c r="E26" s="284">
        <v>1600</v>
      </c>
      <c r="F26" s="285" cm="1">
        <f t="array" ref="F26">E26/I26</f>
        <v>123.076923076923</v>
      </c>
      <c r="G26" s="284"/>
      <c r="H26" s="286"/>
      <c r="I26" s="284">
        <v>13</v>
      </c>
      <c r="J26" s="280"/>
      <c r="K26" s="281"/>
      <c r="L26" s="264"/>
      <c r="M26" s="258"/>
      <c r="N26" s="258"/>
      <c r="O26" s="258"/>
      <c r="P26" s="258"/>
      <c r="Q26" s="258"/>
      <c r="R26" s="258"/>
      <c r="S26" s="258"/>
      <c r="T26" s="258"/>
      <c r="U26" s="258"/>
      <c r="V26" s="258"/>
      <c r="W26" s="258"/>
      <c r="X26" s="258"/>
      <c r="Y26" s="258"/>
      <c r="Z26" s="258"/>
      <c r="AA26" s="258"/>
      <c r="AB26" s="258"/>
    </row>
    <row r="27" ht="12.75" customHeight="1">
      <c r="A27" s="290">
        <v>42584</v>
      </c>
      <c r="B27" s="291"/>
      <c r="C27" t="s" s="292">
        <v>1146</v>
      </c>
      <c r="D27" t="s" s="276">
        <v>1165</v>
      </c>
      <c r="E27" s="277"/>
      <c r="F27" s="278"/>
      <c r="G27" s="277">
        <v>148000</v>
      </c>
      <c r="H27" s="279">
        <v>10000</v>
      </c>
      <c r="I27" s="277" cm="1">
        <f t="array" ref="I27">G27/H27</f>
        <v>14.8</v>
      </c>
      <c r="J27" s="280"/>
      <c r="K27" s="281"/>
      <c r="L27" s="264"/>
      <c r="M27" s="258"/>
      <c r="N27" s="258"/>
      <c r="O27" s="258"/>
      <c r="P27" s="258"/>
      <c r="Q27" s="258"/>
      <c r="R27" s="258"/>
      <c r="S27" s="258"/>
      <c r="T27" s="258"/>
      <c r="U27" s="258"/>
      <c r="V27" s="258"/>
      <c r="W27" s="258"/>
      <c r="X27" s="258"/>
      <c r="Y27" s="258"/>
      <c r="Z27" s="258"/>
      <c r="AA27" s="258"/>
      <c r="AB27" s="258"/>
    </row>
    <row r="28" ht="12.75" customHeight="1">
      <c r="A28" s="287">
        <v>42618</v>
      </c>
      <c r="B28" s="288"/>
      <c r="C28" t="s" s="289">
        <v>169</v>
      </c>
      <c r="D28" t="s" s="283">
        <v>1166</v>
      </c>
      <c r="E28" s="284"/>
      <c r="F28" s="285"/>
      <c r="G28" s="284">
        <v>54000</v>
      </c>
      <c r="H28" s="286">
        <v>3220</v>
      </c>
      <c r="I28" s="284" cm="1">
        <f t="array" ref="I28">G28/H28</f>
        <v>16.7701863354037</v>
      </c>
      <c r="J28" s="280"/>
      <c r="K28" s="281"/>
      <c r="L28" s="264"/>
      <c r="M28" s="258"/>
      <c r="N28" s="258"/>
      <c r="O28" s="258"/>
      <c r="P28" s="258"/>
      <c r="Q28" s="258"/>
      <c r="R28" s="258"/>
      <c r="S28" s="258"/>
      <c r="T28" s="258"/>
      <c r="U28" s="258"/>
      <c r="V28" s="258"/>
      <c r="W28" s="258"/>
      <c r="X28" s="258"/>
      <c r="Y28" s="258"/>
      <c r="Z28" s="258"/>
      <c r="AA28" s="258"/>
      <c r="AB28" s="258"/>
    </row>
    <row r="29" ht="12.75" customHeight="1">
      <c r="A29" s="290">
        <v>42663</v>
      </c>
      <c r="B29" s="291"/>
      <c r="C29" t="s" s="292">
        <v>169</v>
      </c>
      <c r="D29" t="s" s="276">
        <v>1167</v>
      </c>
      <c r="E29" s="277"/>
      <c r="F29" s="278"/>
      <c r="G29" s="277">
        <v>60000</v>
      </c>
      <c r="H29" s="279">
        <v>3636</v>
      </c>
      <c r="I29" s="277" cm="1">
        <f t="array" ref="I29">G29/H29</f>
        <v>16.5016501650165</v>
      </c>
      <c r="J29" s="280"/>
      <c r="K29" s="281"/>
      <c r="L29" s="264"/>
      <c r="M29" s="258"/>
      <c r="N29" s="258"/>
      <c r="O29" s="258"/>
      <c r="P29" s="258"/>
      <c r="Q29" s="258"/>
      <c r="R29" s="258"/>
      <c r="S29" s="258"/>
      <c r="T29" s="258"/>
      <c r="U29" s="258"/>
      <c r="V29" s="258"/>
      <c r="W29" s="258"/>
      <c r="X29" s="258"/>
      <c r="Y29" s="258"/>
      <c r="Z29" s="258"/>
      <c r="AA29" s="258"/>
      <c r="AB29" s="258"/>
    </row>
    <row r="30" ht="12.75" customHeight="1">
      <c r="A30" s="287">
        <v>42787</v>
      </c>
      <c r="B30" s="282"/>
      <c r="C30" s="294"/>
      <c r="D30" t="s" s="283">
        <v>1168</v>
      </c>
      <c r="E30" s="284"/>
      <c r="F30" s="285"/>
      <c r="G30" s="284">
        <v>4000</v>
      </c>
      <c r="H30" s="286" cm="1">
        <f t="array" ref="H30">G30/I30</f>
        <v>243.902439024390</v>
      </c>
      <c r="I30" s="284">
        <v>16.4</v>
      </c>
      <c r="J30" s="280"/>
      <c r="K30" s="281"/>
      <c r="L30" s="264"/>
      <c r="M30" s="258"/>
      <c r="N30" s="258"/>
      <c r="O30" s="258"/>
      <c r="P30" s="258"/>
      <c r="Q30" s="258"/>
      <c r="R30" s="258"/>
      <c r="S30" s="258"/>
      <c r="T30" s="258"/>
      <c r="U30" s="258"/>
      <c r="V30" s="258"/>
      <c r="W30" s="258"/>
      <c r="X30" s="258"/>
      <c r="Y30" s="258"/>
      <c r="Z30" s="258"/>
      <c r="AA30" s="258"/>
      <c r="AB30" s="258"/>
    </row>
    <row r="31" ht="12.75" customHeight="1">
      <c r="A31" s="290">
        <v>42789</v>
      </c>
      <c r="B31" s="291"/>
      <c r="C31" t="s" s="292">
        <v>1146</v>
      </c>
      <c r="D31" t="s" s="276">
        <v>1169</v>
      </c>
      <c r="E31" s="277"/>
      <c r="F31" s="278"/>
      <c r="G31" s="277">
        <v>160000</v>
      </c>
      <c r="H31" s="279">
        <v>10000</v>
      </c>
      <c r="I31" s="277">
        <v>16</v>
      </c>
      <c r="J31" s="280"/>
      <c r="K31" s="281"/>
      <c r="L31" s="264"/>
      <c r="M31" s="258"/>
      <c r="N31" s="258"/>
      <c r="O31" s="258"/>
      <c r="P31" s="258"/>
      <c r="Q31" s="258"/>
      <c r="R31" s="258"/>
      <c r="S31" s="258"/>
      <c r="T31" s="258"/>
      <c r="U31" s="258"/>
      <c r="V31" s="258"/>
      <c r="W31" s="258"/>
      <c r="X31" s="258"/>
      <c r="Y31" s="258"/>
      <c r="Z31" s="258"/>
      <c r="AA31" s="258"/>
      <c r="AB31" s="258"/>
    </row>
    <row r="32" ht="12.75" customHeight="1">
      <c r="A32" s="287">
        <v>42812</v>
      </c>
      <c r="B32" s="282"/>
      <c r="C32" t="s" s="259">
        <v>1170</v>
      </c>
      <c r="D32" t="s" s="283">
        <v>160</v>
      </c>
      <c r="E32" s="284"/>
      <c r="F32" s="285"/>
      <c r="G32" s="284">
        <v>14591</v>
      </c>
      <c r="H32" s="286">
        <v>972</v>
      </c>
      <c r="I32" s="284" cm="1">
        <f t="array" ref="I32">G32/H32</f>
        <v>15.011316872428</v>
      </c>
      <c r="J32" s="280"/>
      <c r="K32" s="281"/>
      <c r="L32" s="264"/>
      <c r="M32" s="258"/>
      <c r="N32" s="258"/>
      <c r="O32" s="258"/>
      <c r="P32" s="258"/>
      <c r="Q32" s="258"/>
      <c r="R32" s="258"/>
      <c r="S32" s="258"/>
      <c r="T32" s="258"/>
      <c r="U32" s="258"/>
      <c r="V32" s="258"/>
      <c r="W32" s="258"/>
      <c r="X32" s="258"/>
      <c r="Y32" s="258"/>
      <c r="Z32" s="258"/>
      <c r="AA32" s="258"/>
      <c r="AB32" s="258"/>
    </row>
    <row r="33" ht="12.75" customHeight="1">
      <c r="A33" s="290">
        <v>42858</v>
      </c>
      <c r="B33" s="291"/>
      <c r="C33" t="s" s="292">
        <v>220</v>
      </c>
      <c r="D33" t="s" s="276">
        <v>80</v>
      </c>
      <c r="E33" s="277"/>
      <c r="F33" s="278"/>
      <c r="G33" s="277">
        <v>24000</v>
      </c>
      <c r="H33" s="279">
        <v>1500</v>
      </c>
      <c r="I33" s="277" cm="1">
        <f t="array" ref="I33">G33/H33</f>
        <v>16</v>
      </c>
      <c r="J33" s="280"/>
      <c r="K33" s="281"/>
      <c r="L33" s="264"/>
      <c r="M33" s="258"/>
      <c r="N33" s="258"/>
      <c r="O33" s="258"/>
      <c r="P33" s="258"/>
      <c r="Q33" s="258"/>
      <c r="R33" s="258"/>
      <c r="S33" s="258"/>
      <c r="T33" s="258"/>
      <c r="U33" s="258"/>
      <c r="V33" s="258"/>
      <c r="W33" s="258"/>
      <c r="X33" s="258"/>
      <c r="Y33" s="258"/>
      <c r="Z33" s="258"/>
      <c r="AA33" s="258"/>
      <c r="AB33" s="258"/>
    </row>
    <row r="34" ht="12.75" customHeight="1">
      <c r="A34" s="287">
        <v>42861</v>
      </c>
      <c r="B34" s="288"/>
      <c r="C34" t="s" s="289">
        <v>1171</v>
      </c>
      <c r="D34" t="s" s="283">
        <v>1163</v>
      </c>
      <c r="E34" s="284"/>
      <c r="F34" s="285"/>
      <c r="G34" s="284">
        <v>6000</v>
      </c>
      <c r="H34" s="286" cm="1">
        <f t="array" ref="H34">G34/I34</f>
        <v>375</v>
      </c>
      <c r="I34" s="284">
        <v>16</v>
      </c>
      <c r="J34" s="280"/>
      <c r="K34" s="281"/>
      <c r="L34" s="264"/>
      <c r="M34" s="258"/>
      <c r="N34" s="258"/>
      <c r="O34" s="258"/>
      <c r="P34" s="258"/>
      <c r="Q34" s="258"/>
      <c r="R34" s="258"/>
      <c r="S34" s="258"/>
      <c r="T34" s="258"/>
      <c r="U34" s="258"/>
      <c r="V34" s="258"/>
      <c r="W34" s="258"/>
      <c r="X34" s="258"/>
      <c r="Y34" s="258"/>
      <c r="Z34" s="258"/>
      <c r="AA34" s="258"/>
      <c r="AB34" s="258"/>
    </row>
    <row r="35" ht="12.75" customHeight="1">
      <c r="A35" s="290">
        <v>42886</v>
      </c>
      <c r="B35" s="275"/>
      <c r="C35" s="295"/>
      <c r="D35" t="s" s="276">
        <v>1172</v>
      </c>
      <c r="E35" s="277"/>
      <c r="F35" s="278"/>
      <c r="G35" s="277">
        <v>9000</v>
      </c>
      <c r="H35" s="279" cm="1">
        <f t="array" ref="H35">G35/I35</f>
        <v>548.780487804878</v>
      </c>
      <c r="I35" s="277">
        <v>16.4</v>
      </c>
      <c r="J35" s="280"/>
      <c r="K35" s="281"/>
      <c r="L35" s="264"/>
      <c r="M35" s="258"/>
      <c r="N35" s="258"/>
      <c r="O35" s="258"/>
      <c r="P35" s="258"/>
      <c r="Q35" s="258"/>
      <c r="R35" s="258"/>
      <c r="S35" s="258"/>
      <c r="T35" s="258"/>
      <c r="U35" s="258"/>
      <c r="V35" s="258"/>
      <c r="W35" s="258"/>
      <c r="X35" s="258"/>
      <c r="Y35" s="258"/>
      <c r="Z35" s="258"/>
      <c r="AA35" s="258"/>
      <c r="AB35" s="258"/>
    </row>
    <row r="36" ht="12.75" customHeight="1">
      <c r="A36" s="287">
        <v>42928</v>
      </c>
      <c r="B36" s="288"/>
      <c r="C36" t="s" s="289">
        <v>169</v>
      </c>
      <c r="D36" t="s" s="283">
        <v>1167</v>
      </c>
      <c r="E36" s="284"/>
      <c r="F36" s="285"/>
      <c r="G36" s="284">
        <v>1200</v>
      </c>
      <c r="H36" s="286">
        <v>70</v>
      </c>
      <c r="I36" s="284" cm="1">
        <f t="array" ref="I36">G36/H36</f>
        <v>17.1428571428571</v>
      </c>
      <c r="J36" s="280"/>
      <c r="K36" s="281"/>
      <c r="L36" s="264"/>
      <c r="M36" s="258"/>
      <c r="N36" s="258"/>
      <c r="O36" s="258"/>
      <c r="P36" s="258"/>
      <c r="Q36" s="258"/>
      <c r="R36" s="258"/>
      <c r="S36" s="258"/>
      <c r="T36" s="258"/>
      <c r="U36" s="258"/>
      <c r="V36" s="258"/>
      <c r="W36" s="258"/>
      <c r="X36" s="258"/>
      <c r="Y36" s="258"/>
      <c r="Z36" s="258"/>
      <c r="AA36" s="258"/>
      <c r="AB36" s="258"/>
    </row>
    <row r="37" ht="12.75" customHeight="1">
      <c r="A37" s="290">
        <v>42950</v>
      </c>
      <c r="B37" s="275"/>
      <c r="C37" s="295"/>
      <c r="D37" t="s" s="276">
        <v>1173</v>
      </c>
      <c r="E37" s="277"/>
      <c r="F37" s="278"/>
      <c r="G37" s="277">
        <v>3140</v>
      </c>
      <c r="H37" s="279" cm="1">
        <f t="array" ref="H37">G37/I37</f>
        <v>172.527472527473</v>
      </c>
      <c r="I37" s="277">
        <v>18.2</v>
      </c>
      <c r="J37" s="280"/>
      <c r="K37" s="281"/>
      <c r="L37" s="264"/>
      <c r="M37" s="258"/>
      <c r="N37" s="258"/>
      <c r="O37" s="258"/>
      <c r="P37" s="258"/>
      <c r="Q37" s="258"/>
      <c r="R37" s="258"/>
      <c r="S37" s="258"/>
      <c r="T37" s="258"/>
      <c r="U37" s="258"/>
      <c r="V37" s="258"/>
      <c r="W37" s="258"/>
      <c r="X37" s="258"/>
      <c r="Y37" s="258"/>
      <c r="Z37" s="258"/>
      <c r="AA37" s="258"/>
      <c r="AB37" s="258"/>
    </row>
    <row r="38" ht="12.75" customHeight="1">
      <c r="A38" s="287">
        <v>42958</v>
      </c>
      <c r="B38" s="282"/>
      <c r="C38" t="s" s="259">
        <v>101</v>
      </c>
      <c r="D38" t="s" s="283">
        <v>1174</v>
      </c>
      <c r="E38" s="284"/>
      <c r="F38" s="285"/>
      <c r="G38" s="284">
        <v>200000</v>
      </c>
      <c r="H38" s="286">
        <v>10800</v>
      </c>
      <c r="I38" s="284" cm="1">
        <f t="array" ref="I38">G38/H38</f>
        <v>18.5185185185185</v>
      </c>
      <c r="J38" s="280"/>
      <c r="K38" s="281"/>
      <c r="L38" s="264"/>
      <c r="M38" s="258"/>
      <c r="N38" s="258"/>
      <c r="O38" s="258"/>
      <c r="P38" s="258"/>
      <c r="Q38" s="258"/>
      <c r="R38" s="258"/>
      <c r="S38" s="258"/>
      <c r="T38" s="258"/>
      <c r="U38" s="258"/>
      <c r="V38" s="258"/>
      <c r="W38" s="258"/>
      <c r="X38" s="258"/>
      <c r="Y38" s="258"/>
      <c r="Z38" s="258"/>
      <c r="AA38" s="258"/>
      <c r="AB38" s="258"/>
    </row>
    <row r="39" ht="12.75" customHeight="1">
      <c r="A39" s="290">
        <v>42962</v>
      </c>
      <c r="B39" s="275"/>
      <c r="C39" s="295"/>
      <c r="D39" t="s" s="276">
        <v>1175</v>
      </c>
      <c r="E39" s="277"/>
      <c r="F39" s="278"/>
      <c r="G39" s="277">
        <v>230</v>
      </c>
      <c r="H39" s="279" cm="1">
        <f t="array" ref="H39">G39/I39</f>
        <v>12.6721763085399</v>
      </c>
      <c r="I39" s="277">
        <v>18.15</v>
      </c>
      <c r="J39" s="280"/>
      <c r="K39" s="281"/>
      <c r="L39" s="264"/>
      <c r="M39" s="258"/>
      <c r="N39" s="258"/>
      <c r="O39" s="258"/>
      <c r="P39" s="258"/>
      <c r="Q39" s="258"/>
      <c r="R39" s="258"/>
      <c r="S39" s="258"/>
      <c r="T39" s="258"/>
      <c r="U39" s="258"/>
      <c r="V39" s="258"/>
      <c r="W39" s="258"/>
      <c r="X39" s="258"/>
      <c r="Y39" s="258"/>
      <c r="Z39" s="258"/>
      <c r="AA39" s="258"/>
      <c r="AB39" s="258"/>
    </row>
    <row r="40" ht="12.75" customHeight="1">
      <c r="A40" s="287">
        <v>42963</v>
      </c>
      <c r="B40" s="282"/>
      <c r="C40" s="294"/>
      <c r="D40" t="s" s="283">
        <v>1176</v>
      </c>
      <c r="E40" s="284"/>
      <c r="F40" s="285"/>
      <c r="G40" s="284">
        <v>1300</v>
      </c>
      <c r="H40" s="286" cm="1">
        <f t="array" ref="H40">G40/I40</f>
        <v>71.03825136612021</v>
      </c>
      <c r="I40" s="284">
        <v>18.3</v>
      </c>
      <c r="J40" s="280"/>
      <c r="K40" s="281"/>
      <c r="L40" s="264"/>
      <c r="M40" s="258"/>
      <c r="N40" s="258"/>
      <c r="O40" s="258"/>
      <c r="P40" s="258"/>
      <c r="Q40" s="258"/>
      <c r="R40" s="258"/>
      <c r="S40" s="258"/>
      <c r="T40" s="258"/>
      <c r="U40" s="258"/>
      <c r="V40" s="258"/>
      <c r="W40" s="258"/>
      <c r="X40" s="258"/>
      <c r="Y40" s="258"/>
      <c r="Z40" s="258"/>
      <c r="AA40" s="258"/>
      <c r="AB40" s="258"/>
    </row>
    <row r="41" ht="12.75" customHeight="1">
      <c r="A41" s="290">
        <v>42983</v>
      </c>
      <c r="B41" s="275"/>
      <c r="C41" t="s" s="274">
        <v>1177</v>
      </c>
      <c r="D41" t="s" s="296">
        <v>1178</v>
      </c>
      <c r="E41" s="297"/>
      <c r="F41" s="278"/>
      <c r="G41" s="277">
        <v>18000</v>
      </c>
      <c r="H41" s="279">
        <v>1000</v>
      </c>
      <c r="I41" s="277">
        <v>18</v>
      </c>
      <c r="J41" s="280"/>
      <c r="K41" s="281"/>
      <c r="L41" s="264"/>
      <c r="M41" s="258"/>
      <c r="N41" s="258"/>
      <c r="O41" s="258"/>
      <c r="P41" s="258"/>
      <c r="Q41" s="258"/>
      <c r="R41" s="258"/>
      <c r="S41" s="258"/>
      <c r="T41" s="258"/>
      <c r="U41" s="258"/>
      <c r="V41" s="258"/>
      <c r="W41" s="258"/>
      <c r="X41" s="258"/>
      <c r="Y41" s="258"/>
      <c r="Z41" s="258"/>
      <c r="AA41" s="258"/>
      <c r="AB41" s="258"/>
    </row>
    <row r="42" ht="12.75" customHeight="1">
      <c r="A42" s="287">
        <v>42997</v>
      </c>
      <c r="B42" s="282"/>
      <c r="C42" t="s" s="259">
        <v>101</v>
      </c>
      <c r="D42" t="s" s="283">
        <v>1179</v>
      </c>
      <c r="E42" s="284"/>
      <c r="F42" s="285"/>
      <c r="G42" s="284">
        <v>200000</v>
      </c>
      <c r="H42" s="286">
        <v>11050</v>
      </c>
      <c r="I42" s="284" cm="1">
        <f t="array" ref="I42">G42/H42</f>
        <v>18.0995475113122</v>
      </c>
      <c r="J42" s="280"/>
      <c r="K42" s="281"/>
      <c r="L42" s="264"/>
      <c r="M42" s="258"/>
      <c r="N42" s="258"/>
      <c r="O42" s="258"/>
      <c r="P42" s="258"/>
      <c r="Q42" s="258"/>
      <c r="R42" s="258"/>
      <c r="S42" s="258"/>
      <c r="T42" s="258"/>
      <c r="U42" s="258"/>
      <c r="V42" s="258"/>
      <c r="W42" s="258"/>
      <c r="X42" s="258"/>
      <c r="Y42" s="258"/>
      <c r="Z42" s="258"/>
      <c r="AA42" s="258"/>
      <c r="AB42" s="258"/>
    </row>
    <row r="43" ht="12.75" customHeight="1">
      <c r="A43" s="290">
        <v>43005</v>
      </c>
      <c r="B43" s="275"/>
      <c r="C43" s="295"/>
      <c r="D43" t="s" s="276">
        <v>1180</v>
      </c>
      <c r="E43" s="277"/>
      <c r="F43" s="278"/>
      <c r="G43" s="277">
        <v>2220</v>
      </c>
      <c r="H43" s="279" cm="1">
        <f t="array" ref="H43">G43/I43</f>
        <v>123.333333333333</v>
      </c>
      <c r="I43" s="277">
        <v>18</v>
      </c>
      <c r="J43" s="280"/>
      <c r="K43" s="281"/>
      <c r="L43" s="264"/>
      <c r="M43" s="258"/>
      <c r="N43" s="258"/>
      <c r="O43" s="258"/>
      <c r="P43" s="258"/>
      <c r="Q43" s="258"/>
      <c r="R43" s="258"/>
      <c r="S43" s="258"/>
      <c r="T43" s="258"/>
      <c r="U43" s="258"/>
      <c r="V43" s="258"/>
      <c r="W43" s="258"/>
      <c r="X43" s="258"/>
      <c r="Y43" s="258"/>
      <c r="Z43" s="258"/>
      <c r="AA43" s="258"/>
      <c r="AB43" s="258"/>
    </row>
    <row r="44" ht="12.75" customHeight="1">
      <c r="A44" s="287">
        <v>43018</v>
      </c>
      <c r="B44" s="282"/>
      <c r="C44" t="s" s="259">
        <v>101</v>
      </c>
      <c r="D44" t="s" s="283">
        <v>1181</v>
      </c>
      <c r="E44" s="284"/>
      <c r="F44" s="285"/>
      <c r="G44" s="284">
        <v>200000</v>
      </c>
      <c r="H44" s="286">
        <v>11436</v>
      </c>
      <c r="I44" s="284" cm="1">
        <f t="array" ref="I44">G44/H44</f>
        <v>17.4886323889472</v>
      </c>
      <c r="J44" s="280"/>
      <c r="K44" s="281"/>
      <c r="L44" s="264"/>
      <c r="M44" s="258"/>
      <c r="N44" s="258"/>
      <c r="O44" s="258"/>
      <c r="P44" s="258"/>
      <c r="Q44" s="258"/>
      <c r="R44" s="258"/>
      <c r="S44" s="258"/>
      <c r="T44" s="258"/>
      <c r="U44" s="258"/>
      <c r="V44" s="258"/>
      <c r="W44" s="258"/>
      <c r="X44" s="258"/>
      <c r="Y44" s="258"/>
      <c r="Z44" s="258"/>
      <c r="AA44" s="258"/>
      <c r="AB44" s="258"/>
    </row>
    <row r="45" ht="12.75" customHeight="1">
      <c r="A45" s="290">
        <v>43027</v>
      </c>
      <c r="B45" s="275"/>
      <c r="C45" t="s" s="274">
        <v>101</v>
      </c>
      <c r="D45" t="s" s="276">
        <v>1182</v>
      </c>
      <c r="E45" s="277"/>
      <c r="F45" s="278"/>
      <c r="G45" s="277">
        <v>532000</v>
      </c>
      <c r="H45" s="279">
        <v>31457</v>
      </c>
      <c r="I45" s="277" cm="1">
        <f t="array" ref="I45">G45/H45</f>
        <v>16.9119750770894</v>
      </c>
      <c r="J45" s="280"/>
      <c r="K45" s="281"/>
      <c r="L45" s="264"/>
      <c r="M45" s="258"/>
      <c r="N45" s="258"/>
      <c r="O45" s="258"/>
      <c r="P45" s="258"/>
      <c r="Q45" s="258"/>
      <c r="R45" s="258"/>
      <c r="S45" s="258"/>
      <c r="T45" s="258"/>
      <c r="U45" s="258"/>
      <c r="V45" s="258"/>
      <c r="W45" s="258"/>
      <c r="X45" s="258"/>
      <c r="Y45" s="258"/>
      <c r="Z45" s="258"/>
      <c r="AA45" s="258"/>
      <c r="AB45" s="258"/>
    </row>
    <row r="46" ht="12.75" customHeight="1">
      <c r="A46" s="287">
        <v>43041</v>
      </c>
      <c r="B46" s="282"/>
      <c r="C46" s="294"/>
      <c r="D46" t="s" s="283">
        <v>1180</v>
      </c>
      <c r="E46" s="284"/>
      <c r="F46" s="285"/>
      <c r="G46" s="284">
        <v>5387</v>
      </c>
      <c r="H46" s="286" cm="1">
        <f t="array" ref="H46">G46/I46</f>
        <v>299.277777777778</v>
      </c>
      <c r="I46" s="284">
        <v>18</v>
      </c>
      <c r="J46" s="280"/>
      <c r="K46" s="281"/>
      <c r="L46" s="264"/>
      <c r="M46" s="258"/>
      <c r="N46" s="258"/>
      <c r="O46" s="258"/>
      <c r="P46" s="258"/>
      <c r="Q46" s="258"/>
      <c r="R46" s="258"/>
      <c r="S46" s="258"/>
      <c r="T46" s="258"/>
      <c r="U46" s="258"/>
      <c r="V46" s="258"/>
      <c r="W46" s="258"/>
      <c r="X46" s="258"/>
      <c r="Y46" s="258"/>
      <c r="Z46" s="258"/>
      <c r="AA46" s="258"/>
      <c r="AB46" s="258"/>
    </row>
    <row r="47" ht="12.75" customHeight="1">
      <c r="A47" s="290">
        <v>43042</v>
      </c>
      <c r="B47" s="275"/>
      <c r="C47" t="s" s="274">
        <v>1177</v>
      </c>
      <c r="D47" t="s" s="276">
        <v>1183</v>
      </c>
      <c r="E47" s="277"/>
      <c r="F47" s="278"/>
      <c r="G47" s="277">
        <v>200000</v>
      </c>
      <c r="H47" s="279">
        <v>11100</v>
      </c>
      <c r="I47" s="277" cm="1">
        <f t="array" ref="I47">G47/H47</f>
        <v>18.018018018018</v>
      </c>
      <c r="J47" s="280"/>
      <c r="K47" s="281"/>
      <c r="L47" s="264"/>
      <c r="M47" s="258"/>
      <c r="N47" s="258"/>
      <c r="O47" s="258"/>
      <c r="P47" s="258"/>
      <c r="Q47" s="258"/>
      <c r="R47" s="258"/>
      <c r="S47" s="258"/>
      <c r="T47" s="258"/>
      <c r="U47" s="258"/>
      <c r="V47" s="258"/>
      <c r="W47" s="258"/>
      <c r="X47" s="258"/>
      <c r="Y47" s="258"/>
      <c r="Z47" s="258"/>
      <c r="AA47" s="258"/>
      <c r="AB47" s="258"/>
    </row>
    <row r="48" ht="12.75" customHeight="1">
      <c r="A48" s="287">
        <v>43049</v>
      </c>
      <c r="B48" s="282"/>
      <c r="C48" t="s" s="259">
        <v>101</v>
      </c>
      <c r="D48" t="s" s="283">
        <v>1184</v>
      </c>
      <c r="E48" s="284"/>
      <c r="F48" s="285"/>
      <c r="G48" s="284">
        <v>200000</v>
      </c>
      <c r="H48" s="286">
        <v>11200</v>
      </c>
      <c r="I48" s="284" cm="1">
        <f t="array" ref="I48">G48/H48</f>
        <v>17.8571428571429</v>
      </c>
      <c r="J48" s="280"/>
      <c r="K48" s="281"/>
      <c r="L48" s="264"/>
      <c r="M48" s="258"/>
      <c r="N48" s="258"/>
      <c r="O48" s="258"/>
      <c r="P48" s="258"/>
      <c r="Q48" s="258"/>
      <c r="R48" s="258"/>
      <c r="S48" s="258"/>
      <c r="T48" s="258"/>
      <c r="U48" s="258"/>
      <c r="V48" s="258"/>
      <c r="W48" s="258"/>
      <c r="X48" s="258"/>
      <c r="Y48" s="258"/>
      <c r="Z48" s="258"/>
      <c r="AA48" s="258"/>
      <c r="AB48" s="258"/>
    </row>
    <row r="49" ht="12.75" customHeight="1">
      <c r="A49" s="298">
        <v>43075</v>
      </c>
      <c r="B49" s="299"/>
      <c r="C49" t="s" s="300">
        <v>172</v>
      </c>
      <c r="D49" t="s" s="301">
        <v>173</v>
      </c>
      <c r="E49" s="302"/>
      <c r="F49" s="303"/>
      <c r="G49" s="304">
        <v>132000</v>
      </c>
      <c r="H49" s="305">
        <v>7000</v>
      </c>
      <c r="I49" s="304" cm="1">
        <f t="array" ref="I49">G49/H49</f>
        <v>18.8571428571429</v>
      </c>
      <c r="J49" t="s" s="306">
        <v>174</v>
      </c>
      <c r="K49" s="307"/>
      <c r="L49" s="308"/>
      <c r="M49" s="258"/>
      <c r="N49" s="258"/>
      <c r="O49" s="258"/>
      <c r="P49" s="258"/>
      <c r="Q49" s="258"/>
      <c r="R49" s="258"/>
      <c r="S49" s="258"/>
      <c r="T49" s="258"/>
      <c r="U49" s="258"/>
      <c r="V49" s="258"/>
      <c r="W49" s="258"/>
      <c r="X49" s="258"/>
      <c r="Y49" s="258"/>
      <c r="Z49" s="258"/>
      <c r="AA49" s="258"/>
      <c r="AB49" s="258"/>
    </row>
    <row r="50" ht="12.75" customHeight="1">
      <c r="A50" s="290">
        <v>43079</v>
      </c>
      <c r="B50" s="275"/>
      <c r="C50" t="s" s="274">
        <v>101</v>
      </c>
      <c r="D50" t="s" s="276">
        <v>1185</v>
      </c>
      <c r="E50" s="277"/>
      <c r="F50" s="278"/>
      <c r="G50" s="277">
        <v>200000</v>
      </c>
      <c r="H50" s="279">
        <v>11200</v>
      </c>
      <c r="I50" s="277" cm="1">
        <f t="array" ref="I50">G50/H50</f>
        <v>17.8571428571429</v>
      </c>
      <c r="J50" s="280"/>
      <c r="K50" s="281"/>
      <c r="L50" s="264"/>
      <c r="M50" s="258"/>
      <c r="N50" s="258"/>
      <c r="O50" s="258"/>
      <c r="P50" s="258"/>
      <c r="Q50" s="258"/>
      <c r="R50" s="258"/>
      <c r="S50" s="258"/>
      <c r="T50" s="258"/>
      <c r="U50" s="258"/>
      <c r="V50" s="258"/>
      <c r="W50" s="258"/>
      <c r="X50" s="258"/>
      <c r="Y50" s="258"/>
      <c r="Z50" s="258"/>
      <c r="AA50" s="258"/>
      <c r="AB50" s="258"/>
    </row>
    <row r="51" ht="12.75" customHeight="1">
      <c r="A51" s="287">
        <v>43081</v>
      </c>
      <c r="B51" s="282"/>
      <c r="C51" s="294"/>
      <c r="D51" t="s" s="283">
        <v>1180</v>
      </c>
      <c r="E51" s="284"/>
      <c r="F51" s="285"/>
      <c r="G51" s="284">
        <v>1911</v>
      </c>
      <c r="H51" s="286" cm="1">
        <f t="array" ref="H51">G51/I51</f>
        <v>106.166666666667</v>
      </c>
      <c r="I51" s="284">
        <v>18</v>
      </c>
      <c r="J51" s="280"/>
      <c r="K51" s="281"/>
      <c r="L51" s="264"/>
      <c r="M51" s="258"/>
      <c r="N51" s="258"/>
      <c r="O51" s="258"/>
      <c r="P51" s="258"/>
      <c r="Q51" s="258"/>
      <c r="R51" s="258"/>
      <c r="S51" s="258"/>
      <c r="T51" s="258"/>
      <c r="U51" s="258"/>
      <c r="V51" s="258"/>
      <c r="W51" s="258"/>
      <c r="X51" s="258"/>
      <c r="Y51" s="258"/>
      <c r="Z51" s="258"/>
      <c r="AA51" s="258"/>
      <c r="AB51" s="258"/>
    </row>
    <row r="52" ht="12.75" customHeight="1">
      <c r="A52" s="290">
        <v>43084</v>
      </c>
      <c r="B52" s="275"/>
      <c r="C52" s="295"/>
      <c r="D52" t="s" s="276">
        <v>1186</v>
      </c>
      <c r="E52" s="277"/>
      <c r="F52" s="278"/>
      <c r="G52" s="277">
        <v>7200</v>
      </c>
      <c r="H52" s="279" cm="1">
        <f t="array" ref="H52">G52/I52</f>
        <v>400</v>
      </c>
      <c r="I52" s="277">
        <v>18</v>
      </c>
      <c r="J52" s="280"/>
      <c r="K52" s="281"/>
      <c r="L52" s="264"/>
      <c r="M52" s="258"/>
      <c r="N52" s="258"/>
      <c r="O52" s="258"/>
      <c r="P52" s="258"/>
      <c r="Q52" s="258"/>
      <c r="R52" s="258"/>
      <c r="S52" s="258"/>
      <c r="T52" s="258"/>
      <c r="U52" s="258"/>
      <c r="V52" s="258"/>
      <c r="W52" s="258"/>
      <c r="X52" s="258"/>
      <c r="Y52" s="258"/>
      <c r="Z52" s="258"/>
      <c r="AA52" s="258"/>
      <c r="AB52" s="258"/>
    </row>
    <row r="53" ht="12.75" customHeight="1">
      <c r="A53" s="287">
        <v>43108</v>
      </c>
      <c r="B53" s="282"/>
      <c r="C53" s="294"/>
      <c r="D53" t="s" s="283">
        <v>1180</v>
      </c>
      <c r="E53" s="284"/>
      <c r="F53" s="285"/>
      <c r="G53" s="284">
        <v>2200</v>
      </c>
      <c r="H53" s="286" cm="1">
        <f t="array" ref="H53">G53/I53</f>
        <v>112.244897959184</v>
      </c>
      <c r="I53" s="284">
        <v>19.6</v>
      </c>
      <c r="J53" s="280"/>
      <c r="K53" s="281"/>
      <c r="L53" s="264"/>
      <c r="M53" s="258"/>
      <c r="N53" s="258"/>
      <c r="O53" s="258"/>
      <c r="P53" s="258"/>
      <c r="Q53" s="258"/>
      <c r="R53" s="258"/>
      <c r="S53" s="258"/>
      <c r="T53" s="258"/>
      <c r="U53" s="258"/>
      <c r="V53" s="258"/>
      <c r="W53" s="258"/>
      <c r="X53" s="258"/>
      <c r="Y53" s="258"/>
      <c r="Z53" s="258"/>
      <c r="AA53" s="258"/>
      <c r="AB53" s="258"/>
    </row>
    <row r="54" ht="12.75" customHeight="1">
      <c r="A54" s="290">
        <v>43122</v>
      </c>
      <c r="B54" s="275"/>
      <c r="C54" s="295"/>
      <c r="D54" t="s" s="276">
        <v>1187</v>
      </c>
      <c r="E54" s="277"/>
      <c r="F54" s="278"/>
      <c r="G54" s="277">
        <v>14000</v>
      </c>
      <c r="H54" s="279" cm="1">
        <f t="array" ref="H54">G54/I54</f>
        <v>703.517587939698</v>
      </c>
      <c r="I54" s="277">
        <v>19.9</v>
      </c>
      <c r="J54" s="280"/>
      <c r="K54" s="281"/>
      <c r="L54" s="264"/>
      <c r="M54" s="258"/>
      <c r="N54" s="258"/>
      <c r="O54" s="258"/>
      <c r="P54" s="258"/>
      <c r="Q54" s="258"/>
      <c r="R54" s="258"/>
      <c r="S54" s="258"/>
      <c r="T54" s="258"/>
      <c r="U54" s="258"/>
      <c r="V54" s="258"/>
      <c r="W54" s="258"/>
      <c r="X54" s="258"/>
      <c r="Y54" s="258"/>
      <c r="Z54" s="258"/>
      <c r="AA54" s="258"/>
      <c r="AB54" s="258"/>
    </row>
    <row r="55" ht="12.75" customHeight="1">
      <c r="A55" s="287">
        <v>43134</v>
      </c>
      <c r="B55" s="282"/>
      <c r="C55" t="s" s="259">
        <v>198</v>
      </c>
      <c r="D55" t="s" s="283">
        <v>1188</v>
      </c>
      <c r="E55" s="284"/>
      <c r="F55" s="285"/>
      <c r="G55" s="284">
        <v>7714</v>
      </c>
      <c r="H55" s="286" cm="1">
        <f t="array" ref="H55">G55/I55</f>
        <v>385.7</v>
      </c>
      <c r="I55" s="284">
        <v>20</v>
      </c>
      <c r="J55" s="280"/>
      <c r="K55" s="281"/>
      <c r="L55" s="264"/>
      <c r="M55" s="258"/>
      <c r="N55" s="258"/>
      <c r="O55" s="258"/>
      <c r="P55" s="258"/>
      <c r="Q55" s="258"/>
      <c r="R55" s="258"/>
      <c r="S55" s="258"/>
      <c r="T55" s="258"/>
      <c r="U55" s="258"/>
      <c r="V55" s="258"/>
      <c r="W55" s="258"/>
      <c r="X55" s="258"/>
      <c r="Y55" s="258"/>
      <c r="Z55" s="258"/>
      <c r="AA55" s="258"/>
      <c r="AB55" s="258"/>
    </row>
    <row r="56" ht="12.75" customHeight="1">
      <c r="A56" s="287">
        <v>43134</v>
      </c>
      <c r="B56" s="282"/>
      <c r="C56" t="s" s="259">
        <v>1189</v>
      </c>
      <c r="D56" t="s" s="283">
        <v>1190</v>
      </c>
      <c r="E56" s="284"/>
      <c r="F56" s="285"/>
      <c r="G56" s="284">
        <v>7392</v>
      </c>
      <c r="H56" s="286" cm="1">
        <f t="array" ref="H56">G56/I56</f>
        <v>369.6</v>
      </c>
      <c r="I56" s="284" cm="1">
        <f t="array" ref="I56">I55</f>
        <v>20</v>
      </c>
      <c r="J56" s="280"/>
      <c r="K56" s="281"/>
      <c r="L56" s="264"/>
      <c r="M56" s="258"/>
      <c r="N56" s="258"/>
      <c r="O56" s="258"/>
      <c r="P56" s="258"/>
      <c r="Q56" s="258"/>
      <c r="R56" s="258"/>
      <c r="S56" s="258"/>
      <c r="T56" s="258"/>
      <c r="U56" s="258"/>
      <c r="V56" s="258"/>
      <c r="W56" s="258"/>
      <c r="X56" s="258"/>
      <c r="Y56" s="258"/>
      <c r="Z56" s="258"/>
      <c r="AA56" s="258"/>
      <c r="AB56" s="258"/>
    </row>
    <row r="57" ht="12.75" customHeight="1">
      <c r="A57" t="s" s="300">
        <v>1191</v>
      </c>
      <c r="B57" s="309"/>
      <c r="C57" t="s" s="310">
        <v>1146</v>
      </c>
      <c r="D57" t="s" s="301">
        <v>1192</v>
      </c>
      <c r="E57" s="302"/>
      <c r="F57" s="303"/>
      <c r="G57" s="304">
        <v>100000</v>
      </c>
      <c r="H57" s="305">
        <v>5000</v>
      </c>
      <c r="I57" s="304">
        <v>20</v>
      </c>
      <c r="J57" t="s" s="306">
        <v>177</v>
      </c>
      <c r="K57" s="307"/>
      <c r="L57" s="308"/>
      <c r="M57" s="258"/>
      <c r="N57" s="258"/>
      <c r="O57" s="258"/>
      <c r="P57" s="258"/>
      <c r="Q57" s="258"/>
      <c r="R57" s="258"/>
      <c r="S57" s="258"/>
      <c r="T57" s="258"/>
      <c r="U57" s="258"/>
      <c r="V57" s="258"/>
      <c r="W57" s="258"/>
      <c r="X57" s="258"/>
      <c r="Y57" s="258"/>
      <c r="Z57" s="258"/>
      <c r="AA57" s="258"/>
      <c r="AB57" s="258"/>
    </row>
    <row r="58" ht="12.75" customHeight="1">
      <c r="A58" s="290">
        <v>43137</v>
      </c>
      <c r="B58" s="275"/>
      <c r="C58" s="295"/>
      <c r="D58" t="s" s="276">
        <v>1180</v>
      </c>
      <c r="E58" s="277"/>
      <c r="F58" s="278"/>
      <c r="G58" s="277">
        <v>1500</v>
      </c>
      <c r="H58" s="279" cm="1">
        <f t="array" ref="H58">G58/I58</f>
        <v>75.37688442211061</v>
      </c>
      <c r="I58" s="277">
        <v>19.9</v>
      </c>
      <c r="J58" s="280"/>
      <c r="K58" s="281"/>
      <c r="L58" s="264"/>
      <c r="M58" s="258"/>
      <c r="N58" s="258"/>
      <c r="O58" s="258"/>
      <c r="P58" s="258"/>
      <c r="Q58" s="258"/>
      <c r="R58" s="258"/>
      <c r="S58" s="258"/>
      <c r="T58" s="258"/>
      <c r="U58" s="258"/>
      <c r="V58" s="258"/>
      <c r="W58" s="258"/>
      <c r="X58" s="258"/>
      <c r="Y58" s="258"/>
      <c r="Z58" s="258"/>
      <c r="AA58" s="258"/>
      <c r="AB58" s="258"/>
    </row>
    <row r="59" ht="12.75" customHeight="1">
      <c r="A59" s="287">
        <v>43158</v>
      </c>
      <c r="B59" s="282"/>
      <c r="C59" t="s" s="259">
        <v>1193</v>
      </c>
      <c r="D59" t="s" s="283">
        <v>1194</v>
      </c>
      <c r="E59" s="284"/>
      <c r="F59" s="285"/>
      <c r="G59" s="284">
        <v>55000</v>
      </c>
      <c r="H59" s="286" cm="1">
        <f t="array" ref="H59">G59/I59</f>
        <v>2763.819095477390</v>
      </c>
      <c r="I59" s="284">
        <v>19.9</v>
      </c>
      <c r="J59" s="280"/>
      <c r="K59" s="281"/>
      <c r="L59" s="264"/>
      <c r="M59" s="258"/>
      <c r="N59" s="258"/>
      <c r="O59" s="258"/>
      <c r="P59" s="258"/>
      <c r="Q59" s="258"/>
      <c r="R59" s="258"/>
      <c r="S59" s="258"/>
      <c r="T59" s="258"/>
      <c r="U59" s="258"/>
      <c r="V59" s="258"/>
      <c r="W59" s="258"/>
      <c r="X59" s="258"/>
      <c r="Y59" s="258"/>
      <c r="Z59" s="258"/>
      <c r="AA59" s="258"/>
      <c r="AB59" s="258"/>
    </row>
    <row r="60" ht="12.75" customHeight="1">
      <c r="A60" s="290">
        <v>43181</v>
      </c>
      <c r="B60" s="275"/>
      <c r="C60" t="s" s="274">
        <v>101</v>
      </c>
      <c r="D60" t="s" s="276">
        <v>168</v>
      </c>
      <c r="E60" s="277"/>
      <c r="F60" s="278"/>
      <c r="G60" s="277">
        <v>200000</v>
      </c>
      <c r="H60" s="279">
        <v>9615</v>
      </c>
      <c r="I60" s="277" cm="1">
        <f t="array" ref="I60">G60/H60</f>
        <v>20.8008320332813</v>
      </c>
      <c r="J60" s="280"/>
      <c r="K60" s="281"/>
      <c r="L60" s="264"/>
      <c r="M60" s="258"/>
      <c r="N60" s="258"/>
      <c r="O60" s="258"/>
      <c r="P60" s="258"/>
      <c r="Q60" s="258"/>
      <c r="R60" s="258"/>
      <c r="S60" s="258"/>
      <c r="T60" s="258"/>
      <c r="U60" s="258"/>
      <c r="V60" s="258"/>
      <c r="W60" s="258"/>
      <c r="X60" s="258"/>
      <c r="Y60" s="258"/>
      <c r="Z60" s="258"/>
      <c r="AA60" s="258"/>
      <c r="AB60" s="258"/>
    </row>
    <row r="61" ht="12.75" customHeight="1">
      <c r="A61" s="287">
        <v>43181</v>
      </c>
      <c r="B61" s="282"/>
      <c r="C61" t="s" s="259">
        <v>1170</v>
      </c>
      <c r="D61" t="s" s="283">
        <v>1195</v>
      </c>
      <c r="E61" s="284"/>
      <c r="F61" s="285"/>
      <c r="G61" s="284">
        <v>12321</v>
      </c>
      <c r="H61" s="286">
        <v>592</v>
      </c>
      <c r="I61" s="284" cm="1">
        <f t="array" ref="I61">G61/H61</f>
        <v>20.8125</v>
      </c>
      <c r="J61" s="280"/>
      <c r="K61" s="281"/>
      <c r="L61" s="264"/>
      <c r="M61" s="258"/>
      <c r="N61" s="258"/>
      <c r="O61" s="258"/>
      <c r="P61" s="258"/>
      <c r="Q61" s="258"/>
      <c r="R61" s="258"/>
      <c r="S61" s="258"/>
      <c r="T61" s="258"/>
      <c r="U61" s="258"/>
      <c r="V61" s="258"/>
      <c r="W61" s="258"/>
      <c r="X61" s="258"/>
      <c r="Y61" s="258"/>
      <c r="Z61" s="258"/>
      <c r="AA61" s="258"/>
      <c r="AB61" s="258"/>
    </row>
    <row r="62" ht="12.75" customHeight="1">
      <c r="A62" s="290">
        <v>43182</v>
      </c>
      <c r="B62" s="275"/>
      <c r="C62" t="s" s="274">
        <v>1171</v>
      </c>
      <c r="D62" t="s" s="276">
        <v>1196</v>
      </c>
      <c r="E62" s="277"/>
      <c r="F62" s="278"/>
      <c r="G62" s="277">
        <v>18500</v>
      </c>
      <c r="H62" s="279">
        <v>907</v>
      </c>
      <c r="I62" s="277" cm="1">
        <f t="array" ref="I62">G62/H62</f>
        <v>20.3969128996692</v>
      </c>
      <c r="J62" s="280"/>
      <c r="K62" s="281"/>
      <c r="L62" s="264"/>
      <c r="M62" s="258"/>
      <c r="N62" s="258"/>
      <c r="O62" s="258"/>
      <c r="P62" s="258"/>
      <c r="Q62" s="258"/>
      <c r="R62" s="258"/>
      <c r="S62" s="258"/>
      <c r="T62" s="258"/>
      <c r="U62" s="258"/>
      <c r="V62" s="258"/>
      <c r="W62" s="258"/>
      <c r="X62" s="258"/>
      <c r="Y62" s="258"/>
      <c r="Z62" s="258"/>
      <c r="AA62" s="258"/>
      <c r="AB62" s="258"/>
    </row>
    <row r="63" ht="12.75" customHeight="1">
      <c r="A63" s="287">
        <v>43199</v>
      </c>
      <c r="B63" s="282"/>
      <c r="C63" t="s" s="259">
        <v>101</v>
      </c>
      <c r="D63" t="s" s="283">
        <v>168</v>
      </c>
      <c r="E63" s="284"/>
      <c r="F63" s="285"/>
      <c r="G63" s="284">
        <v>140000</v>
      </c>
      <c r="H63" s="286">
        <v>6760</v>
      </c>
      <c r="I63" s="284" cm="1">
        <f t="array" ref="I63">G63/H63</f>
        <v>20.7100591715976</v>
      </c>
      <c r="J63" s="280"/>
      <c r="K63" s="281"/>
      <c r="L63" s="264"/>
      <c r="M63" s="258"/>
      <c r="N63" s="258"/>
      <c r="O63" s="258"/>
      <c r="P63" s="258"/>
      <c r="Q63" s="258"/>
      <c r="R63" s="258"/>
      <c r="S63" s="258"/>
      <c r="T63" s="258"/>
      <c r="U63" s="258"/>
      <c r="V63" s="258"/>
      <c r="W63" s="258"/>
      <c r="X63" s="258"/>
      <c r="Y63" s="258"/>
      <c r="Z63" s="258"/>
      <c r="AA63" s="258"/>
      <c r="AB63" s="258"/>
    </row>
    <row r="64" ht="12.75" customHeight="1">
      <c r="A64" s="290">
        <v>43206</v>
      </c>
      <c r="B64" s="275"/>
      <c r="C64" s="295"/>
      <c r="D64" t="s" s="276">
        <v>178</v>
      </c>
      <c r="E64" s="277"/>
      <c r="F64" s="278"/>
      <c r="G64" s="277">
        <v>550</v>
      </c>
      <c r="H64" s="279" cm="1">
        <f t="array" ref="H64">G64/I64</f>
        <v>26.5700483091787</v>
      </c>
      <c r="I64" s="277">
        <v>20.7</v>
      </c>
      <c r="J64" s="280"/>
      <c r="K64" s="281"/>
      <c r="L64" s="264"/>
      <c r="M64" s="258"/>
      <c r="N64" s="258"/>
      <c r="O64" s="258"/>
      <c r="P64" s="258"/>
      <c r="Q64" s="258"/>
      <c r="R64" s="258"/>
      <c r="S64" s="258"/>
      <c r="T64" s="258"/>
      <c r="U64" s="258"/>
      <c r="V64" s="258"/>
      <c r="W64" s="258"/>
      <c r="X64" s="258"/>
      <c r="Y64" s="258"/>
      <c r="Z64" s="258"/>
      <c r="AA64" s="258"/>
      <c r="AB64" s="258"/>
    </row>
    <row r="65" ht="12.75" customHeight="1">
      <c r="A65" s="287">
        <v>43215</v>
      </c>
      <c r="B65" s="282"/>
      <c r="C65" t="s" s="259">
        <v>101</v>
      </c>
      <c r="D65" t="s" s="283">
        <v>1197</v>
      </c>
      <c r="E65" s="284"/>
      <c r="F65" s="285"/>
      <c r="G65" s="284">
        <v>60000</v>
      </c>
      <c r="H65" s="286">
        <v>2927</v>
      </c>
      <c r="I65" s="284" cm="1">
        <f t="array" ref="I65">G65/H65</f>
        <v>20.4988042364195</v>
      </c>
      <c r="J65" s="280"/>
      <c r="K65" s="281"/>
      <c r="L65" s="264"/>
      <c r="M65" s="258"/>
      <c r="N65" s="258"/>
      <c r="O65" s="258"/>
      <c r="P65" s="258"/>
      <c r="Q65" s="258"/>
      <c r="R65" s="258"/>
      <c r="S65" s="258"/>
      <c r="T65" s="258"/>
      <c r="U65" s="258"/>
      <c r="V65" s="258"/>
      <c r="W65" s="258"/>
      <c r="X65" s="258"/>
      <c r="Y65" s="258"/>
      <c r="Z65" s="258"/>
      <c r="AA65" s="258"/>
      <c r="AB65" s="258"/>
    </row>
    <row r="66" ht="12.75" customHeight="1">
      <c r="A66" s="290">
        <v>43215</v>
      </c>
      <c r="B66" s="275"/>
      <c r="C66" t="s" s="274">
        <v>101</v>
      </c>
      <c r="D66" t="s" s="276">
        <v>1198</v>
      </c>
      <c r="E66" s="277"/>
      <c r="F66" s="278"/>
      <c r="G66" s="277">
        <v>150000</v>
      </c>
      <c r="H66" s="279">
        <v>7073</v>
      </c>
      <c r="I66" s="277" cm="1">
        <f t="array" ref="I66">G66/H66</f>
        <v>21.2074084546868</v>
      </c>
      <c r="J66" s="280"/>
      <c r="K66" s="281"/>
      <c r="L66" s="264"/>
      <c r="M66" s="258"/>
      <c r="N66" s="258"/>
      <c r="O66" s="258"/>
      <c r="P66" s="258"/>
      <c r="Q66" s="258"/>
      <c r="R66" s="258"/>
      <c r="S66" s="258"/>
      <c r="T66" s="258"/>
      <c r="U66" s="258"/>
      <c r="V66" s="258"/>
      <c r="W66" s="258"/>
      <c r="X66" s="258"/>
      <c r="Y66" s="258"/>
      <c r="Z66" s="258"/>
      <c r="AA66" s="258"/>
      <c r="AB66" s="258"/>
    </row>
    <row r="67" ht="12.75" customHeight="1">
      <c r="A67" s="287">
        <v>43231</v>
      </c>
      <c r="B67" s="282"/>
      <c r="C67" t="s" s="259">
        <v>185</v>
      </c>
      <c r="D67" t="s" s="283">
        <v>1199</v>
      </c>
      <c r="E67" s="284"/>
      <c r="F67" s="285"/>
      <c r="G67" s="284">
        <v>3668</v>
      </c>
      <c r="H67" s="286">
        <v>158</v>
      </c>
      <c r="I67" s="284" cm="1">
        <f t="array" ref="I67">G67/H67</f>
        <v>23.2151898734177</v>
      </c>
      <c r="J67" s="280"/>
      <c r="K67" s="281"/>
      <c r="L67" s="264"/>
      <c r="M67" s="258"/>
      <c r="N67" s="258"/>
      <c r="O67" s="258"/>
      <c r="P67" s="258"/>
      <c r="Q67" s="258"/>
      <c r="R67" s="258"/>
      <c r="S67" s="258"/>
      <c r="T67" s="258"/>
      <c r="U67" s="258"/>
      <c r="V67" s="258"/>
      <c r="W67" s="258"/>
      <c r="X67" s="258"/>
      <c r="Y67" s="258"/>
      <c r="Z67" s="258"/>
      <c r="AA67" s="258"/>
      <c r="AB67" s="258"/>
    </row>
    <row r="68" ht="12.75" customHeight="1">
      <c r="A68" s="290">
        <v>43238</v>
      </c>
      <c r="B68" s="275"/>
      <c r="C68" t="s" s="274">
        <v>101</v>
      </c>
      <c r="D68" t="s" s="276">
        <v>1200</v>
      </c>
      <c r="E68" s="277"/>
      <c r="F68" s="278"/>
      <c r="G68" s="277">
        <v>150000</v>
      </c>
      <c r="H68" s="279">
        <v>6000</v>
      </c>
      <c r="I68" s="277" cm="1">
        <f t="array" ref="I68">G68/H68</f>
        <v>25</v>
      </c>
      <c r="J68" s="280"/>
      <c r="K68" s="281"/>
      <c r="L68" s="264"/>
      <c r="M68" s="258"/>
      <c r="N68" s="258"/>
      <c r="O68" s="258"/>
      <c r="P68" s="258"/>
      <c r="Q68" s="258"/>
      <c r="R68" s="258"/>
      <c r="S68" s="258"/>
      <c r="T68" s="258"/>
      <c r="U68" s="258"/>
      <c r="V68" s="258"/>
      <c r="W68" s="258"/>
      <c r="X68" s="258"/>
      <c r="Y68" s="258"/>
      <c r="Z68" s="258"/>
      <c r="AA68" s="258"/>
      <c r="AB68" s="258"/>
    </row>
    <row r="69" ht="12.75" customHeight="1">
      <c r="A69" s="287">
        <v>43266</v>
      </c>
      <c r="B69" s="282"/>
      <c r="C69" s="294"/>
      <c r="D69" t="s" s="283">
        <v>1180</v>
      </c>
      <c r="E69" s="284"/>
      <c r="F69" s="285"/>
      <c r="G69" s="284">
        <v>2090</v>
      </c>
      <c r="H69" s="286" cm="1">
        <f t="array" ref="H69">G69/I69</f>
        <v>74.6428571428571</v>
      </c>
      <c r="I69" s="284">
        <v>28</v>
      </c>
      <c r="J69" s="280"/>
      <c r="K69" s="281"/>
      <c r="L69" s="264"/>
      <c r="M69" s="258"/>
      <c r="N69" s="258"/>
      <c r="O69" s="258"/>
      <c r="P69" s="258"/>
      <c r="Q69" s="258"/>
      <c r="R69" s="258"/>
      <c r="S69" s="258"/>
      <c r="T69" s="258"/>
      <c r="U69" s="258"/>
      <c r="V69" s="258"/>
      <c r="W69" s="258"/>
      <c r="X69" s="258"/>
      <c r="Y69" s="258"/>
      <c r="Z69" s="258"/>
      <c r="AA69" s="258"/>
      <c r="AB69" s="258"/>
    </row>
    <row r="70" ht="12.75" customHeight="1">
      <c r="A70" s="290">
        <v>43270</v>
      </c>
      <c r="B70" s="275"/>
      <c r="C70" t="s" s="259">
        <v>185</v>
      </c>
      <c r="D70" t="s" s="276">
        <v>1201</v>
      </c>
      <c r="E70" s="277"/>
      <c r="F70" s="278"/>
      <c r="G70" s="277">
        <v>20000</v>
      </c>
      <c r="H70" s="279" cm="1">
        <f t="array" ref="H70">G70/I70</f>
        <v>714.285714285714</v>
      </c>
      <c r="I70" s="277" cm="1">
        <f t="array" ref="I70">I69</f>
        <v>28</v>
      </c>
      <c r="J70" s="280"/>
      <c r="K70" s="281"/>
      <c r="L70" s="264"/>
      <c r="M70" s="258"/>
      <c r="N70" s="258"/>
      <c r="O70" s="258"/>
      <c r="P70" s="258"/>
      <c r="Q70" s="258"/>
      <c r="R70" s="258"/>
      <c r="S70" s="258"/>
      <c r="T70" s="258"/>
      <c r="U70" s="258"/>
      <c r="V70" s="258"/>
      <c r="W70" s="258"/>
      <c r="X70" s="258"/>
      <c r="Y70" s="258"/>
      <c r="Z70" s="258"/>
      <c r="AA70" s="258"/>
      <c r="AB70" s="258"/>
    </row>
    <row r="71" ht="12.75" customHeight="1">
      <c r="A71" s="287">
        <v>43298</v>
      </c>
      <c r="B71" s="282"/>
      <c r="C71" s="294"/>
      <c r="D71" t="s" s="283">
        <v>1202</v>
      </c>
      <c r="E71" s="284"/>
      <c r="F71" s="285"/>
      <c r="G71" s="284">
        <v>45000</v>
      </c>
      <c r="H71" s="286">
        <v>1600</v>
      </c>
      <c r="I71" s="284" cm="1">
        <f t="array" ref="I71">G71/H71</f>
        <v>28.125</v>
      </c>
      <c r="J71" s="280"/>
      <c r="K71" s="281"/>
      <c r="L71" s="264"/>
      <c r="M71" s="258"/>
      <c r="N71" s="258"/>
      <c r="O71" s="258"/>
      <c r="P71" s="258"/>
      <c r="Q71" s="258"/>
      <c r="R71" s="258"/>
      <c r="S71" s="258"/>
      <c r="T71" s="258"/>
      <c r="U71" s="258"/>
      <c r="V71" s="258"/>
      <c r="W71" s="258"/>
      <c r="X71" s="258"/>
      <c r="Y71" s="258"/>
      <c r="Z71" s="258"/>
      <c r="AA71" s="258"/>
      <c r="AB71" s="258"/>
    </row>
    <row r="72" ht="12.75" customHeight="1">
      <c r="A72" s="290">
        <v>43298</v>
      </c>
      <c r="B72" s="275"/>
      <c r="C72" t="s" s="274">
        <v>101</v>
      </c>
      <c r="D72" t="s" s="276">
        <v>1203</v>
      </c>
      <c r="E72" s="277"/>
      <c r="F72" s="278"/>
      <c r="G72" s="277">
        <v>150000</v>
      </c>
      <c r="H72" s="279">
        <v>5270</v>
      </c>
      <c r="I72" s="277">
        <v>28.5</v>
      </c>
      <c r="J72" s="280"/>
      <c r="K72" s="281"/>
      <c r="L72" s="264"/>
      <c r="M72" s="258"/>
      <c r="N72" s="258"/>
      <c r="O72" s="258"/>
      <c r="P72" s="258"/>
      <c r="Q72" s="258"/>
      <c r="R72" s="258"/>
      <c r="S72" s="258"/>
      <c r="T72" s="258"/>
      <c r="U72" s="258"/>
      <c r="V72" s="258"/>
      <c r="W72" s="258"/>
      <c r="X72" s="258"/>
      <c r="Y72" s="258"/>
      <c r="Z72" s="258"/>
      <c r="AA72" s="258"/>
      <c r="AB72" s="258"/>
    </row>
    <row r="73" ht="12.75" customHeight="1">
      <c r="A73" s="287">
        <v>43312</v>
      </c>
      <c r="B73" s="282"/>
      <c r="C73" t="s" s="259">
        <v>169</v>
      </c>
      <c r="D73" t="s" s="283">
        <v>1204</v>
      </c>
      <c r="E73" s="284"/>
      <c r="F73" s="285"/>
      <c r="G73" s="284">
        <v>31000</v>
      </c>
      <c r="H73" s="286">
        <v>1100</v>
      </c>
      <c r="I73" s="284" cm="1">
        <f t="array" ref="I73">I72</f>
        <v>28.5</v>
      </c>
      <c r="J73" s="280"/>
      <c r="K73" s="281"/>
      <c r="L73" s="264"/>
      <c r="M73" s="258"/>
      <c r="N73" s="258"/>
      <c r="O73" s="258"/>
      <c r="P73" s="258"/>
      <c r="Q73" s="258"/>
      <c r="R73" s="258"/>
      <c r="S73" s="258"/>
      <c r="T73" s="258"/>
      <c r="U73" s="258"/>
      <c r="V73" s="258"/>
      <c r="W73" s="258"/>
      <c r="X73" s="258"/>
      <c r="Y73" s="258"/>
      <c r="Z73" s="258"/>
      <c r="AA73" s="258"/>
      <c r="AB73" s="258"/>
    </row>
    <row r="74" ht="12.75" customHeight="1">
      <c r="A74" s="290">
        <v>43326</v>
      </c>
      <c r="B74" s="275"/>
      <c r="C74" t="s" s="274">
        <v>255</v>
      </c>
      <c r="D74" t="s" s="276">
        <v>1205</v>
      </c>
      <c r="E74" s="277"/>
      <c r="F74" s="278"/>
      <c r="G74" s="277">
        <v>940</v>
      </c>
      <c r="H74" s="279">
        <v>32</v>
      </c>
      <c r="I74" s="277" cm="1">
        <f t="array" ref="I74">G74/H74</f>
        <v>29.375</v>
      </c>
      <c r="J74" s="280"/>
      <c r="K74" s="281"/>
      <c r="L74" s="264"/>
      <c r="M74" s="258"/>
      <c r="N74" s="258"/>
      <c r="O74" s="258"/>
      <c r="P74" s="258"/>
      <c r="Q74" s="258"/>
      <c r="R74" s="258"/>
      <c r="S74" s="258"/>
      <c r="T74" s="258"/>
      <c r="U74" s="258"/>
      <c r="V74" s="258"/>
      <c r="W74" s="258"/>
      <c r="X74" s="258"/>
      <c r="Y74" s="258"/>
      <c r="Z74" s="258"/>
      <c r="AA74" s="258"/>
      <c r="AB74" s="258"/>
    </row>
    <row r="75" ht="12.75" customHeight="1">
      <c r="A75" s="287">
        <v>43327</v>
      </c>
      <c r="B75" s="282"/>
      <c r="C75" t="s" s="259">
        <v>101</v>
      </c>
      <c r="D75" t="s" s="283">
        <v>1206</v>
      </c>
      <c r="E75" s="284"/>
      <c r="F75" s="285"/>
      <c r="G75" s="284">
        <v>150000</v>
      </c>
      <c r="H75" s="286" cm="1">
        <f t="array" ref="H75">G75/I75</f>
        <v>5084.745762711860</v>
      </c>
      <c r="I75" s="284">
        <v>29.5</v>
      </c>
      <c r="J75" s="280"/>
      <c r="K75" s="281"/>
      <c r="L75" s="264"/>
      <c r="M75" s="258"/>
      <c r="N75" s="258"/>
      <c r="O75" s="258"/>
      <c r="P75" s="258"/>
      <c r="Q75" s="258"/>
      <c r="R75" s="258"/>
      <c r="S75" s="258"/>
      <c r="T75" s="258"/>
      <c r="U75" s="258"/>
      <c r="V75" s="258"/>
      <c r="W75" s="258"/>
      <c r="X75" s="258"/>
      <c r="Y75" s="258"/>
      <c r="Z75" s="258"/>
      <c r="AA75" s="258"/>
      <c r="AB75" s="258"/>
    </row>
    <row r="76" ht="12.75" customHeight="1">
      <c r="A76" s="290">
        <v>43335</v>
      </c>
      <c r="B76" s="275"/>
      <c r="C76" s="295"/>
      <c r="D76" t="s" s="276">
        <v>1207</v>
      </c>
      <c r="E76" s="277"/>
      <c r="F76" s="278"/>
      <c r="G76" s="277">
        <v>810</v>
      </c>
      <c r="H76" s="279">
        <v>27</v>
      </c>
      <c r="I76" s="277" cm="1">
        <f t="array" ref="I76">G76/H76</f>
        <v>30</v>
      </c>
      <c r="J76" s="280"/>
      <c r="K76" s="281"/>
      <c r="L76" s="264"/>
      <c r="M76" s="258"/>
      <c r="N76" s="258"/>
      <c r="O76" s="258"/>
      <c r="P76" s="258"/>
      <c r="Q76" s="258"/>
      <c r="R76" s="258"/>
      <c r="S76" s="258"/>
      <c r="T76" s="258"/>
      <c r="U76" s="258"/>
      <c r="V76" s="258"/>
      <c r="W76" s="258"/>
      <c r="X76" s="258"/>
      <c r="Y76" s="258"/>
      <c r="Z76" s="258"/>
      <c r="AA76" s="258"/>
      <c r="AB76" s="258"/>
    </row>
    <row r="77" ht="12.75" customHeight="1">
      <c r="A77" s="287">
        <v>43708</v>
      </c>
      <c r="B77" s="282"/>
      <c r="C77" t="s" s="259">
        <v>169</v>
      </c>
      <c r="D77" t="s" s="283">
        <v>1208</v>
      </c>
      <c r="E77" s="284"/>
      <c r="F77" s="285"/>
      <c r="G77" s="284">
        <v>40000</v>
      </c>
      <c r="H77" s="286">
        <v>1100</v>
      </c>
      <c r="I77" s="284" cm="1">
        <f t="array" ref="I77">G77/H77</f>
        <v>36.3636363636364</v>
      </c>
      <c r="J77" s="280"/>
      <c r="K77" s="281"/>
      <c r="L77" s="264"/>
      <c r="M77" s="258"/>
      <c r="N77" s="258"/>
      <c r="O77" s="258"/>
      <c r="P77" s="258"/>
      <c r="Q77" s="258"/>
      <c r="R77" s="258"/>
      <c r="S77" s="258"/>
      <c r="T77" s="258"/>
      <c r="U77" s="258"/>
      <c r="V77" s="258"/>
      <c r="W77" s="258"/>
      <c r="X77" s="258"/>
      <c r="Y77" s="258"/>
      <c r="Z77" s="258"/>
      <c r="AA77" s="258"/>
      <c r="AB77" s="258"/>
    </row>
    <row r="78" ht="12.75" customHeight="1">
      <c r="A78" s="290">
        <v>43348</v>
      </c>
      <c r="B78" s="275"/>
      <c r="C78" t="s" s="274">
        <v>1171</v>
      </c>
      <c r="D78" t="s" s="276">
        <v>1209</v>
      </c>
      <c r="E78" s="277"/>
      <c r="F78" s="278"/>
      <c r="G78" s="277">
        <v>76458</v>
      </c>
      <c r="H78" s="279">
        <v>1920</v>
      </c>
      <c r="I78" s="277" cm="1">
        <f t="array" ref="I78">G78/H78</f>
        <v>39.821875</v>
      </c>
      <c r="J78" s="280"/>
      <c r="K78" s="281"/>
      <c r="L78" s="264"/>
      <c r="M78" s="258"/>
      <c r="N78" s="258"/>
      <c r="O78" s="258"/>
      <c r="P78" s="258"/>
      <c r="Q78" s="258"/>
      <c r="R78" s="258"/>
      <c r="S78" s="258"/>
      <c r="T78" s="258"/>
      <c r="U78" s="258"/>
      <c r="V78" s="258"/>
      <c r="W78" s="258"/>
      <c r="X78" s="258"/>
      <c r="Y78" s="258"/>
      <c r="Z78" s="258"/>
      <c r="AA78" s="258"/>
      <c r="AB78" s="258"/>
    </row>
    <row r="79" ht="12.75" customHeight="1">
      <c r="A79" s="287">
        <v>43348</v>
      </c>
      <c r="B79" s="282"/>
      <c r="C79" t="s" s="259">
        <v>1171</v>
      </c>
      <c r="D79" t="s" s="283">
        <v>1210</v>
      </c>
      <c r="E79" s="284"/>
      <c r="F79" s="285"/>
      <c r="G79" s="284">
        <v>30000</v>
      </c>
      <c r="H79" s="286">
        <v>769</v>
      </c>
      <c r="I79" s="284" cm="1">
        <f t="array" ref="I79">G79/H79</f>
        <v>39.0117035110533</v>
      </c>
      <c r="J79" s="280"/>
      <c r="K79" s="281"/>
      <c r="L79" s="264"/>
      <c r="M79" s="258"/>
      <c r="N79" s="258"/>
      <c r="O79" s="258"/>
      <c r="P79" s="258"/>
      <c r="Q79" s="258"/>
      <c r="R79" s="258"/>
      <c r="S79" s="258"/>
      <c r="T79" s="258"/>
      <c r="U79" s="258"/>
      <c r="V79" s="258"/>
      <c r="W79" s="258"/>
      <c r="X79" s="258"/>
      <c r="Y79" s="258"/>
      <c r="Z79" s="258"/>
      <c r="AA79" s="258"/>
      <c r="AB79" s="258"/>
    </row>
    <row r="80" ht="12.75" customHeight="1">
      <c r="A80" s="290">
        <v>43733</v>
      </c>
      <c r="B80" s="275"/>
      <c r="C80" t="s" s="274">
        <v>169</v>
      </c>
      <c r="D80" t="s" s="276">
        <v>1208</v>
      </c>
      <c r="E80" s="277"/>
      <c r="F80" s="278"/>
      <c r="G80" s="277">
        <v>40000</v>
      </c>
      <c r="H80" s="279">
        <v>1000</v>
      </c>
      <c r="I80" s="277" cm="1">
        <f t="array" ref="I80">G80/H80</f>
        <v>40</v>
      </c>
      <c r="J80" s="311"/>
      <c r="K80" s="312"/>
      <c r="L80" s="313"/>
      <c r="M80" s="314"/>
      <c r="N80" s="258"/>
      <c r="O80" s="258"/>
      <c r="P80" s="258"/>
      <c r="Q80" s="258"/>
      <c r="R80" s="258"/>
      <c r="S80" s="258"/>
      <c r="T80" s="258"/>
      <c r="U80" s="258"/>
      <c r="V80" s="258"/>
      <c r="W80" s="258"/>
      <c r="X80" s="258"/>
      <c r="Y80" s="258"/>
      <c r="Z80" s="258"/>
      <c r="AA80" s="258"/>
      <c r="AB80" s="258"/>
    </row>
    <row r="81" ht="12.75" customHeight="1">
      <c r="A81" s="287">
        <v>43369</v>
      </c>
      <c r="B81" s="282"/>
      <c r="C81" t="s" s="259">
        <v>1146</v>
      </c>
      <c r="D81" t="s" s="283">
        <v>1211</v>
      </c>
      <c r="E81" s="284"/>
      <c r="F81" s="285"/>
      <c r="G81" s="284">
        <v>221400</v>
      </c>
      <c r="H81" s="286">
        <v>5535</v>
      </c>
      <c r="I81" s="284" cm="1">
        <f t="array" ref="I81">G81/H81</f>
        <v>40</v>
      </c>
      <c r="J81" s="257"/>
      <c r="K81" s="258"/>
      <c r="L81" s="315"/>
      <c r="M81" t="s" s="316">
        <v>1212</v>
      </c>
      <c r="N81" s="264"/>
      <c r="O81" s="258"/>
      <c r="P81" s="258"/>
      <c r="Q81" s="258"/>
      <c r="R81" s="258"/>
      <c r="S81" s="258"/>
      <c r="T81" s="258"/>
      <c r="U81" s="258"/>
      <c r="V81" s="258"/>
      <c r="W81" s="258"/>
      <c r="X81" s="258"/>
      <c r="Y81" s="258"/>
      <c r="Z81" s="258"/>
      <c r="AA81" s="258"/>
      <c r="AB81" s="258"/>
    </row>
    <row r="82" ht="12.75" customHeight="1">
      <c r="A82" s="290">
        <v>43382</v>
      </c>
      <c r="B82" s="275"/>
      <c r="C82" t="s" s="274">
        <v>101</v>
      </c>
      <c r="D82" t="s" s="276">
        <v>1213</v>
      </c>
      <c r="E82" s="277"/>
      <c r="F82" s="278"/>
      <c r="G82" s="277">
        <v>150000</v>
      </c>
      <c r="H82" s="279">
        <v>3850</v>
      </c>
      <c r="I82" s="277" cm="1">
        <f t="array" ref="I82">G82/H82</f>
        <v>38.961038961039</v>
      </c>
      <c r="J82" s="257"/>
      <c r="K82" s="317"/>
      <c r="L82" s="318"/>
      <c r="M82" s="312"/>
      <c r="N82" s="258"/>
      <c r="O82" s="258"/>
      <c r="P82" s="258"/>
      <c r="Q82" s="258"/>
      <c r="R82" s="258"/>
      <c r="S82" s="258"/>
      <c r="T82" s="258"/>
      <c r="U82" s="258"/>
      <c r="V82" s="258"/>
      <c r="W82" s="258"/>
      <c r="X82" s="258"/>
      <c r="Y82" s="258"/>
      <c r="Z82" s="258"/>
      <c r="AA82" s="258"/>
      <c r="AB82" s="258"/>
    </row>
    <row r="83" ht="12.75" customHeight="1">
      <c r="A83" s="287">
        <v>43382</v>
      </c>
      <c r="B83" s="282"/>
      <c r="C83" t="s" s="259">
        <v>93</v>
      </c>
      <c r="D83" t="s" s="283">
        <v>1214</v>
      </c>
      <c r="E83" s="284"/>
      <c r="F83" s="285"/>
      <c r="G83" s="284">
        <v>4800</v>
      </c>
      <c r="H83" s="286">
        <v>126</v>
      </c>
      <c r="I83" s="284" cm="1">
        <f t="array" ref="I83">G83/H83</f>
        <v>38.0952380952381</v>
      </c>
      <c r="J83" s="319"/>
      <c r="K83" s="281"/>
      <c r="L83" s="264"/>
      <c r="M83" s="258"/>
      <c r="N83" s="258"/>
      <c r="O83" s="258"/>
      <c r="P83" s="258"/>
      <c r="Q83" s="258"/>
      <c r="R83" s="258"/>
      <c r="S83" s="258"/>
      <c r="T83" s="258"/>
      <c r="U83" s="258"/>
      <c r="V83" s="258"/>
      <c r="W83" s="258"/>
      <c r="X83" s="258"/>
      <c r="Y83" s="258"/>
      <c r="Z83" s="258"/>
      <c r="AA83" s="258"/>
      <c r="AB83" s="258"/>
    </row>
    <row r="84" ht="12.75" customHeight="1">
      <c r="A84" s="290">
        <v>43391</v>
      </c>
      <c r="B84" s="275"/>
      <c r="C84" t="s" s="274">
        <v>169</v>
      </c>
      <c r="D84" t="s" s="276">
        <v>1215</v>
      </c>
      <c r="E84" s="277"/>
      <c r="F84" s="278"/>
      <c r="G84" s="277">
        <v>1800</v>
      </c>
      <c r="H84" s="279">
        <v>49</v>
      </c>
      <c r="I84" s="277" cm="1">
        <f t="array" ref="I84">G84/H84</f>
        <v>36.734693877551</v>
      </c>
      <c r="J84" s="280"/>
      <c r="K84" s="281"/>
      <c r="L84" s="264"/>
      <c r="M84" s="258"/>
      <c r="N84" s="258"/>
      <c r="O84" s="258"/>
      <c r="P84" s="258"/>
      <c r="Q84" s="258"/>
      <c r="R84" s="258"/>
      <c r="S84" s="258"/>
      <c r="T84" s="258"/>
      <c r="U84" s="258"/>
      <c r="V84" s="258"/>
      <c r="W84" s="258"/>
      <c r="X84" s="258"/>
      <c r="Y84" s="258"/>
      <c r="Z84" s="258"/>
      <c r="AA84" s="258"/>
      <c r="AB84" s="258"/>
    </row>
    <row r="85" ht="12.75" customHeight="1">
      <c r="A85" s="287">
        <v>43397</v>
      </c>
      <c r="B85" s="282"/>
      <c r="C85" t="s" s="259">
        <v>278</v>
      </c>
      <c r="D85" t="s" s="283">
        <v>1216</v>
      </c>
      <c r="E85" s="284"/>
      <c r="F85" s="285"/>
      <c r="G85" s="284">
        <v>16000</v>
      </c>
      <c r="H85" s="286">
        <v>432</v>
      </c>
      <c r="I85" s="284" cm="1">
        <f t="array" ref="I85">G85/H85</f>
        <v>37.037037037037</v>
      </c>
      <c r="J85" s="280"/>
      <c r="K85" s="281"/>
      <c r="L85" s="320"/>
      <c r="M85" s="313"/>
      <c r="N85" s="258"/>
      <c r="O85" s="258"/>
      <c r="P85" s="258"/>
      <c r="Q85" s="258"/>
      <c r="R85" s="258"/>
      <c r="S85" s="258"/>
      <c r="T85" s="258"/>
      <c r="U85" s="258"/>
      <c r="V85" s="258"/>
      <c r="W85" s="258"/>
      <c r="X85" s="258"/>
      <c r="Y85" s="258"/>
      <c r="Z85" s="258"/>
      <c r="AA85" s="258"/>
      <c r="AB85" s="258"/>
    </row>
    <row r="86" ht="12.75" customHeight="1">
      <c r="A86" s="290">
        <v>43402</v>
      </c>
      <c r="B86" s="275"/>
      <c r="C86" t="s" s="274">
        <v>1217</v>
      </c>
      <c r="D86" t="s" s="276">
        <v>1218</v>
      </c>
      <c r="E86" s="277"/>
      <c r="F86" s="278"/>
      <c r="G86" s="277">
        <v>4800</v>
      </c>
      <c r="H86" s="279" cm="1">
        <f t="array" ref="H86">G86/I86</f>
        <v>129.729729729730</v>
      </c>
      <c r="I86" s="277">
        <v>37</v>
      </c>
      <c r="J86" s="280"/>
      <c r="K86" s="281"/>
      <c r="L86" s="320">
        <v>7528178.38</v>
      </c>
      <c r="M86" s="313">
        <v>470118.24</v>
      </c>
      <c r="N86" s="258"/>
      <c r="O86" s="258"/>
      <c r="P86" s="258"/>
      <c r="Q86" s="258"/>
      <c r="R86" s="258"/>
      <c r="S86" s="258"/>
      <c r="T86" s="258"/>
      <c r="U86" s="258"/>
      <c r="V86" s="258"/>
      <c r="W86" s="258"/>
      <c r="X86" s="258"/>
      <c r="Y86" s="258"/>
      <c r="Z86" s="258"/>
      <c r="AA86" s="258"/>
      <c r="AB86" s="258"/>
    </row>
    <row r="87" ht="12.75" customHeight="1">
      <c r="A87" s="287">
        <v>43411</v>
      </c>
      <c r="B87" s="282"/>
      <c r="C87" t="s" s="259">
        <v>101</v>
      </c>
      <c r="D87" t="s" s="283">
        <v>1219</v>
      </c>
      <c r="E87" s="284"/>
      <c r="F87" s="285"/>
      <c r="G87" s="284">
        <v>7500</v>
      </c>
      <c r="H87" s="286">
        <v>203</v>
      </c>
      <c r="I87" s="284" cm="1">
        <f t="array" ref="I87">I86</f>
        <v>37</v>
      </c>
      <c r="J87" s="280"/>
      <c r="K87" s="281"/>
      <c r="L87" s="264"/>
      <c r="M87" s="258"/>
      <c r="N87" s="258"/>
      <c r="O87" s="258"/>
      <c r="P87" s="258"/>
      <c r="Q87" s="258"/>
      <c r="R87" s="258"/>
      <c r="S87" s="258"/>
      <c r="T87" s="258"/>
      <c r="U87" s="258"/>
      <c r="V87" s="258"/>
      <c r="W87" s="258"/>
      <c r="X87" s="258"/>
      <c r="Y87" s="258"/>
      <c r="Z87" s="258"/>
      <c r="AA87" s="258"/>
      <c r="AB87" s="258"/>
    </row>
    <row r="88" ht="12.75" customHeight="1">
      <c r="A88" s="290">
        <v>43411</v>
      </c>
      <c r="B88" s="275"/>
      <c r="C88" t="s" s="274">
        <v>101</v>
      </c>
      <c r="D88" t="s" s="276">
        <v>1220</v>
      </c>
      <c r="E88" s="277"/>
      <c r="F88" s="278"/>
      <c r="G88" s="277">
        <v>163800</v>
      </c>
      <c r="H88" s="279" cm="1">
        <f t="array" ref="H88">G88/I88</f>
        <v>4427.027027027030</v>
      </c>
      <c r="I88" s="277" cm="1">
        <f t="array" ref="I88">I87</f>
        <v>37</v>
      </c>
      <c r="J88" s="280"/>
      <c r="K88" s="281"/>
      <c r="L88" s="264"/>
      <c r="M88" s="258"/>
      <c r="N88" s="258"/>
      <c r="O88" s="258"/>
      <c r="P88" s="258"/>
      <c r="Q88" s="258"/>
      <c r="R88" s="258"/>
      <c r="S88" s="258"/>
      <c r="T88" s="258"/>
      <c r="U88" s="258"/>
      <c r="V88" s="258"/>
      <c r="W88" s="258"/>
      <c r="X88" s="258"/>
      <c r="Y88" s="258"/>
      <c r="Z88" s="258"/>
      <c r="AA88" s="258"/>
      <c r="AB88" s="258"/>
    </row>
    <row r="89" ht="12.75" customHeight="1">
      <c r="A89" s="287">
        <v>43413</v>
      </c>
      <c r="B89" s="282"/>
      <c r="C89" t="s" s="259">
        <v>1180</v>
      </c>
      <c r="D89" s="321"/>
      <c r="E89" s="284"/>
      <c r="F89" s="285"/>
      <c r="G89" s="284">
        <v>2922</v>
      </c>
      <c r="H89" s="286" cm="1">
        <f t="array" ref="H89">G89/I89</f>
        <v>81.1666666666667</v>
      </c>
      <c r="I89" s="284">
        <v>36</v>
      </c>
      <c r="J89" s="280"/>
      <c r="K89" s="281"/>
      <c r="L89" s="264"/>
      <c r="M89" s="258"/>
      <c r="N89" s="258"/>
      <c r="O89" s="258"/>
      <c r="P89" s="258"/>
      <c r="Q89" s="258"/>
      <c r="R89" s="258"/>
      <c r="S89" s="258"/>
      <c r="T89" s="258"/>
      <c r="U89" s="258"/>
      <c r="V89" s="258"/>
      <c r="W89" s="258"/>
      <c r="X89" s="258"/>
      <c r="Y89" s="258"/>
      <c r="Z89" s="258"/>
      <c r="AA89" s="258"/>
      <c r="AB89" s="258"/>
    </row>
    <row r="90" ht="12.75" customHeight="1">
      <c r="A90" s="290">
        <v>43420</v>
      </c>
      <c r="B90" s="275"/>
      <c r="C90" t="s" s="274">
        <v>169</v>
      </c>
      <c r="D90" t="s" s="276">
        <v>1221</v>
      </c>
      <c r="E90" s="277"/>
      <c r="F90" s="278"/>
      <c r="G90" s="277">
        <v>1400</v>
      </c>
      <c r="H90" s="279">
        <v>38</v>
      </c>
      <c r="I90" s="277" cm="1">
        <f t="array" ref="I90">G90/H90</f>
        <v>36.8421052631579</v>
      </c>
      <c r="J90" s="280"/>
      <c r="K90" s="281"/>
      <c r="L90" s="264"/>
      <c r="M90" s="258"/>
      <c r="N90" s="258"/>
      <c r="O90" s="258"/>
      <c r="P90" s="258"/>
      <c r="Q90" s="258"/>
      <c r="R90" s="258"/>
      <c r="S90" s="258"/>
      <c r="T90" s="258"/>
      <c r="U90" s="258"/>
      <c r="V90" s="258"/>
      <c r="W90" s="258"/>
      <c r="X90" s="258"/>
      <c r="Y90" s="258"/>
      <c r="Z90" s="258"/>
      <c r="AA90" s="258"/>
      <c r="AB90" s="258"/>
    </row>
    <row r="91" ht="12.75" customHeight="1">
      <c r="A91" s="287">
        <v>43791</v>
      </c>
      <c r="B91" s="282"/>
      <c r="C91" t="s" s="259">
        <v>169</v>
      </c>
      <c r="D91" t="s" s="283">
        <v>1208</v>
      </c>
      <c r="E91" s="284"/>
      <c r="F91" s="285"/>
      <c r="G91" s="284">
        <v>70000</v>
      </c>
      <c r="H91" s="286">
        <v>1945</v>
      </c>
      <c r="I91" s="284" cm="1">
        <f t="array" ref="I91">G91/H91</f>
        <v>35.9897172236504</v>
      </c>
      <c r="J91" s="280"/>
      <c r="K91" s="281"/>
      <c r="L91" s="264"/>
      <c r="M91" s="258"/>
      <c r="N91" s="258"/>
      <c r="O91" s="258"/>
      <c r="P91" s="258"/>
      <c r="Q91" s="258"/>
      <c r="R91" s="258"/>
      <c r="S91" s="258"/>
      <c r="T91" s="258"/>
      <c r="U91" s="258"/>
      <c r="V91" s="258"/>
      <c r="W91" s="258"/>
      <c r="X91" s="258"/>
      <c r="Y91" s="258"/>
      <c r="Z91" s="258"/>
      <c r="AA91" s="258"/>
      <c r="AB91" s="258"/>
    </row>
    <row r="92" ht="12.75" customHeight="1">
      <c r="A92" s="290">
        <v>43427</v>
      </c>
      <c r="B92" s="275"/>
      <c r="C92" t="s" s="274">
        <v>278</v>
      </c>
      <c r="D92" t="s" s="276">
        <v>1222</v>
      </c>
      <c r="E92" s="277"/>
      <c r="F92" s="278"/>
      <c r="G92" s="277">
        <v>60000</v>
      </c>
      <c r="H92" s="279" cm="1">
        <f t="array" ref="H92">857*2</f>
        <v>1714</v>
      </c>
      <c r="I92" s="277" cm="1">
        <f t="array" ref="I92">G92/H92</f>
        <v>35.0058343057176</v>
      </c>
      <c r="J92" s="280"/>
      <c r="K92" s="281"/>
      <c r="L92" s="264"/>
      <c r="M92" s="258"/>
      <c r="N92" s="258"/>
      <c r="O92" s="258"/>
      <c r="P92" s="258"/>
      <c r="Q92" s="258"/>
      <c r="R92" s="258"/>
      <c r="S92" s="258"/>
      <c r="T92" s="258"/>
      <c r="U92" s="258"/>
      <c r="V92" s="258"/>
      <c r="W92" s="258"/>
      <c r="X92" s="258"/>
      <c r="Y92" s="258"/>
      <c r="Z92" s="258"/>
      <c r="AA92" s="258"/>
      <c r="AB92" s="258"/>
    </row>
    <row r="93" ht="12.75" customHeight="1">
      <c r="A93" s="287">
        <v>43439</v>
      </c>
      <c r="B93" s="282"/>
      <c r="C93" t="s" s="259">
        <v>1223</v>
      </c>
      <c r="D93" t="s" s="283">
        <v>1224</v>
      </c>
      <c r="E93" s="284"/>
      <c r="F93" s="285"/>
      <c r="G93" s="284">
        <v>13000</v>
      </c>
      <c r="H93" s="286" cm="1">
        <f t="array" ref="H93">G93/I93</f>
        <v>351</v>
      </c>
      <c r="I93" s="284" cm="1">
        <f t="array" ref="I93">I85</f>
        <v>37.037037037037</v>
      </c>
      <c r="J93" s="280"/>
      <c r="K93" s="281"/>
      <c r="L93" s="264"/>
      <c r="M93" s="258"/>
      <c r="N93" s="258"/>
      <c r="O93" s="258"/>
      <c r="P93" s="258"/>
      <c r="Q93" s="258"/>
      <c r="R93" s="258"/>
      <c r="S93" s="258"/>
      <c r="T93" s="258"/>
      <c r="U93" s="258"/>
      <c r="V93" s="258"/>
      <c r="W93" s="258"/>
      <c r="X93" s="258"/>
      <c r="Y93" s="258"/>
      <c r="Z93" s="258"/>
      <c r="AA93" s="258"/>
      <c r="AB93" s="258"/>
    </row>
    <row r="94" ht="12.75" customHeight="1">
      <c r="A94" s="290">
        <v>43440</v>
      </c>
      <c r="B94" s="275"/>
      <c r="C94" t="s" s="274">
        <v>278</v>
      </c>
      <c r="D94" t="s" s="276">
        <v>1225</v>
      </c>
      <c r="E94" s="277"/>
      <c r="F94" s="278"/>
      <c r="G94" s="277">
        <v>55000</v>
      </c>
      <c r="H94" s="279" cm="1">
        <f t="array" ref="H94">G94/I94</f>
        <v>1506.849315068490</v>
      </c>
      <c r="I94" s="277">
        <v>36.5</v>
      </c>
      <c r="J94" s="280"/>
      <c r="K94" s="281"/>
      <c r="L94" s="264"/>
      <c r="M94" s="258"/>
      <c r="N94" s="258"/>
      <c r="O94" s="258"/>
      <c r="P94" s="258"/>
      <c r="Q94" s="258"/>
      <c r="R94" s="258"/>
      <c r="S94" s="258"/>
      <c r="T94" s="258"/>
      <c r="U94" s="258"/>
      <c r="V94" s="258"/>
      <c r="W94" s="258"/>
      <c r="X94" s="258"/>
      <c r="Y94" s="258"/>
      <c r="Z94" s="258"/>
      <c r="AA94" s="258"/>
      <c r="AB94" s="258"/>
    </row>
    <row r="95" ht="12.75" customHeight="1">
      <c r="A95" t="s" s="259">
        <v>1226</v>
      </c>
      <c r="B95" s="282"/>
      <c r="C95" t="s" s="259">
        <v>1217</v>
      </c>
      <c r="D95" t="s" s="283">
        <v>1227</v>
      </c>
      <c r="E95" s="284"/>
      <c r="F95" s="285"/>
      <c r="G95" s="284">
        <v>4000</v>
      </c>
      <c r="H95" s="286" cm="1">
        <f t="array" ref="H95">G95/I95</f>
        <v>109.589041095890</v>
      </c>
      <c r="I95" s="284" cm="1">
        <f t="array" ref="I95">I94</f>
        <v>36.5</v>
      </c>
      <c r="J95" s="280"/>
      <c r="K95" s="281"/>
      <c r="L95" s="264"/>
      <c r="M95" s="258"/>
      <c r="N95" s="258"/>
      <c r="O95" s="258"/>
      <c r="P95" s="258"/>
      <c r="Q95" s="258"/>
      <c r="R95" s="258"/>
      <c r="S95" s="258"/>
      <c r="T95" s="258"/>
      <c r="U95" s="258"/>
      <c r="V95" s="258"/>
      <c r="W95" s="258"/>
      <c r="X95" s="258"/>
      <c r="Y95" s="258"/>
      <c r="Z95" s="258"/>
      <c r="AA95" s="258"/>
      <c r="AB95" s="258"/>
    </row>
    <row r="96" ht="12.75" customHeight="1">
      <c r="A96" s="290">
        <v>43447</v>
      </c>
      <c r="B96" s="275"/>
      <c r="C96" t="s" s="322">
        <v>185</v>
      </c>
      <c r="D96" t="s" s="276">
        <v>1228</v>
      </c>
      <c r="E96" s="277"/>
      <c r="F96" s="278"/>
      <c r="G96" s="277">
        <v>7000</v>
      </c>
      <c r="H96" s="279">
        <v>190</v>
      </c>
      <c r="I96" s="277" cm="1">
        <f t="array" ref="I96">I95</f>
        <v>36.5</v>
      </c>
      <c r="J96" s="280"/>
      <c r="K96" s="281"/>
      <c r="L96" s="264"/>
      <c r="M96" s="258"/>
      <c r="N96" s="258"/>
      <c r="O96" s="258"/>
      <c r="P96" s="258"/>
      <c r="Q96" s="258"/>
      <c r="R96" s="258"/>
      <c r="S96" s="258"/>
      <c r="T96" s="258"/>
      <c r="U96" s="258"/>
      <c r="V96" s="258"/>
      <c r="W96" s="258"/>
      <c r="X96" s="258"/>
      <c r="Y96" s="258"/>
      <c r="Z96" s="258"/>
      <c r="AA96" s="258"/>
      <c r="AB96" s="258"/>
    </row>
    <row r="97" ht="12.75" customHeight="1">
      <c r="A97" s="287">
        <v>43813</v>
      </c>
      <c r="B97" s="282"/>
      <c r="C97" t="s" s="259">
        <v>169</v>
      </c>
      <c r="D97" t="s" s="283">
        <v>1208</v>
      </c>
      <c r="E97" s="284"/>
      <c r="F97" s="285"/>
      <c r="G97" s="284">
        <v>20000</v>
      </c>
      <c r="H97" s="286">
        <v>540</v>
      </c>
      <c r="I97" s="284" cm="1">
        <f t="array" ref="I97">G97/H97</f>
        <v>37.037037037037</v>
      </c>
      <c r="J97" s="280"/>
      <c r="K97" s="281"/>
      <c r="L97" s="264"/>
      <c r="M97" s="258"/>
      <c r="N97" s="258"/>
      <c r="O97" s="258"/>
      <c r="P97" s="258"/>
      <c r="Q97" s="258"/>
      <c r="R97" s="258"/>
      <c r="S97" s="258"/>
      <c r="T97" s="258"/>
      <c r="U97" s="258"/>
      <c r="V97" s="258"/>
      <c r="W97" s="258"/>
      <c r="X97" s="258"/>
      <c r="Y97" s="258"/>
      <c r="Z97" s="258"/>
      <c r="AA97" s="258"/>
      <c r="AB97" s="258"/>
    </row>
    <row r="98" ht="12.75" customHeight="1">
      <c r="A98" s="290">
        <v>43452</v>
      </c>
      <c r="B98" s="275"/>
      <c r="C98" t="s" s="274">
        <v>688</v>
      </c>
      <c r="D98" t="s" s="276">
        <v>1229</v>
      </c>
      <c r="E98" s="277"/>
      <c r="F98" s="278"/>
      <c r="G98" s="277">
        <v>24340</v>
      </c>
      <c r="H98" s="279">
        <v>640</v>
      </c>
      <c r="I98" s="277" cm="1">
        <f t="array" ref="I98">I96</f>
        <v>36.5</v>
      </c>
      <c r="J98" s="280"/>
      <c r="K98" s="281"/>
      <c r="L98" s="264"/>
      <c r="M98" s="258"/>
      <c r="N98" s="258"/>
      <c r="O98" s="258"/>
      <c r="P98" s="258"/>
      <c r="Q98" s="258"/>
      <c r="R98" s="258"/>
      <c r="S98" s="258"/>
      <c r="T98" s="258"/>
      <c r="U98" s="258"/>
      <c r="V98" s="258"/>
      <c r="W98" s="258"/>
      <c r="X98" s="258"/>
      <c r="Y98" s="258"/>
      <c r="Z98" s="258"/>
      <c r="AA98" s="258"/>
      <c r="AB98" s="258"/>
    </row>
    <row r="99" ht="12.75" customHeight="1">
      <c r="A99" s="287">
        <v>43452</v>
      </c>
      <c r="B99" s="282"/>
      <c r="C99" t="s" s="259">
        <v>101</v>
      </c>
      <c r="D99" t="s" s="283">
        <v>1230</v>
      </c>
      <c r="E99" s="284"/>
      <c r="F99" s="285"/>
      <c r="G99" s="284">
        <v>68714</v>
      </c>
      <c r="H99" s="286">
        <v>1808</v>
      </c>
      <c r="I99" s="284" cm="1">
        <f t="array" ref="I99">I98</f>
        <v>36.5</v>
      </c>
      <c r="J99" s="280"/>
      <c r="K99" s="281"/>
      <c r="L99" s="264"/>
      <c r="M99" s="258"/>
      <c r="N99" s="258"/>
      <c r="O99" s="258"/>
      <c r="P99" s="258"/>
      <c r="Q99" s="258"/>
      <c r="R99" s="258"/>
      <c r="S99" s="258"/>
      <c r="T99" s="258"/>
      <c r="U99" s="258"/>
      <c r="V99" s="258"/>
      <c r="W99" s="258"/>
      <c r="X99" s="258"/>
      <c r="Y99" s="258"/>
      <c r="Z99" s="258"/>
      <c r="AA99" s="258"/>
      <c r="AB99" s="258"/>
    </row>
    <row r="100" ht="12.75" customHeight="1">
      <c r="A100" s="290">
        <v>43457</v>
      </c>
      <c r="B100" s="275"/>
      <c r="C100" t="s" s="274">
        <v>1223</v>
      </c>
      <c r="D100" t="s" s="276">
        <v>1231</v>
      </c>
      <c r="E100" s="277"/>
      <c r="F100" s="278"/>
      <c r="G100" s="277">
        <v>50000</v>
      </c>
      <c r="H100" s="279">
        <v>1350</v>
      </c>
      <c r="I100" s="277" cm="1">
        <f t="array" ref="I100">I99</f>
        <v>36.5</v>
      </c>
      <c r="J100" s="280"/>
      <c r="K100" s="281"/>
      <c r="L100" s="264"/>
      <c r="M100" s="258"/>
      <c r="N100" s="258"/>
      <c r="O100" s="258"/>
      <c r="P100" s="258"/>
      <c r="Q100" s="258"/>
      <c r="R100" s="258"/>
      <c r="S100" s="258"/>
      <c r="T100" s="258"/>
      <c r="U100" s="258"/>
      <c r="V100" s="258"/>
      <c r="W100" s="258"/>
      <c r="X100" s="258"/>
      <c r="Y100" s="258"/>
      <c r="Z100" s="258"/>
      <c r="AA100" s="258"/>
      <c r="AB100" s="258"/>
    </row>
    <row r="101" ht="12.75" customHeight="1">
      <c r="A101" s="287">
        <v>43455</v>
      </c>
      <c r="B101" s="282"/>
      <c r="C101" t="s" s="259">
        <v>1180</v>
      </c>
      <c r="D101" s="321"/>
      <c r="E101" s="284"/>
      <c r="F101" s="285"/>
      <c r="G101" s="284">
        <v>2977</v>
      </c>
      <c r="H101" s="286" cm="1">
        <f t="array" ref="H101">G101/I101</f>
        <v>78.3421052631579</v>
      </c>
      <c r="I101" s="284">
        <v>38</v>
      </c>
      <c r="J101" s="280"/>
      <c r="K101" s="281"/>
      <c r="L101" s="264"/>
      <c r="M101" s="258"/>
      <c r="N101" s="258"/>
      <c r="O101" s="258"/>
      <c r="P101" s="258"/>
      <c r="Q101" s="258"/>
      <c r="R101" s="258"/>
      <c r="S101" s="258"/>
      <c r="T101" s="258"/>
      <c r="U101" s="258"/>
      <c r="V101" s="258"/>
      <c r="W101" s="258"/>
      <c r="X101" s="258"/>
      <c r="Y101" s="258"/>
      <c r="Z101" s="258"/>
      <c r="AA101" s="258"/>
      <c r="AB101" s="258"/>
    </row>
    <row r="102" ht="12.75" customHeight="1">
      <c r="A102" s="290">
        <v>43455</v>
      </c>
      <c r="B102" s="275"/>
      <c r="C102" t="s" s="274">
        <v>169</v>
      </c>
      <c r="D102" t="s" s="276">
        <v>1232</v>
      </c>
      <c r="E102" s="277"/>
      <c r="F102" s="278"/>
      <c r="G102" s="277">
        <v>18000</v>
      </c>
      <c r="H102" s="279" cm="1">
        <f t="array" ref="H102">G102/I102</f>
        <v>486.486486486486</v>
      </c>
      <c r="I102" s="277">
        <v>37</v>
      </c>
      <c r="J102" s="280"/>
      <c r="K102" s="281"/>
      <c r="L102" s="264"/>
      <c r="M102" s="258"/>
      <c r="N102" s="258"/>
      <c r="O102" s="258"/>
      <c r="P102" s="258"/>
      <c r="Q102" s="258"/>
      <c r="R102" s="258"/>
      <c r="S102" s="258"/>
      <c r="T102" s="258"/>
      <c r="U102" s="258"/>
      <c r="V102" s="258"/>
      <c r="W102" s="258"/>
      <c r="X102" s="258"/>
      <c r="Y102" s="258"/>
      <c r="Z102" s="258"/>
      <c r="AA102" s="258"/>
      <c r="AB102" s="258"/>
    </row>
    <row r="103" ht="12.75" customHeight="1">
      <c r="A103" s="287">
        <v>43463</v>
      </c>
      <c r="B103" s="282"/>
      <c r="C103" s="294"/>
      <c r="D103" t="s" s="283">
        <v>1233</v>
      </c>
      <c r="E103" s="284"/>
      <c r="F103" s="285"/>
      <c r="G103" s="284">
        <v>1800</v>
      </c>
      <c r="H103" s="286" cm="1">
        <f t="array" ref="H103">G103/I103</f>
        <v>46.0358056265985</v>
      </c>
      <c r="I103" s="284">
        <v>39.1</v>
      </c>
      <c r="J103" s="280"/>
      <c r="K103" s="281"/>
      <c r="L103" s="264"/>
      <c r="M103" s="258"/>
      <c r="N103" s="258"/>
      <c r="O103" s="258"/>
      <c r="P103" s="258"/>
      <c r="Q103" s="258"/>
      <c r="R103" s="258"/>
      <c r="S103" s="258"/>
      <c r="T103" s="258"/>
      <c r="U103" s="258"/>
      <c r="V103" s="258"/>
      <c r="W103" s="258"/>
      <c r="X103" s="258"/>
      <c r="Y103" s="258"/>
      <c r="Z103" s="258"/>
      <c r="AA103" s="258"/>
      <c r="AB103" s="258"/>
    </row>
    <row r="104" ht="12.75" customHeight="1">
      <c r="A104" s="290">
        <v>43468</v>
      </c>
      <c r="B104" s="275"/>
      <c r="C104" t="s" s="274">
        <v>1234</v>
      </c>
      <c r="D104" t="s" s="276">
        <v>1235</v>
      </c>
      <c r="E104" s="277"/>
      <c r="F104" s="278"/>
      <c r="G104" s="277">
        <v>133500</v>
      </c>
      <c r="H104" s="279">
        <v>3423</v>
      </c>
      <c r="I104" s="277" cm="1">
        <f t="array" ref="I104">G104/H104</f>
        <v>39.0008764241893</v>
      </c>
      <c r="J104" s="280"/>
      <c r="K104" s="281"/>
      <c r="L104" s="264"/>
      <c r="M104" s="258"/>
      <c r="N104" s="258"/>
      <c r="O104" s="258"/>
      <c r="P104" s="258"/>
      <c r="Q104" s="258"/>
      <c r="R104" s="258"/>
      <c r="S104" s="258"/>
      <c r="T104" s="258"/>
      <c r="U104" s="258"/>
      <c r="V104" s="258"/>
      <c r="W104" s="258"/>
      <c r="X104" s="258"/>
      <c r="Y104" s="258"/>
      <c r="Z104" s="258"/>
      <c r="AA104" s="258"/>
      <c r="AB104" s="258"/>
    </row>
    <row r="105" ht="12.75" customHeight="1">
      <c r="A105" s="287">
        <v>43468</v>
      </c>
      <c r="B105" s="282"/>
      <c r="C105" t="s" s="259">
        <v>101</v>
      </c>
      <c r="D105" t="s" s="283">
        <v>1236</v>
      </c>
      <c r="E105" s="284"/>
      <c r="F105" s="285"/>
      <c r="G105" s="284">
        <v>168714</v>
      </c>
      <c r="H105" s="286" cm="1">
        <f t="array" ref="H105">G105/I105</f>
        <v>4325.902786516850</v>
      </c>
      <c r="I105" s="284" cm="1">
        <f t="array" ref="I105">I104</f>
        <v>39.0008764241893</v>
      </c>
      <c r="J105" s="280"/>
      <c r="K105" s="281"/>
      <c r="L105" s="264"/>
      <c r="M105" s="258"/>
      <c r="N105" s="258"/>
      <c r="O105" s="258"/>
      <c r="P105" s="258"/>
      <c r="Q105" s="258"/>
      <c r="R105" s="258"/>
      <c r="S105" s="258"/>
      <c r="T105" s="258"/>
      <c r="U105" s="258"/>
      <c r="V105" s="258"/>
      <c r="W105" s="258"/>
      <c r="X105" s="258"/>
      <c r="Y105" s="258"/>
      <c r="Z105" s="258"/>
      <c r="AA105" s="258"/>
      <c r="AB105" s="258"/>
    </row>
    <row r="106" ht="12.75" customHeight="1">
      <c r="A106" s="290">
        <v>43471</v>
      </c>
      <c r="B106" s="275"/>
      <c r="C106" t="s" s="274">
        <v>756</v>
      </c>
      <c r="D106" t="s" s="276">
        <v>1237</v>
      </c>
      <c r="E106" s="277">
        <v>370500</v>
      </c>
      <c r="F106" s="278">
        <v>9500</v>
      </c>
      <c r="G106" s="277"/>
      <c r="H106" s="279" cm="1">
        <f t="array" ref="H106">G106/I106</f>
        <v>0</v>
      </c>
      <c r="I106" s="277" cm="1">
        <f t="array" ref="I106">I105</f>
        <v>39.0008764241893</v>
      </c>
      <c r="J106" s="280"/>
      <c r="K106" s="281"/>
      <c r="L106" s="264"/>
      <c r="M106" s="258"/>
      <c r="N106" s="258"/>
      <c r="O106" s="258"/>
      <c r="P106" s="258"/>
      <c r="Q106" s="258"/>
      <c r="R106" s="258"/>
      <c r="S106" s="258"/>
      <c r="T106" s="258"/>
      <c r="U106" s="258"/>
      <c r="V106" s="258"/>
      <c r="W106" s="258"/>
      <c r="X106" s="258"/>
      <c r="Y106" s="258"/>
      <c r="Z106" s="258"/>
      <c r="AA106" s="258"/>
      <c r="AB106" s="258"/>
    </row>
    <row r="107" ht="12.75" customHeight="1">
      <c r="A107" s="287">
        <v>43487</v>
      </c>
      <c r="B107" s="282"/>
      <c r="C107" t="s" s="259">
        <v>228</v>
      </c>
      <c r="D107" t="s" s="283">
        <v>1238</v>
      </c>
      <c r="E107" s="284"/>
      <c r="F107" s="285"/>
      <c r="G107" s="284">
        <v>70000</v>
      </c>
      <c r="H107" s="286">
        <v>2000</v>
      </c>
      <c r="I107" s="284" cm="1">
        <f t="array" ref="I107">G107/H107</f>
        <v>35</v>
      </c>
      <c r="J107" s="280"/>
      <c r="K107" s="281"/>
      <c r="L107" s="264"/>
      <c r="M107" s="258"/>
      <c r="N107" s="258"/>
      <c r="O107" s="258"/>
      <c r="P107" s="258"/>
      <c r="Q107" s="258"/>
      <c r="R107" s="258"/>
      <c r="S107" s="258"/>
      <c r="T107" s="258"/>
      <c r="U107" s="258"/>
      <c r="V107" s="258"/>
      <c r="W107" s="258"/>
      <c r="X107" s="258"/>
      <c r="Y107" s="258"/>
      <c r="Z107" s="258"/>
      <c r="AA107" s="258"/>
      <c r="AB107" s="258"/>
    </row>
    <row r="108" ht="12.75" customHeight="1">
      <c r="A108" s="290">
        <v>43496</v>
      </c>
      <c r="B108" s="275"/>
      <c r="C108" t="s" s="274">
        <v>1217</v>
      </c>
      <c r="D108" t="s" s="276">
        <v>1239</v>
      </c>
      <c r="E108" s="277"/>
      <c r="F108" s="278"/>
      <c r="G108" s="277">
        <v>4000</v>
      </c>
      <c r="H108" s="279" cm="1">
        <f t="array" ref="H108">G108/I108</f>
        <v>105.263157894737</v>
      </c>
      <c r="I108" s="277">
        <v>38</v>
      </c>
      <c r="J108" s="280"/>
      <c r="K108" s="281"/>
      <c r="L108" s="264"/>
      <c r="M108" s="258"/>
      <c r="N108" s="258"/>
      <c r="O108" s="258"/>
      <c r="P108" s="258"/>
      <c r="Q108" s="258"/>
      <c r="R108" s="258"/>
      <c r="S108" s="258"/>
      <c r="T108" s="258"/>
      <c r="U108" s="258"/>
      <c r="V108" s="258"/>
      <c r="W108" s="258"/>
      <c r="X108" s="258"/>
      <c r="Y108" s="258"/>
      <c r="Z108" s="258"/>
      <c r="AA108" s="258"/>
      <c r="AB108" s="258"/>
    </row>
    <row r="109" ht="12.75" customHeight="1">
      <c r="A109" s="287">
        <v>43501</v>
      </c>
      <c r="B109" s="282"/>
      <c r="C109" t="s" s="259">
        <v>1177</v>
      </c>
      <c r="D109" t="s" s="283">
        <v>1240</v>
      </c>
      <c r="E109" s="284"/>
      <c r="F109" s="285"/>
      <c r="G109" s="284">
        <v>100000</v>
      </c>
      <c r="H109" s="286">
        <v>2632</v>
      </c>
      <c r="I109" s="284" cm="1">
        <f t="array" ref="I109">I108</f>
        <v>38</v>
      </c>
      <c r="J109" s="280"/>
      <c r="K109" s="281"/>
      <c r="L109" s="264"/>
      <c r="M109" s="258"/>
      <c r="N109" s="258"/>
      <c r="O109" s="258"/>
      <c r="P109" s="258"/>
      <c r="Q109" s="258"/>
      <c r="R109" s="258"/>
      <c r="S109" s="258"/>
      <c r="T109" s="258"/>
      <c r="U109" s="258"/>
      <c r="V109" s="258"/>
      <c r="W109" s="258"/>
      <c r="X109" s="258"/>
      <c r="Y109" s="258"/>
      <c r="Z109" s="258"/>
      <c r="AA109" s="258"/>
      <c r="AB109" t="s" s="323">
        <v>264</v>
      </c>
    </row>
    <row r="110" ht="12.75" customHeight="1">
      <c r="A110" s="290">
        <v>43501</v>
      </c>
      <c r="B110" s="275"/>
      <c r="C110" t="s" s="274">
        <v>1177</v>
      </c>
      <c r="D110" t="s" s="276">
        <v>1241</v>
      </c>
      <c r="E110" s="277"/>
      <c r="F110" s="278"/>
      <c r="G110" s="277">
        <v>500000</v>
      </c>
      <c r="H110" s="279">
        <v>13160</v>
      </c>
      <c r="I110" s="277" cm="1">
        <f t="array" ref="I110">G110/H110</f>
        <v>37.9939209726444</v>
      </c>
      <c r="J110" s="280"/>
      <c r="K110" s="281"/>
      <c r="L110" s="264"/>
      <c r="M110" s="258"/>
      <c r="N110" s="258"/>
      <c r="O110" s="258"/>
      <c r="P110" s="258"/>
      <c r="Q110" s="258"/>
      <c r="R110" s="258"/>
      <c r="S110" s="258"/>
      <c r="T110" s="258"/>
      <c r="U110" s="258"/>
      <c r="V110" s="258"/>
      <c r="W110" s="258"/>
      <c r="X110" s="258"/>
      <c r="Y110" s="258"/>
      <c r="Z110" s="258"/>
      <c r="AA110" s="258"/>
      <c r="AB110" s="258"/>
    </row>
    <row r="111" ht="12.75" customHeight="1">
      <c r="A111" s="287">
        <v>43510</v>
      </c>
      <c r="B111" s="282"/>
      <c r="C111" t="s" s="259">
        <v>101</v>
      </c>
      <c r="D111" t="s" s="283">
        <v>1242</v>
      </c>
      <c r="E111" s="284"/>
      <c r="F111" s="285"/>
      <c r="G111" s="284">
        <v>178836.84</v>
      </c>
      <c r="H111" s="286">
        <v>4706</v>
      </c>
      <c r="I111" s="284" cm="1">
        <f t="array" ref="I111">G111/H111</f>
        <v>38.0018784530387</v>
      </c>
      <c r="J111" s="280"/>
      <c r="K111" s="281"/>
      <c r="L111" s="320" cm="1">
        <f t="array" ref="L111">L86+2091503.84</f>
        <v>9619682.220000001</v>
      </c>
      <c r="M111" s="314" cm="1">
        <f t="array" ref="M111">54599.66+M86</f>
        <v>524717.9</v>
      </c>
      <c r="N111" t="s" s="323">
        <v>1243</v>
      </c>
      <c r="O111" s="258"/>
      <c r="P111" s="258"/>
      <c r="Q111" s="258"/>
      <c r="R111" s="258"/>
      <c r="S111" s="258"/>
      <c r="T111" s="258"/>
      <c r="U111" s="258"/>
      <c r="V111" s="258"/>
      <c r="W111" s="258"/>
      <c r="X111" s="258"/>
      <c r="Y111" s="258"/>
      <c r="Z111" s="258"/>
      <c r="AA111" s="258"/>
      <c r="AB111" s="258"/>
    </row>
    <row r="112" ht="12.75" customHeight="1">
      <c r="A112" s="290">
        <v>43517</v>
      </c>
      <c r="B112" s="275"/>
      <c r="C112" t="s" s="274">
        <v>1177</v>
      </c>
      <c r="D112" t="s" s="276">
        <v>1241</v>
      </c>
      <c r="E112" s="277"/>
      <c r="F112" s="278"/>
      <c r="G112" s="277">
        <v>500000</v>
      </c>
      <c r="H112" s="279">
        <v>12500</v>
      </c>
      <c r="I112" s="277" cm="1">
        <f t="array" ref="I112">G112/H112</f>
        <v>40</v>
      </c>
      <c r="J112" s="280"/>
      <c r="K112" s="281"/>
      <c r="L112" s="320" cm="1">
        <f t="array" ref="L112">9619682.22+'GENERAL Facturado'!G3</f>
        <v>783014670.8355</v>
      </c>
      <c r="M112" s="314" cm="1">
        <f t="array" ref="M112">M111+'GENERAL Facturado'!H3</f>
        <v>3234222.36537166</v>
      </c>
      <c r="N112" s="258"/>
      <c r="O112" s="258"/>
      <c r="P112" s="258"/>
      <c r="Q112" s="258"/>
      <c r="R112" s="258"/>
      <c r="S112" s="258"/>
      <c r="T112" s="258"/>
      <c r="U112" s="258"/>
      <c r="V112" s="258"/>
      <c r="W112" s="258"/>
      <c r="X112" s="258"/>
      <c r="Y112" s="258"/>
      <c r="Z112" s="258"/>
      <c r="AA112" s="258"/>
      <c r="AB112" s="258"/>
    </row>
    <row r="113" ht="12.75" customHeight="1">
      <c r="A113" s="287">
        <v>43518</v>
      </c>
      <c r="B113" s="282"/>
      <c r="C113" t="s" s="259">
        <v>228</v>
      </c>
      <c r="D113" t="s" s="283">
        <v>1244</v>
      </c>
      <c r="E113" s="284"/>
      <c r="F113" s="285"/>
      <c r="G113" s="284">
        <v>30000</v>
      </c>
      <c r="H113" s="286">
        <v>755</v>
      </c>
      <c r="I113" s="284" cm="1">
        <f t="array" ref="I113">G113/H113</f>
        <v>39.7350993377483</v>
      </c>
      <c r="J113" s="280"/>
      <c r="K113" s="281"/>
      <c r="L113" s="264"/>
      <c r="M113" s="258"/>
      <c r="N113" s="258"/>
      <c r="O113" s="258"/>
      <c r="P113" s="258"/>
      <c r="Q113" s="258"/>
      <c r="R113" s="258"/>
      <c r="S113" s="258"/>
      <c r="T113" s="258"/>
      <c r="U113" s="258"/>
      <c r="V113" s="258"/>
      <c r="W113" s="258"/>
      <c r="X113" s="258"/>
      <c r="Y113" s="258"/>
      <c r="Z113" s="258"/>
      <c r="AA113" s="258"/>
      <c r="AB113" s="258"/>
    </row>
    <row r="114" ht="12.75" customHeight="1">
      <c r="A114" s="290">
        <v>43524</v>
      </c>
      <c r="B114" s="275"/>
      <c r="C114" t="s" s="274">
        <v>1146</v>
      </c>
      <c r="D114" t="s" s="276">
        <v>1245</v>
      </c>
      <c r="E114" s="277"/>
      <c r="F114" s="278"/>
      <c r="G114" s="277">
        <v>400000</v>
      </c>
      <c r="H114" s="279">
        <v>10000</v>
      </c>
      <c r="I114" s="277" cm="1">
        <f t="array" ref="I114">G114/H114</f>
        <v>40</v>
      </c>
      <c r="J114" s="280"/>
      <c r="K114" s="281"/>
      <c r="L114" s="264"/>
      <c r="M114" s="258"/>
      <c r="N114" s="258"/>
      <c r="O114" s="258"/>
      <c r="P114" s="258"/>
      <c r="Q114" s="258"/>
      <c r="R114" s="258"/>
      <c r="S114" s="258"/>
      <c r="T114" s="258"/>
      <c r="U114" s="258"/>
      <c r="V114" s="258"/>
      <c r="W114" s="258"/>
      <c r="X114" s="258"/>
      <c r="Y114" s="258"/>
      <c r="Z114" s="258"/>
      <c r="AA114" s="258"/>
      <c r="AB114" s="258"/>
    </row>
    <row r="115" ht="12.75" customHeight="1">
      <c r="A115" s="287">
        <v>43538</v>
      </c>
      <c r="B115" s="282"/>
      <c r="C115" t="s" s="259">
        <v>101</v>
      </c>
      <c r="D115" t="s" s="283">
        <v>1246</v>
      </c>
      <c r="E115" s="284"/>
      <c r="F115" s="285"/>
      <c r="G115" s="284">
        <v>178836.84</v>
      </c>
      <c r="H115" s="286">
        <v>4238</v>
      </c>
      <c r="I115" s="284" cm="1">
        <f t="array" ref="I115">G115/H115</f>
        <v>42.1984049079755</v>
      </c>
      <c r="J115" s="280"/>
      <c r="K115" s="281"/>
      <c r="L115" s="264"/>
      <c r="M115" s="258"/>
      <c r="N115" s="258"/>
      <c r="O115" s="258"/>
      <c r="P115" s="258"/>
      <c r="Q115" s="258"/>
      <c r="R115" s="258"/>
      <c r="S115" s="258"/>
      <c r="T115" s="258"/>
      <c r="U115" s="258"/>
      <c r="V115" s="258"/>
      <c r="W115" s="258"/>
      <c r="X115" s="258"/>
      <c r="Y115" s="258"/>
      <c r="Z115" s="258"/>
      <c r="AA115" s="258"/>
      <c r="AB115" s="258"/>
    </row>
    <row r="116" ht="12.75" customHeight="1">
      <c r="A116" s="290">
        <v>43538</v>
      </c>
      <c r="B116" s="275"/>
      <c r="C116" t="s" s="274">
        <v>278</v>
      </c>
      <c r="D116" t="s" s="276">
        <v>1247</v>
      </c>
      <c r="E116" s="277"/>
      <c r="F116" s="278"/>
      <c r="G116" s="277">
        <v>260325</v>
      </c>
      <c r="H116" s="279">
        <v>6909</v>
      </c>
      <c r="I116" s="277" cm="1">
        <f t="array" ref="I116">G116/H116</f>
        <v>37.679114198871</v>
      </c>
      <c r="J116" s="280"/>
      <c r="K116" s="281"/>
      <c r="L116" s="264"/>
      <c r="M116" s="258"/>
      <c r="N116" s="258"/>
      <c r="O116" s="258"/>
      <c r="P116" s="258"/>
      <c r="Q116" s="258"/>
      <c r="R116" s="258"/>
      <c r="S116" s="258"/>
      <c r="T116" s="258"/>
      <c r="U116" s="258"/>
      <c r="V116" s="258"/>
      <c r="W116" s="258"/>
      <c r="X116" s="258"/>
      <c r="Y116" s="258"/>
      <c r="Z116" s="258"/>
      <c r="AA116" s="258"/>
      <c r="AB116" s="258"/>
    </row>
    <row r="117" ht="12.75" customHeight="1">
      <c r="A117" s="287">
        <v>43538</v>
      </c>
      <c r="B117" s="282"/>
      <c r="C117" t="s" s="259">
        <v>278</v>
      </c>
      <c r="D117" t="s" s="283">
        <v>1248</v>
      </c>
      <c r="E117" s="284"/>
      <c r="F117" s="285"/>
      <c r="G117" s="284">
        <v>6000</v>
      </c>
      <c r="H117" s="286">
        <v>146</v>
      </c>
      <c r="I117" s="284" cm="1">
        <f t="array" ref="I117">G117/H117</f>
        <v>41.0958904109589</v>
      </c>
      <c r="J117" s="280"/>
      <c r="K117" s="281"/>
      <c r="L117" s="264"/>
      <c r="M117" s="258"/>
      <c r="N117" s="258"/>
      <c r="O117" s="258"/>
      <c r="P117" s="258"/>
      <c r="Q117" s="258"/>
      <c r="R117" s="258"/>
      <c r="S117" s="258"/>
      <c r="T117" s="258"/>
      <c r="U117" s="258"/>
      <c r="V117" s="258"/>
      <c r="W117" s="258"/>
      <c r="X117" s="258"/>
      <c r="Y117" s="258"/>
      <c r="Z117" s="258"/>
      <c r="AA117" s="258"/>
      <c r="AB117" s="258"/>
    </row>
    <row r="118" ht="12.75" customHeight="1">
      <c r="A118" s="290">
        <v>43539</v>
      </c>
      <c r="B118" s="275"/>
      <c r="C118" t="s" s="274">
        <v>228</v>
      </c>
      <c r="D118" t="s" s="276">
        <v>1244</v>
      </c>
      <c r="E118" s="277"/>
      <c r="F118" s="278"/>
      <c r="G118" s="277">
        <v>30000</v>
      </c>
      <c r="H118" s="279">
        <v>731</v>
      </c>
      <c r="I118" s="277" cm="1">
        <f t="array" ref="I118">G118/H118</f>
        <v>41.0396716826265</v>
      </c>
      <c r="J118" s="280"/>
      <c r="K118" s="281"/>
      <c r="L118" s="264"/>
      <c r="M118" s="258"/>
      <c r="N118" s="258"/>
      <c r="O118" s="258"/>
      <c r="P118" s="258"/>
      <c r="Q118" s="258"/>
      <c r="R118" s="258"/>
      <c r="S118" s="258"/>
      <c r="T118" s="258"/>
      <c r="U118" s="258"/>
      <c r="V118" s="258"/>
      <c r="W118" s="258"/>
      <c r="X118" s="258"/>
      <c r="Y118" s="258"/>
      <c r="Z118" s="258"/>
      <c r="AA118" s="258"/>
      <c r="AB118" s="258"/>
    </row>
    <row r="119" ht="12.75" customHeight="1">
      <c r="A119" s="287">
        <v>43543</v>
      </c>
      <c r="B119" s="282"/>
      <c r="C119" t="s" s="259">
        <v>1146</v>
      </c>
      <c r="D119" t="s" s="283">
        <v>1249</v>
      </c>
      <c r="E119" s="284"/>
      <c r="F119" s="285"/>
      <c r="G119" s="284">
        <v>144000</v>
      </c>
      <c r="H119" s="286">
        <v>3600</v>
      </c>
      <c r="I119" s="284" cm="1">
        <f t="array" ref="I119">G119/H119</f>
        <v>40</v>
      </c>
      <c r="J119" s="280"/>
      <c r="K119" s="281"/>
      <c r="L119" s="264"/>
      <c r="M119" s="258"/>
      <c r="N119" s="258"/>
      <c r="O119" s="258"/>
      <c r="P119" s="258"/>
      <c r="Q119" s="258"/>
      <c r="R119" s="258"/>
      <c r="S119" s="258"/>
      <c r="T119" s="258"/>
      <c r="U119" s="258"/>
      <c r="V119" s="258"/>
      <c r="W119" s="258"/>
      <c r="X119" s="258"/>
      <c r="Y119" s="258"/>
      <c r="Z119" s="258"/>
      <c r="AA119" s="258"/>
      <c r="AB119" s="258"/>
    </row>
    <row r="120" ht="12.75" customHeight="1">
      <c r="A120" s="290">
        <v>43565</v>
      </c>
      <c r="B120" s="275"/>
      <c r="C120" t="s" s="274">
        <v>299</v>
      </c>
      <c r="D120" t="s" s="276">
        <v>300</v>
      </c>
      <c r="E120" s="277"/>
      <c r="F120" s="278"/>
      <c r="G120" s="277">
        <v>316925</v>
      </c>
      <c r="H120" s="279">
        <v>7370</v>
      </c>
      <c r="I120" s="277" cm="1">
        <f t="array" ref="I120">G120/H120</f>
        <v>43.0020352781547</v>
      </c>
      <c r="J120" s="280"/>
      <c r="K120" s="281"/>
      <c r="L120" s="264"/>
      <c r="M120" s="258"/>
      <c r="N120" s="258"/>
      <c r="O120" s="258"/>
      <c r="P120" s="258"/>
      <c r="Q120" s="258"/>
      <c r="R120" s="258"/>
      <c r="S120" s="258"/>
      <c r="T120" s="258"/>
      <c r="U120" s="258"/>
      <c r="V120" s="258"/>
      <c r="W120" s="258"/>
      <c r="X120" s="258"/>
      <c r="Y120" s="258"/>
      <c r="Z120" s="258"/>
      <c r="AA120" s="258"/>
      <c r="AB120" s="258"/>
    </row>
    <row r="121" ht="12.75" customHeight="1">
      <c r="A121" s="287">
        <v>43565</v>
      </c>
      <c r="B121" s="282"/>
      <c r="C121" t="s" s="259">
        <v>1250</v>
      </c>
      <c r="D121" t="s" s="283">
        <v>1251</v>
      </c>
      <c r="E121" s="284" cm="1">
        <f t="array" ref="E121">12000</f>
        <v>12000</v>
      </c>
      <c r="F121" s="285" cm="1">
        <f t="array" ref="F121">E121/I121</f>
        <v>279.069767441860</v>
      </c>
      <c r="G121" s="284"/>
      <c r="H121" s="286"/>
      <c r="I121" s="284">
        <v>43</v>
      </c>
      <c r="J121" s="280"/>
      <c r="K121" s="281"/>
      <c r="L121" s="264"/>
      <c r="M121" s="258"/>
      <c r="N121" s="258"/>
      <c r="O121" s="258"/>
      <c r="P121" s="258"/>
      <c r="Q121" s="258"/>
      <c r="R121" s="258"/>
      <c r="S121" s="258"/>
      <c r="T121" s="258"/>
      <c r="U121" s="258"/>
      <c r="V121" s="258"/>
      <c r="W121" s="258"/>
      <c r="X121" s="258"/>
      <c r="Y121" s="258"/>
      <c r="Z121" s="258"/>
      <c r="AA121" s="258"/>
      <c r="AB121" s="258"/>
    </row>
    <row r="122" ht="12.75" customHeight="1">
      <c r="A122" s="290">
        <v>43585</v>
      </c>
      <c r="B122" s="275"/>
      <c r="C122" t="s" s="274">
        <v>255</v>
      </c>
      <c r="D122" t="s" s="276">
        <v>1252</v>
      </c>
      <c r="E122" s="277"/>
      <c r="F122" s="278"/>
      <c r="G122" s="277">
        <v>990000</v>
      </c>
      <c r="H122" s="279">
        <v>22000</v>
      </c>
      <c r="I122" s="277" cm="1">
        <f t="array" ref="I122">G122/H122</f>
        <v>45</v>
      </c>
      <c r="J122" s="280"/>
      <c r="K122" s="281"/>
      <c r="L122" s="264"/>
      <c r="M122" s="258"/>
      <c r="N122" s="258"/>
      <c r="O122" s="258"/>
      <c r="P122" s="258"/>
      <c r="Q122" s="258"/>
      <c r="R122" s="258"/>
      <c r="S122" s="258"/>
      <c r="T122" s="258"/>
      <c r="U122" s="258"/>
      <c r="V122" s="258"/>
      <c r="W122" s="258"/>
      <c r="X122" s="258"/>
      <c r="Y122" s="258"/>
      <c r="Z122" s="258"/>
      <c r="AA122" s="258"/>
      <c r="AB122" s="258"/>
    </row>
    <row r="123" ht="12.75" customHeight="1">
      <c r="A123" s="287">
        <v>43588</v>
      </c>
      <c r="B123" s="282"/>
      <c r="C123" t="s" s="259">
        <v>278</v>
      </c>
      <c r="D123" t="s" s="283">
        <v>1180</v>
      </c>
      <c r="E123" s="284"/>
      <c r="F123" s="285"/>
      <c r="G123" s="284">
        <v>3316</v>
      </c>
      <c r="H123" s="286" cm="1">
        <f t="array" ref="H123">G123/I123</f>
        <v>72.0869565217391</v>
      </c>
      <c r="I123" s="284">
        <v>46</v>
      </c>
      <c r="J123" s="280"/>
      <c r="K123" s="281"/>
      <c r="L123" s="264"/>
      <c r="M123" s="258"/>
      <c r="N123" s="258"/>
      <c r="O123" s="258"/>
      <c r="P123" s="258"/>
      <c r="Q123" s="258"/>
      <c r="R123" s="258"/>
      <c r="S123" s="258"/>
      <c r="T123" s="258"/>
      <c r="U123" s="258"/>
      <c r="V123" s="258"/>
      <c r="W123" s="258"/>
      <c r="X123" s="258"/>
      <c r="Y123" s="258"/>
      <c r="Z123" s="258"/>
      <c r="AA123" s="258"/>
      <c r="AB123" s="258"/>
    </row>
    <row r="124" ht="12.75" customHeight="1">
      <c r="A124" s="290">
        <v>43621</v>
      </c>
      <c r="B124" s="275"/>
      <c r="C124" t="s" s="274">
        <v>299</v>
      </c>
      <c r="D124" t="s" s="276">
        <v>1253</v>
      </c>
      <c r="E124" s="277"/>
      <c r="F124" s="278"/>
      <c r="G124" s="277">
        <v>97612</v>
      </c>
      <c r="H124" s="279">
        <v>2170</v>
      </c>
      <c r="I124" s="277" cm="1">
        <f t="array" ref="I124">G124/H124</f>
        <v>44.9824884792627</v>
      </c>
      <c r="J124" s="280"/>
      <c r="K124" s="281"/>
      <c r="L124" s="264"/>
      <c r="M124" s="258"/>
      <c r="N124" s="258"/>
      <c r="O124" s="258"/>
      <c r="P124" s="258"/>
      <c r="Q124" s="258"/>
      <c r="R124" s="258"/>
      <c r="S124" s="258"/>
      <c r="T124" s="258"/>
      <c r="U124" s="258"/>
      <c r="V124" s="258"/>
      <c r="W124" s="258"/>
      <c r="X124" s="258"/>
      <c r="Y124" s="258"/>
      <c r="Z124" s="258"/>
      <c r="AA124" s="258"/>
      <c r="AB124" s="258"/>
    </row>
    <row r="125" ht="12.75" customHeight="1">
      <c r="A125" s="287">
        <v>43631</v>
      </c>
      <c r="B125" s="282"/>
      <c r="C125" t="s" s="259">
        <v>228</v>
      </c>
      <c r="D125" t="s" s="283">
        <v>1254</v>
      </c>
      <c r="E125" s="284"/>
      <c r="F125" s="285"/>
      <c r="G125" s="284">
        <v>20000</v>
      </c>
      <c r="H125" s="286">
        <v>445</v>
      </c>
      <c r="I125" s="284" cm="1">
        <f t="array" ref="I125">G125/H125</f>
        <v>44.9438202247191</v>
      </c>
      <c r="J125" s="280"/>
      <c r="K125" s="281"/>
      <c r="L125" s="264"/>
      <c r="M125" s="258"/>
      <c r="N125" s="258"/>
      <c r="O125" s="258"/>
      <c r="P125" s="258"/>
      <c r="Q125" s="258"/>
      <c r="R125" s="258"/>
      <c r="S125" s="258"/>
      <c r="T125" s="258"/>
      <c r="U125" s="258"/>
      <c r="V125" s="258"/>
      <c r="W125" s="258"/>
      <c r="X125" s="258"/>
      <c r="Y125" s="258"/>
      <c r="Z125" s="258"/>
      <c r="AA125" s="258"/>
      <c r="AB125" s="258"/>
    </row>
    <row r="126" ht="12.75" customHeight="1">
      <c r="A126" s="290">
        <v>43636</v>
      </c>
      <c r="B126" s="275"/>
      <c r="C126" t="s" s="274">
        <v>299</v>
      </c>
      <c r="D126" t="s" s="276">
        <v>1255</v>
      </c>
      <c r="E126" s="277"/>
      <c r="F126" s="278"/>
      <c r="G126" s="277">
        <v>23241.51</v>
      </c>
      <c r="H126" s="279">
        <v>530</v>
      </c>
      <c r="I126" s="277">
        <v>43.85</v>
      </c>
      <c r="J126" s="280"/>
      <c r="K126" s="281"/>
      <c r="L126" s="264"/>
      <c r="M126" s="258"/>
      <c r="N126" s="258"/>
      <c r="O126" s="258"/>
      <c r="P126" s="258"/>
      <c r="Q126" s="258"/>
      <c r="R126" s="258"/>
      <c r="S126" s="258"/>
      <c r="T126" s="258"/>
      <c r="U126" s="258"/>
      <c r="V126" s="258"/>
      <c r="W126" s="258"/>
      <c r="X126" s="258"/>
      <c r="Y126" s="258"/>
      <c r="Z126" s="258"/>
      <c r="AA126" s="258"/>
      <c r="AB126" s="258"/>
    </row>
    <row r="127" ht="12.75" customHeight="1">
      <c r="A127" s="287">
        <v>43647</v>
      </c>
      <c r="B127" s="282"/>
      <c r="C127" t="s" s="259">
        <v>1250</v>
      </c>
      <c r="D127" t="s" s="283">
        <v>1256</v>
      </c>
      <c r="E127" s="284">
        <v>5268</v>
      </c>
      <c r="F127" s="285">
        <v>112.94</v>
      </c>
      <c r="G127" s="284"/>
      <c r="H127" s="286"/>
      <c r="I127" s="284"/>
      <c r="J127" s="280"/>
      <c r="K127" s="281"/>
      <c r="L127" s="264"/>
      <c r="M127" s="258"/>
      <c r="N127" s="258"/>
      <c r="O127" s="258"/>
      <c r="P127" s="258"/>
      <c r="Q127" s="258"/>
      <c r="R127" s="258"/>
      <c r="S127" s="258"/>
      <c r="T127" s="258"/>
      <c r="U127" s="258"/>
      <c r="V127" s="258"/>
      <c r="W127" s="258"/>
      <c r="X127" s="258"/>
      <c r="Y127" s="258"/>
      <c r="Z127" s="258"/>
      <c r="AA127" s="258"/>
      <c r="AB127" s="258"/>
    </row>
    <row r="128" ht="12.75" customHeight="1">
      <c r="A128" s="290">
        <v>43656</v>
      </c>
      <c r="B128" s="275"/>
      <c r="C128" t="s" s="274">
        <v>299</v>
      </c>
      <c r="D128" t="s" s="276">
        <v>1257</v>
      </c>
      <c r="E128" s="277"/>
      <c r="F128" s="278"/>
      <c r="G128" s="277">
        <v>93049.179999999993</v>
      </c>
      <c r="H128" s="279">
        <v>2115</v>
      </c>
      <c r="I128" s="277">
        <v>44</v>
      </c>
      <c r="J128" s="280"/>
      <c r="K128" s="281"/>
      <c r="L128" s="264"/>
      <c r="M128" s="258"/>
      <c r="N128" s="258"/>
      <c r="O128" s="258"/>
      <c r="P128" s="258"/>
      <c r="Q128" s="258"/>
      <c r="R128" s="258"/>
      <c r="S128" s="258"/>
      <c r="T128" s="258"/>
      <c r="U128" s="258"/>
      <c r="V128" s="258"/>
      <c r="W128" s="258"/>
      <c r="X128" s="258"/>
      <c r="Y128" s="258"/>
      <c r="Z128" s="258"/>
      <c r="AA128" s="258"/>
      <c r="AB128" s="258"/>
    </row>
    <row r="129" ht="12.75" customHeight="1">
      <c r="A129" s="287">
        <v>43656</v>
      </c>
      <c r="B129" s="282"/>
      <c r="C129" t="s" s="259">
        <v>299</v>
      </c>
      <c r="D129" t="s" s="283">
        <v>1258</v>
      </c>
      <c r="E129" s="284"/>
      <c r="F129" s="285"/>
      <c r="G129" s="284">
        <v>22154.89</v>
      </c>
      <c r="H129" s="286">
        <v>503</v>
      </c>
      <c r="I129" s="284">
        <v>44.04</v>
      </c>
      <c r="J129" s="280"/>
      <c r="K129" s="281"/>
      <c r="L129" s="264"/>
      <c r="M129" s="258"/>
      <c r="N129" s="258"/>
      <c r="O129" s="258"/>
      <c r="P129" s="258"/>
      <c r="Q129" s="258"/>
      <c r="R129" s="258"/>
      <c r="S129" s="258"/>
      <c r="T129" s="258"/>
      <c r="U129" s="258"/>
      <c r="V129" s="258"/>
      <c r="W129" s="258"/>
      <c r="X129" s="258"/>
      <c r="Y129" s="258"/>
      <c r="Z129" s="258"/>
      <c r="AA129" s="258"/>
      <c r="AB129" s="258"/>
    </row>
    <row r="130" ht="12.75" customHeight="1">
      <c r="A130" s="290">
        <v>43686</v>
      </c>
      <c r="B130" s="275"/>
      <c r="C130" t="s" s="274">
        <v>299</v>
      </c>
      <c r="D130" t="s" s="276">
        <v>1259</v>
      </c>
      <c r="E130" s="277"/>
      <c r="F130" s="278"/>
      <c r="G130" s="277">
        <v>69089.649999999994</v>
      </c>
      <c r="H130" s="279">
        <v>1535</v>
      </c>
      <c r="I130" s="277">
        <v>45</v>
      </c>
      <c r="J130" s="280"/>
      <c r="K130" s="281"/>
      <c r="L130" s="264"/>
      <c r="M130" s="258"/>
      <c r="N130" s="258"/>
      <c r="O130" s="258"/>
      <c r="P130" s="258"/>
      <c r="Q130" s="258"/>
      <c r="R130" s="258"/>
      <c r="S130" s="258"/>
      <c r="T130" s="258"/>
      <c r="U130" s="258"/>
      <c r="V130" s="258"/>
      <c r="W130" s="258"/>
      <c r="X130" s="258"/>
      <c r="Y130" s="258"/>
      <c r="Z130" s="258"/>
      <c r="AA130" s="258"/>
      <c r="AB130" s="258"/>
    </row>
    <row r="131" ht="12.75" customHeight="1">
      <c r="A131" s="287">
        <v>43686</v>
      </c>
      <c r="B131" s="282"/>
      <c r="C131" t="s" s="259">
        <v>228</v>
      </c>
      <c r="D131" t="s" s="283">
        <v>1260</v>
      </c>
      <c r="E131" s="284"/>
      <c r="F131" s="285"/>
      <c r="G131" s="284">
        <v>26000</v>
      </c>
      <c r="H131" s="286">
        <v>580</v>
      </c>
      <c r="I131" s="284">
        <v>44.82</v>
      </c>
      <c r="J131" s="280"/>
      <c r="K131" s="281"/>
      <c r="L131" s="264"/>
      <c r="M131" s="258"/>
      <c r="N131" s="258"/>
      <c r="O131" s="258"/>
      <c r="P131" s="258"/>
      <c r="Q131" s="258"/>
      <c r="R131" s="258"/>
      <c r="S131" s="258"/>
      <c r="T131" s="258"/>
      <c r="U131" s="258"/>
      <c r="V131" s="258"/>
      <c r="W131" s="258"/>
      <c r="X131" s="258"/>
      <c r="Y131" s="258"/>
      <c r="Z131" s="258"/>
      <c r="AA131" s="258"/>
      <c r="AB131" s="258"/>
    </row>
    <row r="132" ht="12.75" customHeight="1">
      <c r="A132" t="s" s="274">
        <v>379</v>
      </c>
      <c r="B132" s="275"/>
      <c r="C132" t="s" s="274">
        <v>169</v>
      </c>
      <c r="D132" t="s" s="276">
        <v>1261</v>
      </c>
      <c r="E132" s="277"/>
      <c r="F132" s="278"/>
      <c r="G132" s="277">
        <v>50000</v>
      </c>
      <c r="H132" s="279">
        <v>835</v>
      </c>
      <c r="I132" s="277">
        <v>60</v>
      </c>
      <c r="J132" s="280"/>
      <c r="K132" s="281"/>
      <c r="L132" s="264"/>
      <c r="M132" s="258"/>
      <c r="N132" s="258"/>
      <c r="O132" s="258"/>
      <c r="P132" s="258"/>
      <c r="Q132" s="258"/>
      <c r="R132" s="258"/>
      <c r="S132" s="258"/>
      <c r="T132" s="258"/>
      <c r="U132" s="258"/>
      <c r="V132" s="258"/>
      <c r="W132" s="258"/>
      <c r="X132" s="258"/>
      <c r="Y132" s="258"/>
      <c r="Z132" s="258"/>
      <c r="AA132" s="258"/>
      <c r="AB132" s="258"/>
    </row>
    <row r="133" ht="12.75" customHeight="1">
      <c r="A133" t="s" s="259">
        <v>379</v>
      </c>
      <c r="B133" s="282"/>
      <c r="C133" t="s" s="259">
        <v>1262</v>
      </c>
      <c r="D133" t="s" s="283">
        <v>1263</v>
      </c>
      <c r="E133" s="284"/>
      <c r="F133" s="285"/>
      <c r="G133" s="284">
        <v>900600</v>
      </c>
      <c r="H133" s="286">
        <v>15800</v>
      </c>
      <c r="I133" s="284">
        <v>57</v>
      </c>
      <c r="J133" s="280"/>
      <c r="K133" s="281"/>
      <c r="L133" s="264"/>
      <c r="M133" s="258"/>
      <c r="N133" s="258"/>
      <c r="O133" s="258"/>
      <c r="P133" s="258"/>
      <c r="Q133" s="258"/>
      <c r="R133" s="258"/>
      <c r="S133" s="258"/>
      <c r="T133" s="258"/>
      <c r="U133" s="258"/>
      <c r="V133" s="258"/>
      <c r="W133" s="258"/>
      <c r="X133" s="258"/>
      <c r="Y133" s="258"/>
      <c r="Z133" s="258"/>
      <c r="AA133" s="258"/>
      <c r="AB133" s="258"/>
    </row>
    <row r="134" ht="12.75" customHeight="1">
      <c r="A134" s="290">
        <v>43714</v>
      </c>
      <c r="B134" s="275"/>
      <c r="C134" t="s" s="274">
        <v>299</v>
      </c>
      <c r="D134" t="s" s="276">
        <v>1264</v>
      </c>
      <c r="E134" s="277"/>
      <c r="F134" s="278"/>
      <c r="G134" s="277">
        <v>28820.27</v>
      </c>
      <c r="H134" s="279">
        <v>505</v>
      </c>
      <c r="I134" s="277">
        <v>57.06</v>
      </c>
      <c r="J134" s="280"/>
      <c r="K134" s="281"/>
      <c r="L134" s="264"/>
      <c r="M134" s="258"/>
      <c r="N134" s="258"/>
      <c r="O134" s="258"/>
      <c r="P134" s="258"/>
      <c r="Q134" s="258"/>
      <c r="R134" s="258"/>
      <c r="S134" s="258"/>
      <c r="T134" s="258"/>
      <c r="U134" s="258"/>
      <c r="V134" s="258"/>
      <c r="W134" s="258"/>
      <c r="X134" s="258"/>
      <c r="Y134" s="258"/>
      <c r="Z134" s="258"/>
      <c r="AA134" s="258"/>
      <c r="AB134" s="258"/>
    </row>
    <row r="135" ht="12.75" customHeight="1">
      <c r="A135" s="287">
        <v>43714</v>
      </c>
      <c r="B135" s="282"/>
      <c r="C135" t="s" s="259">
        <v>299</v>
      </c>
      <c r="D135" t="s" s="283">
        <v>1265</v>
      </c>
      <c r="E135" s="284"/>
      <c r="F135" s="285"/>
      <c r="G135" s="284">
        <v>111179.73</v>
      </c>
      <c r="H135" s="286">
        <v>1955</v>
      </c>
      <c r="I135" s="284">
        <v>56.86</v>
      </c>
      <c r="J135" s="280"/>
      <c r="K135" s="281"/>
      <c r="L135" s="264"/>
      <c r="M135" s="258"/>
      <c r="N135" s="258"/>
      <c r="O135" s="258"/>
      <c r="P135" s="258"/>
      <c r="Q135" s="258"/>
      <c r="R135" s="258"/>
      <c r="S135" s="258"/>
      <c r="T135" s="258"/>
      <c r="U135" s="258"/>
      <c r="V135" s="258"/>
      <c r="W135" s="258"/>
      <c r="X135" s="258"/>
      <c r="Y135" s="258"/>
      <c r="Z135" s="258"/>
      <c r="AA135" s="258"/>
      <c r="AB135" s="258"/>
    </row>
    <row r="136" ht="12.75" customHeight="1">
      <c r="A136" s="290">
        <v>43717</v>
      </c>
      <c r="B136" s="275"/>
      <c r="C136" t="s" s="274">
        <v>278</v>
      </c>
      <c r="D136" t="s" s="276">
        <v>1180</v>
      </c>
      <c r="E136" s="277"/>
      <c r="F136" s="278"/>
      <c r="G136" s="277">
        <v>4760</v>
      </c>
      <c r="H136" s="279">
        <v>80</v>
      </c>
      <c r="I136" s="277">
        <v>59.5</v>
      </c>
      <c r="J136" s="280"/>
      <c r="K136" s="281"/>
      <c r="L136" s="264"/>
      <c r="M136" s="258"/>
      <c r="N136" s="258"/>
      <c r="O136" s="258"/>
      <c r="P136" s="258"/>
      <c r="Q136" s="258"/>
      <c r="R136" s="258"/>
      <c r="S136" s="258"/>
      <c r="T136" s="258"/>
      <c r="U136" s="258"/>
      <c r="V136" s="258"/>
      <c r="W136" s="258"/>
      <c r="X136" s="258"/>
      <c r="Y136" s="258"/>
      <c r="Z136" s="258"/>
      <c r="AA136" s="258"/>
      <c r="AB136" s="258"/>
    </row>
    <row r="137" ht="12.75" customHeight="1">
      <c r="A137" s="287">
        <v>43718</v>
      </c>
      <c r="B137" s="282"/>
      <c r="C137" t="s" s="259">
        <v>228</v>
      </c>
      <c r="D137" t="s" s="283">
        <v>1266</v>
      </c>
      <c r="E137" s="284"/>
      <c r="F137" s="285"/>
      <c r="G137" s="284">
        <v>6000</v>
      </c>
      <c r="H137" s="286">
        <v>100</v>
      </c>
      <c r="I137" s="284">
        <v>60</v>
      </c>
      <c r="J137" s="280"/>
      <c r="K137" s="281"/>
      <c r="L137" s="264"/>
      <c r="M137" s="258"/>
      <c r="N137" s="258"/>
      <c r="O137" s="258"/>
      <c r="P137" s="258"/>
      <c r="Q137" s="258"/>
      <c r="R137" s="258"/>
      <c r="S137" s="258"/>
      <c r="T137" s="258"/>
      <c r="U137" s="258"/>
      <c r="V137" s="258"/>
      <c r="W137" s="258"/>
      <c r="X137" s="258"/>
      <c r="Y137" s="258"/>
      <c r="Z137" s="258"/>
      <c r="AA137" s="258"/>
      <c r="AB137" s="258"/>
    </row>
    <row r="138" ht="12.75" customHeight="1">
      <c r="A138" t="s" s="274">
        <v>395</v>
      </c>
      <c r="B138" s="275"/>
      <c r="C138" t="s" s="274">
        <v>299</v>
      </c>
      <c r="D138" t="s" s="276">
        <v>1267</v>
      </c>
      <c r="E138" s="277"/>
      <c r="F138" s="278"/>
      <c r="G138" s="277">
        <v>46500</v>
      </c>
      <c r="H138" s="279">
        <v>775</v>
      </c>
      <c r="I138" s="277">
        <v>60</v>
      </c>
      <c r="J138" s="280"/>
      <c r="K138" s="281"/>
      <c r="L138" s="264"/>
      <c r="M138" s="258"/>
      <c r="N138" s="258"/>
      <c r="O138" s="258"/>
      <c r="P138" s="258"/>
      <c r="Q138" s="258"/>
      <c r="R138" s="258"/>
      <c r="S138" s="258"/>
      <c r="T138" s="258"/>
      <c r="U138" s="258"/>
      <c r="V138" s="258"/>
      <c r="W138" s="258"/>
      <c r="X138" s="258"/>
      <c r="Y138" s="258"/>
      <c r="Z138" s="258"/>
      <c r="AA138" s="258"/>
      <c r="AB138" s="258"/>
    </row>
    <row r="139" ht="12.75" customHeight="1">
      <c r="A139" t="s" s="259">
        <v>397</v>
      </c>
      <c r="B139" s="282"/>
      <c r="C139" t="s" s="259">
        <v>101</v>
      </c>
      <c r="D139" t="s" s="283">
        <v>1268</v>
      </c>
      <c r="E139" s="284"/>
      <c r="F139" s="285"/>
      <c r="G139" s="284">
        <v>1000000</v>
      </c>
      <c r="H139" s="286">
        <v>16700</v>
      </c>
      <c r="I139" s="284">
        <v>60</v>
      </c>
      <c r="J139" s="280"/>
      <c r="K139" s="281"/>
      <c r="L139" s="264"/>
      <c r="M139" s="258"/>
      <c r="N139" s="258"/>
      <c r="O139" s="258"/>
      <c r="P139" s="258"/>
      <c r="Q139" s="258"/>
      <c r="R139" s="258"/>
      <c r="S139" s="258"/>
      <c r="T139" s="258"/>
      <c r="U139" s="258"/>
      <c r="V139" s="258"/>
      <c r="W139" s="258"/>
      <c r="X139" s="258"/>
      <c r="Y139" s="258"/>
      <c r="Z139" s="258"/>
      <c r="AA139" s="258"/>
      <c r="AB139" s="258"/>
    </row>
    <row r="140" ht="12.75" customHeight="1">
      <c r="A140" t="s" s="274">
        <v>397</v>
      </c>
      <c r="B140" s="275"/>
      <c r="C140" t="s" s="274">
        <v>101</v>
      </c>
      <c r="D140" t="s" s="276">
        <v>1269</v>
      </c>
      <c r="E140" s="277"/>
      <c r="F140" s="278"/>
      <c r="G140" s="277">
        <v>140168.34</v>
      </c>
      <c r="H140" s="279">
        <v>2337</v>
      </c>
      <c r="I140" s="277">
        <v>60</v>
      </c>
      <c r="J140" s="280"/>
      <c r="K140" s="281"/>
      <c r="L140" s="264"/>
      <c r="M140" s="258"/>
      <c r="N140" s="258"/>
      <c r="O140" s="258"/>
      <c r="P140" s="258"/>
      <c r="Q140" s="258"/>
      <c r="R140" s="258"/>
      <c r="S140" s="258"/>
      <c r="T140" s="258"/>
      <c r="U140" s="258"/>
      <c r="V140" s="258"/>
      <c r="W140" s="258"/>
      <c r="X140" s="258"/>
      <c r="Y140" s="258"/>
      <c r="Z140" s="258"/>
      <c r="AA140" s="258"/>
      <c r="AB140" s="258"/>
    </row>
    <row r="141" ht="12.75" customHeight="1">
      <c r="A141" s="287">
        <v>43739</v>
      </c>
      <c r="B141" s="282"/>
      <c r="C141" t="s" s="259">
        <v>278</v>
      </c>
      <c r="D141" t="s" s="283">
        <v>1270</v>
      </c>
      <c r="E141" s="284"/>
      <c r="F141" s="285"/>
      <c r="G141" s="284">
        <v>17550</v>
      </c>
      <c r="H141" s="286">
        <v>293</v>
      </c>
      <c r="I141" s="284">
        <v>60</v>
      </c>
      <c r="J141" s="280"/>
      <c r="K141" s="281"/>
      <c r="L141" s="264"/>
      <c r="M141" s="258"/>
      <c r="N141" s="258"/>
      <c r="O141" s="258"/>
      <c r="P141" s="258"/>
      <c r="Q141" s="258"/>
      <c r="R141" s="258"/>
      <c r="S141" s="258"/>
      <c r="T141" s="258"/>
      <c r="U141" s="258"/>
      <c r="V141" s="258"/>
      <c r="W141" s="258"/>
      <c r="X141" s="258"/>
      <c r="Y141" s="258"/>
      <c r="Z141" s="258"/>
      <c r="AA141" s="258"/>
      <c r="AB141" s="258"/>
    </row>
    <row r="142" ht="12.75" customHeight="1">
      <c r="A142" t="s" s="274">
        <v>420</v>
      </c>
      <c r="B142" s="275"/>
      <c r="C142" t="s" s="274">
        <v>299</v>
      </c>
      <c r="D142" t="s" s="276">
        <v>1271</v>
      </c>
      <c r="E142" s="277"/>
      <c r="F142" s="278"/>
      <c r="G142" s="277">
        <v>98500.289999999994</v>
      </c>
      <c r="H142" s="279">
        <v>1515</v>
      </c>
      <c r="I142" s="277">
        <v>65</v>
      </c>
      <c r="J142" s="280"/>
      <c r="K142" s="281"/>
      <c r="L142" s="264"/>
      <c r="M142" s="258"/>
      <c r="N142" s="258"/>
      <c r="O142" s="258"/>
      <c r="P142" s="258"/>
      <c r="Q142" s="258"/>
      <c r="R142" s="258"/>
      <c r="S142" s="258"/>
      <c r="T142" s="258"/>
      <c r="U142" s="258"/>
      <c r="V142" s="258"/>
      <c r="W142" s="258"/>
      <c r="X142" s="258"/>
      <c r="Y142" s="258"/>
      <c r="Z142" s="258"/>
      <c r="AA142" s="258"/>
      <c r="AB142" s="258"/>
    </row>
    <row r="143" ht="12.75" customHeight="1">
      <c r="A143" t="s" s="259">
        <v>424</v>
      </c>
      <c r="B143" s="282"/>
      <c r="C143" t="s" s="259">
        <v>101</v>
      </c>
      <c r="D143" t="s" s="283">
        <v>1272</v>
      </c>
      <c r="E143" s="284"/>
      <c r="F143" s="285"/>
      <c r="G143" s="284">
        <v>151101</v>
      </c>
      <c r="H143" s="286">
        <v>2159</v>
      </c>
      <c r="I143" s="284">
        <v>70</v>
      </c>
      <c r="J143" s="280"/>
      <c r="K143" s="281"/>
      <c r="L143" s="264"/>
      <c r="M143" s="258"/>
      <c r="N143" s="258"/>
      <c r="O143" s="258"/>
      <c r="P143" s="258"/>
      <c r="Q143" s="258"/>
      <c r="R143" s="258"/>
      <c r="S143" s="258"/>
      <c r="T143" s="258"/>
      <c r="U143" s="258"/>
      <c r="V143" s="258"/>
      <c r="W143" s="258"/>
      <c r="X143" s="258"/>
      <c r="Y143" s="258"/>
      <c r="Z143" s="258"/>
      <c r="AA143" s="258"/>
      <c r="AB143" s="258"/>
    </row>
    <row r="144" ht="12.75" customHeight="1">
      <c r="A144" t="s" s="274">
        <v>424</v>
      </c>
      <c r="B144" s="275"/>
      <c r="C144" t="s" s="274">
        <v>1273</v>
      </c>
      <c r="D144" t="s" s="276">
        <v>1274</v>
      </c>
      <c r="E144" s="277"/>
      <c r="F144" s="278"/>
      <c r="G144" s="277">
        <v>40000</v>
      </c>
      <c r="H144" s="279">
        <v>588</v>
      </c>
      <c r="I144" s="277">
        <v>68</v>
      </c>
      <c r="J144" s="280"/>
      <c r="K144" s="281"/>
      <c r="L144" s="264"/>
      <c r="M144" s="258"/>
      <c r="N144" s="258"/>
      <c r="O144" s="258"/>
      <c r="P144" s="258"/>
      <c r="Q144" s="258"/>
      <c r="R144" s="258"/>
      <c r="S144" s="258"/>
      <c r="T144" s="258"/>
      <c r="U144" s="258"/>
      <c r="V144" s="258"/>
      <c r="W144" s="258"/>
      <c r="X144" s="258"/>
      <c r="Y144" s="258"/>
      <c r="Z144" s="258"/>
      <c r="AA144" s="258"/>
      <c r="AB144" s="258"/>
    </row>
    <row r="145" ht="12.75" customHeight="1">
      <c r="A145" t="s" s="259">
        <v>1275</v>
      </c>
      <c r="B145" s="282"/>
      <c r="C145" t="s" s="259">
        <v>299</v>
      </c>
      <c r="D145" t="s" s="283">
        <v>1276</v>
      </c>
      <c r="E145" s="284"/>
      <c r="F145" s="285"/>
      <c r="G145" s="284">
        <v>2076.77</v>
      </c>
      <c r="H145" s="286">
        <v>30</v>
      </c>
      <c r="I145" s="284">
        <v>69</v>
      </c>
      <c r="J145" s="280"/>
      <c r="K145" s="281"/>
      <c r="L145" s="264"/>
      <c r="M145" s="258"/>
      <c r="N145" s="258"/>
      <c r="O145" s="258"/>
      <c r="P145" s="258"/>
      <c r="Q145" s="258"/>
      <c r="R145" s="258"/>
      <c r="S145" s="258"/>
      <c r="T145" s="258"/>
      <c r="U145" s="258"/>
      <c r="V145" s="258"/>
      <c r="W145" s="258"/>
      <c r="X145" s="258"/>
      <c r="Y145" s="258"/>
      <c r="Z145" s="258"/>
      <c r="AA145" s="258"/>
      <c r="AB145" s="258"/>
    </row>
    <row r="146" ht="12.75" customHeight="1">
      <c r="A146" t="s" s="274">
        <v>1275</v>
      </c>
      <c r="B146" s="275"/>
      <c r="C146" t="s" s="274">
        <v>278</v>
      </c>
      <c r="D146" t="s" s="276">
        <v>427</v>
      </c>
      <c r="E146" s="277"/>
      <c r="F146" s="278"/>
      <c r="G146" s="277">
        <v>1399.99</v>
      </c>
      <c r="H146" s="279">
        <v>20</v>
      </c>
      <c r="I146" s="277">
        <v>69</v>
      </c>
      <c r="J146" s="280"/>
      <c r="K146" s="281"/>
      <c r="L146" s="264"/>
      <c r="M146" s="258"/>
      <c r="N146" s="258"/>
      <c r="O146" s="258"/>
      <c r="P146" s="258"/>
      <c r="Q146" s="258"/>
      <c r="R146" s="258"/>
      <c r="S146" s="258"/>
      <c r="T146" s="258"/>
      <c r="U146" s="258"/>
      <c r="V146" s="258"/>
      <c r="W146" s="258"/>
      <c r="X146" s="258"/>
      <c r="Y146" s="258"/>
      <c r="Z146" s="258"/>
      <c r="AA146" s="258"/>
      <c r="AB146" s="258"/>
    </row>
    <row r="147" ht="12.75" customHeight="1">
      <c r="A147" t="s" s="259">
        <v>1275</v>
      </c>
      <c r="B147" s="282"/>
      <c r="C147" t="s" s="259">
        <v>299</v>
      </c>
      <c r="D147" t="s" s="283">
        <v>1277</v>
      </c>
      <c r="E147" s="284"/>
      <c r="F147" s="285"/>
      <c r="G147" s="284">
        <v>247.99</v>
      </c>
      <c r="H147" s="286">
        <v>3</v>
      </c>
      <c r="I147" s="284">
        <v>69</v>
      </c>
      <c r="J147" s="280"/>
      <c r="K147" s="281"/>
      <c r="L147" s="264"/>
      <c r="M147" s="258"/>
      <c r="N147" s="258"/>
      <c r="O147" s="258"/>
      <c r="P147" s="258"/>
      <c r="Q147" s="258"/>
      <c r="R147" s="258"/>
      <c r="S147" s="258"/>
      <c r="T147" s="258"/>
      <c r="U147" s="258"/>
      <c r="V147" s="258"/>
      <c r="W147" s="258"/>
      <c r="X147" s="258"/>
      <c r="Y147" s="258"/>
      <c r="Z147" s="258"/>
      <c r="AA147" s="258"/>
      <c r="AB147" s="258"/>
    </row>
    <row r="148" ht="12.75" customHeight="1">
      <c r="A148" t="s" s="274">
        <v>1275</v>
      </c>
      <c r="B148" s="275"/>
      <c r="C148" t="s" s="274">
        <v>299</v>
      </c>
      <c r="D148" t="s" s="276">
        <v>1278</v>
      </c>
      <c r="E148" s="277"/>
      <c r="F148" s="278"/>
      <c r="G148" s="277">
        <v>20544.36</v>
      </c>
      <c r="H148" s="279">
        <v>315</v>
      </c>
      <c r="I148" s="277">
        <v>65</v>
      </c>
      <c r="J148" s="280"/>
      <c r="K148" s="281"/>
      <c r="L148" s="264"/>
      <c r="M148" s="258"/>
      <c r="N148" s="258"/>
      <c r="O148" s="258"/>
      <c r="P148" s="258"/>
      <c r="Q148" s="258"/>
      <c r="R148" s="258"/>
      <c r="S148" s="258"/>
      <c r="T148" s="258"/>
      <c r="U148" s="258"/>
      <c r="V148" s="258"/>
      <c r="W148" s="258"/>
      <c r="X148" s="258"/>
      <c r="Y148" s="258"/>
      <c r="Z148" s="258"/>
      <c r="AA148" s="258"/>
      <c r="AB148" s="258"/>
    </row>
    <row r="149" ht="12.75" customHeight="1">
      <c r="A149" s="324">
        <v>43775</v>
      </c>
      <c r="B149" s="282"/>
      <c r="C149" t="s" s="259">
        <v>299</v>
      </c>
      <c r="D149" t="s" s="283">
        <v>1279</v>
      </c>
      <c r="E149" s="284"/>
      <c r="F149" s="285"/>
      <c r="G149" s="284">
        <v>61500</v>
      </c>
      <c r="H149" s="286">
        <v>946</v>
      </c>
      <c r="I149" s="284">
        <v>65</v>
      </c>
      <c r="J149" s="280"/>
      <c r="K149" s="281"/>
      <c r="L149" s="264"/>
      <c r="M149" s="258"/>
      <c r="N149" s="258"/>
      <c r="O149" s="258"/>
      <c r="P149" s="258"/>
      <c r="Q149" s="258"/>
      <c r="R149" s="258"/>
      <c r="S149" s="258"/>
      <c r="T149" s="258"/>
      <c r="U149" s="258"/>
      <c r="V149" s="258"/>
      <c r="W149" s="258"/>
      <c r="X149" s="258"/>
      <c r="Y149" s="258"/>
      <c r="Z149" s="258"/>
      <c r="AA149" s="258"/>
      <c r="AB149" s="258"/>
    </row>
    <row r="150" ht="12.75" customHeight="1">
      <c r="A150" s="325">
        <v>43775</v>
      </c>
      <c r="B150" s="275"/>
      <c r="C150" t="s" s="274">
        <v>299</v>
      </c>
      <c r="D150" t="s" s="276">
        <v>1280</v>
      </c>
      <c r="E150" s="277"/>
      <c r="F150" s="278"/>
      <c r="G150" s="277">
        <v>56900</v>
      </c>
      <c r="H150" s="279">
        <v>875</v>
      </c>
      <c r="I150" s="277">
        <v>65</v>
      </c>
      <c r="J150" s="280"/>
      <c r="K150" s="281"/>
      <c r="L150" s="264"/>
      <c r="M150" s="258"/>
      <c r="N150" s="258"/>
      <c r="O150" s="258"/>
      <c r="P150" s="258"/>
      <c r="Q150" s="258"/>
      <c r="R150" s="258"/>
      <c r="S150" s="258"/>
      <c r="T150" s="258"/>
      <c r="U150" s="258"/>
      <c r="V150" s="258"/>
      <c r="W150" s="258"/>
      <c r="X150" s="258"/>
      <c r="Y150" s="258"/>
      <c r="Z150" s="258"/>
      <c r="AA150" s="258"/>
      <c r="AB150" s="258"/>
    </row>
    <row r="151" ht="12.75" customHeight="1">
      <c r="A151" s="324">
        <v>43780</v>
      </c>
      <c r="B151" s="282"/>
      <c r="C151" t="s" s="259">
        <v>101</v>
      </c>
      <c r="D151" t="s" s="283">
        <v>1281</v>
      </c>
      <c r="E151" s="284"/>
      <c r="F151" s="285"/>
      <c r="G151" s="284">
        <v>160167.56</v>
      </c>
      <c r="H151" s="286">
        <v>2465</v>
      </c>
      <c r="I151" s="284">
        <v>65</v>
      </c>
      <c r="J151" s="280"/>
      <c r="K151" s="281"/>
      <c r="L151" s="264"/>
      <c r="M151" s="258"/>
      <c r="N151" s="258"/>
      <c r="O151" s="258"/>
      <c r="P151" s="258"/>
      <c r="Q151" s="258"/>
      <c r="R151" s="258"/>
      <c r="S151" s="258"/>
      <c r="T151" s="258"/>
      <c r="U151" s="258"/>
      <c r="V151" s="258"/>
      <c r="W151" s="258"/>
      <c r="X151" s="258"/>
      <c r="Y151" s="258"/>
      <c r="Z151" s="258"/>
      <c r="AA151" s="258"/>
      <c r="AB151" s="258"/>
    </row>
    <row r="152" ht="12.75" customHeight="1">
      <c r="A152" s="325">
        <v>43780</v>
      </c>
      <c r="B152" s="275"/>
      <c r="C152" t="s" s="274">
        <v>299</v>
      </c>
      <c r="D152" t="s" s="276">
        <v>1282</v>
      </c>
      <c r="E152" s="277"/>
      <c r="F152" s="278"/>
      <c r="G152" s="277">
        <v>98627.06</v>
      </c>
      <c r="H152" s="279">
        <v>1517</v>
      </c>
      <c r="I152" s="277">
        <v>65</v>
      </c>
      <c r="J152" s="280"/>
      <c r="K152" s="281"/>
      <c r="L152" s="264"/>
      <c r="M152" s="258"/>
      <c r="N152" s="258"/>
      <c r="O152" s="258"/>
      <c r="P152" s="258"/>
      <c r="Q152" s="258"/>
      <c r="R152" s="258"/>
      <c r="S152" s="258"/>
      <c r="T152" s="258"/>
      <c r="U152" s="258"/>
      <c r="V152" s="258"/>
      <c r="W152" s="258"/>
      <c r="X152" s="258"/>
      <c r="Y152" s="258"/>
      <c r="Z152" s="258"/>
      <c r="AA152" s="258"/>
      <c r="AB152" s="258"/>
    </row>
    <row r="153" ht="12.75" customHeight="1">
      <c r="A153" s="324">
        <v>43597</v>
      </c>
      <c r="B153" s="282"/>
      <c r="C153" t="s" s="259">
        <v>756</v>
      </c>
      <c r="D153" t="s" s="283">
        <v>1283</v>
      </c>
      <c r="E153" s="284">
        <v>670000</v>
      </c>
      <c r="F153" s="285">
        <v>9500</v>
      </c>
      <c r="G153" s="284"/>
      <c r="H153" s="286"/>
      <c r="I153" s="284"/>
      <c r="J153" s="280"/>
      <c r="K153" s="281"/>
      <c r="L153" s="264"/>
      <c r="M153" s="258"/>
      <c r="N153" s="258"/>
      <c r="O153" s="258"/>
      <c r="P153" s="258"/>
      <c r="Q153" s="258"/>
      <c r="R153" s="258"/>
      <c r="S153" s="258"/>
      <c r="T153" s="258"/>
      <c r="U153" s="258"/>
      <c r="V153" s="258"/>
      <c r="W153" s="258"/>
      <c r="X153" s="258"/>
      <c r="Y153" s="258"/>
      <c r="Z153" s="258"/>
      <c r="AA153" s="258"/>
      <c r="AB153" s="258"/>
    </row>
    <row r="154" ht="12.75" customHeight="1">
      <c r="A154" s="325">
        <v>43597</v>
      </c>
      <c r="B154" s="275"/>
      <c r="C154" t="s" s="274">
        <v>299</v>
      </c>
      <c r="D154" t="s" s="276">
        <v>1284</v>
      </c>
      <c r="E154" s="277"/>
      <c r="F154" s="278"/>
      <c r="G154" s="277">
        <v>18900</v>
      </c>
      <c r="H154" s="279">
        <v>270</v>
      </c>
      <c r="I154" s="277" cm="1">
        <f t="array" ref="I154">G154/H154</f>
        <v>70</v>
      </c>
      <c r="J154" s="280"/>
      <c r="K154" s="281"/>
      <c r="L154" s="264"/>
      <c r="M154" s="258"/>
      <c r="N154" s="258"/>
      <c r="O154" s="258"/>
      <c r="P154" s="258"/>
      <c r="Q154" s="258"/>
      <c r="R154" s="258"/>
      <c r="S154" s="258"/>
      <c r="T154" s="258"/>
      <c r="U154" s="258"/>
      <c r="V154" s="258"/>
      <c r="W154" s="258"/>
      <c r="X154" s="258"/>
      <c r="Y154" s="258"/>
      <c r="Z154" s="258"/>
      <c r="AA154" s="258"/>
      <c r="AB154" s="258"/>
    </row>
    <row r="155" ht="12.75" customHeight="1">
      <c r="A155" s="324">
        <v>43597</v>
      </c>
      <c r="B155" s="282"/>
      <c r="C155" t="s" s="259">
        <v>1223</v>
      </c>
      <c r="D155" t="s" s="283">
        <v>1285</v>
      </c>
      <c r="E155" s="284"/>
      <c r="F155" s="285"/>
      <c r="G155" s="284">
        <v>325000</v>
      </c>
      <c r="H155" s="286">
        <v>6550</v>
      </c>
      <c r="I155" s="284" cm="1">
        <f t="array" ref="I155">G155/H155</f>
        <v>49.618320610687</v>
      </c>
      <c r="J155" s="280"/>
      <c r="K155" s="281"/>
      <c r="L155" s="264"/>
      <c r="M155" s="258"/>
      <c r="N155" s="258"/>
      <c r="O155" s="258"/>
      <c r="P155" s="258"/>
      <c r="Q155" s="258"/>
      <c r="R155" s="258"/>
      <c r="S155" s="258"/>
      <c r="T155" s="258"/>
      <c r="U155" s="258"/>
      <c r="V155" s="258"/>
      <c r="W155" s="258"/>
      <c r="X155" s="258"/>
      <c r="Y155" s="258"/>
      <c r="Z155" s="258"/>
      <c r="AA155" s="258"/>
      <c r="AB155" s="258"/>
    </row>
    <row r="156" ht="12.75" customHeight="1">
      <c r="A156" t="s" s="274">
        <v>1286</v>
      </c>
      <c r="B156" s="275"/>
      <c r="C156" t="s" s="274">
        <v>101</v>
      </c>
      <c r="D156" t="s" s="276">
        <v>1287</v>
      </c>
      <c r="E156" s="277"/>
      <c r="F156" s="278"/>
      <c r="G156" s="277">
        <v>160167.56</v>
      </c>
      <c r="H156" s="279">
        <v>2136</v>
      </c>
      <c r="I156" s="277" cm="1">
        <f t="array" ref="I156">G156/H156</f>
        <v>74.9848127340824</v>
      </c>
      <c r="J156" s="280"/>
      <c r="K156" s="281"/>
      <c r="L156" s="264"/>
      <c r="M156" s="258"/>
      <c r="N156" s="258"/>
      <c r="O156" s="258"/>
      <c r="P156" s="258"/>
      <c r="Q156" s="258"/>
      <c r="R156" s="258"/>
      <c r="S156" s="258"/>
      <c r="T156" s="258"/>
      <c r="U156" s="258"/>
      <c r="V156" s="258"/>
      <c r="W156" s="258"/>
      <c r="X156" s="258"/>
      <c r="Y156" s="258"/>
      <c r="Z156" s="258"/>
      <c r="AA156" s="258"/>
      <c r="AB156" s="258"/>
    </row>
    <row r="157" ht="12.75" customHeight="1">
      <c r="A157" t="s" s="259">
        <v>1288</v>
      </c>
      <c r="B157" s="282"/>
      <c r="C157" t="s" s="259">
        <v>169</v>
      </c>
      <c r="D157" t="s" s="283">
        <v>1289</v>
      </c>
      <c r="E157" s="284"/>
      <c r="F157" s="285"/>
      <c r="G157" s="284">
        <v>9800</v>
      </c>
      <c r="H157" s="286">
        <v>132</v>
      </c>
      <c r="I157" s="284" cm="1">
        <f t="array" ref="I157">G157/H157</f>
        <v>74.24242424242421</v>
      </c>
      <c r="J157" s="280"/>
      <c r="K157" s="281"/>
      <c r="L157" s="264"/>
      <c r="M157" s="258"/>
      <c r="N157" s="258"/>
      <c r="O157" s="258"/>
      <c r="P157" s="258"/>
      <c r="Q157" s="258"/>
      <c r="R157" s="258"/>
      <c r="S157" s="258"/>
      <c r="T157" s="258"/>
      <c r="U157" s="258"/>
      <c r="V157" s="258"/>
      <c r="W157" s="258"/>
      <c r="X157" s="258"/>
      <c r="Y157" s="258"/>
      <c r="Z157" s="258"/>
      <c r="AA157" s="258"/>
      <c r="AB157" s="258"/>
    </row>
    <row r="158" ht="12.75" customHeight="1">
      <c r="A158" s="325">
        <v>44013</v>
      </c>
      <c r="B158" s="275"/>
      <c r="C158" t="s" s="274">
        <v>278</v>
      </c>
      <c r="D158" t="s" s="276">
        <v>1290</v>
      </c>
      <c r="E158" s="277"/>
      <c r="F158" s="278"/>
      <c r="G158" s="277">
        <v>8000</v>
      </c>
      <c r="H158" s="279">
        <v>107</v>
      </c>
      <c r="I158" s="277" cm="1">
        <f t="array" ref="I158">G158/H158</f>
        <v>74.7663551401869</v>
      </c>
      <c r="J158" s="280"/>
      <c r="K158" s="281"/>
      <c r="L158" s="264"/>
      <c r="M158" s="258"/>
      <c r="N158" s="258"/>
      <c r="O158" s="258"/>
      <c r="P158" s="258"/>
      <c r="Q158" s="258"/>
      <c r="R158" s="258"/>
      <c r="S158" s="258"/>
      <c r="T158" s="258"/>
      <c r="U158" s="258"/>
      <c r="V158" s="258"/>
      <c r="W158" s="258"/>
      <c r="X158" s="258"/>
      <c r="Y158" s="258"/>
      <c r="Z158" s="258"/>
      <c r="AA158" s="258"/>
      <c r="AB158" s="258"/>
    </row>
    <row r="159" ht="12.75" customHeight="1">
      <c r="A159" t="s" s="259">
        <v>1291</v>
      </c>
      <c r="B159" s="282"/>
      <c r="C159" t="s" s="259">
        <v>299</v>
      </c>
      <c r="D159" t="s" s="283">
        <v>1292</v>
      </c>
      <c r="E159" s="284"/>
      <c r="F159" s="285"/>
      <c r="G159" s="284">
        <v>30106.76</v>
      </c>
      <c r="H159" s="286">
        <v>390</v>
      </c>
      <c r="I159" s="284" cm="1">
        <f t="array" ref="I159">G159/H159</f>
        <v>77.19682051282049</v>
      </c>
      <c r="J159" s="280"/>
      <c r="K159" s="281"/>
      <c r="L159" s="264"/>
      <c r="M159" s="258"/>
      <c r="N159" s="258"/>
      <c r="O159" s="258"/>
      <c r="P159" s="258"/>
      <c r="Q159" s="258"/>
      <c r="R159" s="258"/>
      <c r="S159" s="258"/>
      <c r="T159" s="258"/>
      <c r="U159" s="258"/>
      <c r="V159" s="258"/>
      <c r="W159" s="258"/>
      <c r="X159" s="258"/>
      <c r="Y159" s="258"/>
      <c r="Z159" s="258"/>
      <c r="AA159" s="258"/>
      <c r="AB159" s="258"/>
    </row>
    <row r="160" ht="12.75" customHeight="1">
      <c r="A160" t="s" s="274">
        <v>1293</v>
      </c>
      <c r="B160" s="275"/>
      <c r="C160" t="s" s="274">
        <v>101</v>
      </c>
      <c r="D160" t="s" s="276">
        <v>1294</v>
      </c>
      <c r="E160" s="277"/>
      <c r="F160" s="278"/>
      <c r="G160" s="277">
        <v>169950</v>
      </c>
      <c r="H160" s="279">
        <v>2266</v>
      </c>
      <c r="I160" s="277" cm="1">
        <f t="array" ref="I160">G160/H160</f>
        <v>75</v>
      </c>
      <c r="J160" s="280"/>
      <c r="K160" s="281"/>
      <c r="L160" s="264"/>
      <c r="M160" s="258"/>
      <c r="N160" s="258"/>
      <c r="O160" s="258"/>
      <c r="P160" s="258"/>
      <c r="Q160" s="258"/>
      <c r="R160" s="258"/>
      <c r="S160" s="258"/>
      <c r="T160" s="258"/>
      <c r="U160" s="258"/>
      <c r="V160" s="258"/>
      <c r="W160" s="258"/>
      <c r="X160" s="258"/>
      <c r="Y160" s="258"/>
      <c r="Z160" s="258"/>
      <c r="AA160" s="258"/>
      <c r="AB160" s="258"/>
    </row>
    <row r="161" ht="12.75" customHeight="1">
      <c r="A161" t="s" s="259">
        <v>1295</v>
      </c>
      <c r="B161" s="282"/>
      <c r="C161" t="s" s="259">
        <v>688</v>
      </c>
      <c r="D161" t="s" s="283">
        <v>1296</v>
      </c>
      <c r="E161" s="284"/>
      <c r="F161" s="285"/>
      <c r="G161" s="284">
        <v>7750</v>
      </c>
      <c r="H161" s="286">
        <v>100</v>
      </c>
      <c r="I161" s="284">
        <v>77.5</v>
      </c>
      <c r="J161" s="280"/>
      <c r="K161" s="281"/>
      <c r="L161" s="264"/>
      <c r="M161" s="258"/>
      <c r="N161" s="258"/>
      <c r="O161" s="258"/>
      <c r="P161" s="258"/>
      <c r="Q161" s="258"/>
      <c r="R161" s="258"/>
      <c r="S161" s="258"/>
      <c r="T161" s="258"/>
      <c r="U161" s="258"/>
      <c r="V161" s="258"/>
      <c r="W161" s="258"/>
      <c r="X161" s="258"/>
      <c r="Y161" s="258"/>
      <c r="Z161" s="258"/>
      <c r="AA161" s="258"/>
      <c r="AB161" s="258"/>
    </row>
    <row r="162" ht="12.75" customHeight="1">
      <c r="A162" s="290">
        <v>43892</v>
      </c>
      <c r="B162" s="275"/>
      <c r="C162" t="s" s="274">
        <v>299</v>
      </c>
      <c r="D162" t="s" s="276">
        <v>1297</v>
      </c>
      <c r="E162" s="277"/>
      <c r="F162" s="278"/>
      <c r="G162" s="277">
        <v>88358.69</v>
      </c>
      <c r="H162" s="279">
        <v>1119</v>
      </c>
      <c r="I162" s="277" cm="1">
        <f t="array" ref="I162">G162/H162</f>
        <v>78.9621894548704</v>
      </c>
      <c r="J162" s="280"/>
      <c r="K162" s="281"/>
      <c r="L162" s="264"/>
      <c r="M162" s="258"/>
      <c r="N162" s="258"/>
      <c r="O162" s="258"/>
      <c r="P162" s="258"/>
      <c r="Q162" s="258"/>
      <c r="R162" s="258"/>
      <c r="S162" s="258"/>
      <c r="T162" s="258"/>
      <c r="U162" s="258"/>
      <c r="V162" s="258"/>
      <c r="W162" s="258"/>
      <c r="X162" s="258"/>
      <c r="Y162" s="258"/>
      <c r="Z162" s="258"/>
      <c r="AA162" s="258"/>
      <c r="AB162" s="258"/>
    </row>
    <row r="163" ht="12.75" customHeight="1">
      <c r="A163" s="287">
        <v>44106</v>
      </c>
      <c r="B163" s="282"/>
      <c r="C163" t="s" s="259">
        <v>101</v>
      </c>
      <c r="D163" t="s" s="283">
        <v>1298</v>
      </c>
      <c r="E163" s="284"/>
      <c r="F163" s="285"/>
      <c r="G163" s="284">
        <v>200751.95</v>
      </c>
      <c r="H163" s="286">
        <v>2509</v>
      </c>
      <c r="I163" s="284" cm="1">
        <f t="array" ref="I163">G163/H163</f>
        <v>80.0127341570347</v>
      </c>
      <c r="J163" s="280"/>
      <c r="K163" s="281"/>
      <c r="L163" s="264"/>
      <c r="M163" s="258"/>
      <c r="N163" s="258"/>
      <c r="O163" s="258"/>
      <c r="P163" s="258"/>
      <c r="Q163" s="258"/>
      <c r="R163" s="258"/>
      <c r="S163" s="258"/>
      <c r="T163" s="258"/>
      <c r="U163" s="258"/>
      <c r="V163" s="258"/>
      <c r="W163" s="258"/>
      <c r="X163" s="258"/>
      <c r="Y163" s="258"/>
      <c r="Z163" s="258"/>
      <c r="AA163" s="258"/>
      <c r="AB163" s="258"/>
    </row>
    <row r="164" ht="12.75" customHeight="1">
      <c r="A164" t="s" s="274">
        <v>1299</v>
      </c>
      <c r="B164" s="275"/>
      <c r="C164" t="s" s="274">
        <v>1300</v>
      </c>
      <c r="D164" t="s" s="276">
        <v>1301</v>
      </c>
      <c r="E164" s="277"/>
      <c r="F164" s="278"/>
      <c r="G164" s="277">
        <v>635000</v>
      </c>
      <c r="H164" s="279">
        <v>8141</v>
      </c>
      <c r="I164" s="277" cm="1">
        <f t="array" ref="I164">G164/H164</f>
        <v>78.0002456700651</v>
      </c>
      <c r="J164" s="280"/>
      <c r="K164" s="281"/>
      <c r="L164" s="264"/>
      <c r="M164" s="258"/>
      <c r="N164" s="258"/>
      <c r="O164" s="258"/>
      <c r="P164" s="258"/>
      <c r="Q164" s="258"/>
      <c r="R164" s="258"/>
      <c r="S164" s="258"/>
      <c r="T164" s="258"/>
      <c r="U164" s="258"/>
      <c r="V164" s="258"/>
      <c r="W164" s="258"/>
      <c r="X164" s="258"/>
      <c r="Y164" s="258"/>
      <c r="Z164" s="258"/>
      <c r="AA164" s="258"/>
      <c r="AB164" s="258"/>
    </row>
    <row r="165" ht="12.75" customHeight="1">
      <c r="A165" s="324">
        <v>43864</v>
      </c>
      <c r="B165" s="282"/>
      <c r="C165" t="s" s="259">
        <v>299</v>
      </c>
      <c r="D165" t="s" s="283">
        <v>1302</v>
      </c>
      <c r="E165" s="284"/>
      <c r="F165" s="285"/>
      <c r="G165" s="284">
        <v>47101.2</v>
      </c>
      <c r="H165" s="286">
        <v>604</v>
      </c>
      <c r="I165" s="284" cm="1">
        <f t="array" ref="I165">G165/H165</f>
        <v>77.98211920529801</v>
      </c>
      <c r="J165" s="280"/>
      <c r="K165" s="281"/>
      <c r="L165" s="264"/>
      <c r="M165" s="258"/>
      <c r="N165" s="258"/>
      <c r="O165" s="258"/>
      <c r="P165" s="258"/>
      <c r="Q165" s="258"/>
      <c r="R165" s="258"/>
      <c r="S165" s="258"/>
      <c r="T165" s="258"/>
      <c r="U165" s="258"/>
      <c r="V165" s="258"/>
      <c r="W165" s="258"/>
      <c r="X165" s="258"/>
      <c r="Y165" s="258"/>
      <c r="Z165" s="258"/>
      <c r="AA165" s="258"/>
      <c r="AB165" s="258"/>
    </row>
    <row r="166" ht="12.75" customHeight="1">
      <c r="A166" s="325">
        <v>43864</v>
      </c>
      <c r="B166" s="275"/>
      <c r="C166" t="s" s="274">
        <v>1193</v>
      </c>
      <c r="D166" t="s" s="276">
        <v>1303</v>
      </c>
      <c r="E166" s="277"/>
      <c r="F166" s="278"/>
      <c r="G166" s="277">
        <v>169500</v>
      </c>
      <c r="H166" s="279">
        <v>2173</v>
      </c>
      <c r="I166" s="277" cm="1">
        <f t="array" ref="I166">G166/H166</f>
        <v>78.0027611596871</v>
      </c>
      <c r="J166" s="280"/>
      <c r="K166" s="281"/>
      <c r="L166" s="264"/>
      <c r="M166" s="258"/>
      <c r="N166" s="258"/>
      <c r="O166" s="258"/>
      <c r="P166" s="258"/>
      <c r="Q166" s="258"/>
      <c r="R166" s="258"/>
      <c r="S166" s="258"/>
      <c r="T166" s="258"/>
      <c r="U166" s="258"/>
      <c r="V166" s="258"/>
      <c r="W166" s="258"/>
      <c r="X166" s="258"/>
      <c r="Y166" s="258"/>
      <c r="Z166" s="258"/>
      <c r="AA166" s="258"/>
      <c r="AB166" s="258"/>
    </row>
    <row r="167" ht="12.75" customHeight="1">
      <c r="A167" s="324">
        <v>43893</v>
      </c>
      <c r="B167" s="282"/>
      <c r="C167" t="s" s="259">
        <v>101</v>
      </c>
      <c r="D167" t="s" s="283">
        <v>1304</v>
      </c>
      <c r="E167" s="284"/>
      <c r="F167" s="285"/>
      <c r="G167" s="284">
        <v>212751.95</v>
      </c>
      <c r="H167" s="286">
        <v>2728</v>
      </c>
      <c r="I167" s="284" cm="1">
        <f t="array" ref="I167">G167/H167</f>
        <v>77.9882514662757</v>
      </c>
      <c r="J167" s="280"/>
      <c r="K167" s="281"/>
      <c r="L167" s="264"/>
      <c r="M167" s="258"/>
      <c r="N167" s="258"/>
      <c r="O167" s="258"/>
      <c r="P167" s="258"/>
      <c r="Q167" s="258"/>
      <c r="R167" s="258"/>
      <c r="S167" s="258"/>
      <c r="T167" s="258"/>
      <c r="U167" s="258"/>
      <c r="V167" s="258"/>
      <c r="W167" s="258"/>
      <c r="X167" s="258"/>
      <c r="Y167" s="258"/>
      <c r="Z167" s="258"/>
      <c r="AA167" s="258"/>
      <c r="AB167" s="258"/>
    </row>
    <row r="168" ht="12.75" customHeight="1">
      <c r="A168" t="s" s="274">
        <v>496</v>
      </c>
      <c r="B168" s="275"/>
      <c r="C168" t="s" s="274">
        <v>411</v>
      </c>
      <c r="D168" t="s" s="276">
        <v>1305</v>
      </c>
      <c r="E168" s="277"/>
      <c r="F168" s="278"/>
      <c r="G168" s="277">
        <v>200000</v>
      </c>
      <c r="H168" s="279">
        <v>2440</v>
      </c>
      <c r="I168" s="277" cm="1">
        <f t="array" ref="I168">G168/H168</f>
        <v>81.9672131147541</v>
      </c>
      <c r="J168" s="280"/>
      <c r="K168" s="281"/>
      <c r="L168" s="264"/>
      <c r="M168" s="258"/>
      <c r="N168" s="258"/>
      <c r="O168" s="258"/>
      <c r="P168" s="258"/>
      <c r="Q168" s="258"/>
      <c r="R168" s="258"/>
      <c r="S168" s="258"/>
      <c r="T168" s="258"/>
      <c r="U168" s="258"/>
      <c r="V168" s="258"/>
      <c r="W168" s="258"/>
      <c r="X168" s="258"/>
      <c r="Y168" s="258"/>
      <c r="Z168" s="258"/>
      <c r="AA168" s="258"/>
      <c r="AB168" s="258"/>
    </row>
    <row r="169" ht="12.75" customHeight="1">
      <c r="A169" t="s" s="259">
        <v>1306</v>
      </c>
      <c r="B169" s="282"/>
      <c r="C169" t="s" s="259">
        <v>278</v>
      </c>
      <c r="D169" t="s" s="283">
        <v>1307</v>
      </c>
      <c r="E169" s="284"/>
      <c r="F169" s="285"/>
      <c r="G169" s="284">
        <v>11000</v>
      </c>
      <c r="H169" s="286" cm="1">
        <f t="array" ref="H169">G169/I169</f>
        <v>130.952380952381</v>
      </c>
      <c r="I169" s="284">
        <v>84</v>
      </c>
      <c r="J169" s="280"/>
      <c r="K169" s="281"/>
      <c r="L169" s="264"/>
      <c r="M169" s="258"/>
      <c r="N169" s="258"/>
      <c r="O169" s="258"/>
      <c r="P169" s="258"/>
      <c r="Q169" s="258"/>
      <c r="R169" s="258"/>
      <c r="S169" s="258"/>
      <c r="T169" s="258"/>
      <c r="U169" s="258"/>
      <c r="V169" s="258"/>
      <c r="W169" s="258"/>
      <c r="X169" s="258"/>
      <c r="Y169" s="258"/>
      <c r="Z169" s="258"/>
      <c r="AA169" s="258"/>
      <c r="AB169" s="258"/>
    </row>
    <row r="170" ht="12.75" customHeight="1">
      <c r="A170" t="s" s="274">
        <v>1308</v>
      </c>
      <c r="B170" s="275"/>
      <c r="C170" t="s" s="274">
        <v>101</v>
      </c>
      <c r="D170" t="s" s="276">
        <v>1309</v>
      </c>
      <c r="E170" s="277"/>
      <c r="F170" s="278"/>
      <c r="G170" s="277">
        <v>212751.25</v>
      </c>
      <c r="H170" s="279">
        <v>2534</v>
      </c>
      <c r="I170" s="277" cm="1">
        <f t="array" ref="I170">G170/H170</f>
        <v>83.9586621941594</v>
      </c>
      <c r="J170" s="280"/>
      <c r="K170" s="281"/>
      <c r="L170" s="264"/>
      <c r="M170" s="258"/>
      <c r="N170" s="258"/>
      <c r="O170" s="258"/>
      <c r="P170" s="258"/>
      <c r="Q170" s="258"/>
      <c r="R170" s="258"/>
      <c r="S170" s="258"/>
      <c r="T170" s="258"/>
      <c r="U170" s="258"/>
      <c r="V170" s="258"/>
      <c r="W170" s="258"/>
      <c r="X170" s="258"/>
      <c r="Y170" s="258"/>
      <c r="Z170" s="258"/>
      <c r="AA170" s="258"/>
      <c r="AB170" s="258"/>
    </row>
    <row r="171" ht="12.75" customHeight="1">
      <c r="A171" t="s" s="259">
        <v>1310</v>
      </c>
      <c r="B171" s="282"/>
      <c r="C171" t="s" s="259">
        <v>278</v>
      </c>
      <c r="D171" t="s" s="283">
        <v>1311</v>
      </c>
      <c r="E171" s="284"/>
      <c r="F171" s="285"/>
      <c r="G171" s="284">
        <v>7000</v>
      </c>
      <c r="H171" s="286" cm="1">
        <f t="array" ref="H171">G171/I171</f>
        <v>62.5</v>
      </c>
      <c r="I171" s="284">
        <v>112</v>
      </c>
      <c r="J171" s="280"/>
      <c r="K171" s="281"/>
      <c r="L171" s="264"/>
      <c r="M171" s="258"/>
      <c r="N171" s="258"/>
      <c r="O171" s="258"/>
      <c r="P171" s="258"/>
      <c r="Q171" s="258"/>
      <c r="R171" s="258"/>
      <c r="S171" s="258"/>
      <c r="T171" s="258"/>
      <c r="U171" s="258"/>
      <c r="V171" s="258"/>
      <c r="W171" s="258"/>
      <c r="X171" s="258"/>
      <c r="Y171" s="258"/>
      <c r="Z171" s="258"/>
      <c r="AA171" s="258"/>
      <c r="AB171" s="258"/>
    </row>
    <row r="172" ht="12.75" customHeight="1">
      <c r="A172" s="325">
        <v>44170</v>
      </c>
      <c r="B172" s="275"/>
      <c r="C172" t="s" s="274">
        <v>101</v>
      </c>
      <c r="D172" t="s" s="276">
        <v>1312</v>
      </c>
      <c r="E172" s="277"/>
      <c r="F172" s="278"/>
      <c r="G172" s="277">
        <v>212751.75</v>
      </c>
      <c r="H172" s="279">
        <v>1743</v>
      </c>
      <c r="I172" s="277" cm="1">
        <f t="array" ref="I172">G172/H172</f>
        <v>122.060671256454</v>
      </c>
      <c r="J172" s="280"/>
      <c r="K172" s="281"/>
      <c r="L172" s="264"/>
      <c r="M172" s="258"/>
      <c r="N172" s="258"/>
      <c r="O172" s="258"/>
      <c r="P172" s="258"/>
      <c r="Q172" s="258"/>
      <c r="R172" s="258"/>
      <c r="S172" s="258"/>
      <c r="T172" s="258"/>
      <c r="U172" s="258"/>
      <c r="V172" s="258"/>
      <c r="W172" s="258"/>
      <c r="X172" s="258"/>
      <c r="Y172" s="258"/>
      <c r="Z172" s="258"/>
      <c r="AA172" s="258"/>
      <c r="AB172" s="258"/>
    </row>
    <row r="173" ht="12.75" customHeight="1">
      <c r="A173" t="s" s="259">
        <v>1313</v>
      </c>
      <c r="B173" s="282"/>
      <c r="C173" t="s" s="259">
        <v>1217</v>
      </c>
      <c r="D173" t="s" s="283">
        <v>1314</v>
      </c>
      <c r="E173" s="284"/>
      <c r="F173" s="285"/>
      <c r="G173" s="284">
        <v>7278</v>
      </c>
      <c r="H173" s="286" cm="1">
        <f t="array" ref="H173">G173/I173</f>
        <v>58.224</v>
      </c>
      <c r="I173" s="284">
        <v>125</v>
      </c>
      <c r="J173" s="280"/>
      <c r="K173" s="281"/>
      <c r="L173" s="264"/>
      <c r="M173" s="258"/>
      <c r="N173" s="258"/>
      <c r="O173" s="258"/>
      <c r="P173" s="258"/>
      <c r="Q173" s="258"/>
      <c r="R173" s="258"/>
      <c r="S173" s="258"/>
      <c r="T173" s="258"/>
      <c r="U173" s="258"/>
      <c r="V173" s="258"/>
      <c r="W173" s="258"/>
      <c r="X173" s="258"/>
      <c r="Y173" s="258"/>
      <c r="Z173" s="258"/>
      <c r="AA173" s="258"/>
      <c r="AB173" s="258"/>
    </row>
    <row r="174" ht="12.75" customHeight="1">
      <c r="A174" s="325">
        <v>43867</v>
      </c>
      <c r="B174" s="275"/>
      <c r="C174" t="s" s="274">
        <v>1273</v>
      </c>
      <c r="D174" t="s" s="276">
        <v>1315</v>
      </c>
      <c r="E174" s="277"/>
      <c r="F174" s="278"/>
      <c r="G174" s="277">
        <v>400000</v>
      </c>
      <c r="H174" s="279">
        <v>3333</v>
      </c>
      <c r="I174" s="277" cm="1">
        <f t="array" ref="I174">G174/H174</f>
        <v>120.012001200120</v>
      </c>
      <c r="J174" s="280"/>
      <c r="K174" s="281"/>
      <c r="L174" s="264"/>
      <c r="M174" s="258"/>
      <c r="N174" s="258"/>
      <c r="O174" s="258"/>
      <c r="P174" s="258"/>
      <c r="Q174" s="258"/>
      <c r="R174" s="258"/>
      <c r="S174" s="258"/>
      <c r="T174" s="258"/>
      <c r="U174" s="258"/>
      <c r="V174" s="258"/>
      <c r="W174" s="258"/>
      <c r="X174" s="258"/>
      <c r="Y174" s="258"/>
      <c r="Z174" s="258"/>
      <c r="AA174" s="258"/>
      <c r="AB174" s="258"/>
    </row>
    <row r="175" ht="12.75" customHeight="1">
      <c r="A175" s="324">
        <v>43927</v>
      </c>
      <c r="B175" s="282"/>
      <c r="C175" t="s" s="259">
        <v>278</v>
      </c>
      <c r="D175" t="s" s="283">
        <v>1316</v>
      </c>
      <c r="E175" s="284"/>
      <c r="F175" s="285"/>
      <c r="G175" s="284">
        <v>80000</v>
      </c>
      <c r="H175" s="286">
        <v>665</v>
      </c>
      <c r="I175" s="284" cm="1">
        <f t="array" ref="I175">G175/H175</f>
        <v>120.300751879699</v>
      </c>
      <c r="J175" s="280"/>
      <c r="K175" s="281"/>
      <c r="L175" s="264"/>
      <c r="M175" s="258"/>
      <c r="N175" s="258"/>
      <c r="O175" s="258"/>
      <c r="P175" s="258"/>
      <c r="Q175" s="258"/>
      <c r="R175" s="258"/>
      <c r="S175" s="258"/>
      <c r="T175" s="258"/>
      <c r="U175" s="258"/>
      <c r="V175" s="258"/>
      <c r="W175" s="258"/>
      <c r="X175" s="258"/>
      <c r="Y175" s="258"/>
      <c r="Z175" s="258"/>
      <c r="AA175" s="258"/>
      <c r="AB175" s="258"/>
    </row>
    <row r="176" ht="12.75" customHeight="1">
      <c r="A176" s="325">
        <v>44049</v>
      </c>
      <c r="B176" s="275"/>
      <c r="C176" t="s" s="274">
        <v>101</v>
      </c>
      <c r="D176" t="s" s="276">
        <v>1317</v>
      </c>
      <c r="E176" s="277"/>
      <c r="F176" s="278"/>
      <c r="G176" s="277">
        <v>471074.69</v>
      </c>
      <c r="H176" s="279">
        <v>3860</v>
      </c>
      <c r="I176" s="277" cm="1">
        <f t="array" ref="I176">G176/H176</f>
        <v>122.040075129534</v>
      </c>
      <c r="J176" s="280"/>
      <c r="K176" s="281"/>
      <c r="L176" s="264"/>
      <c r="M176" s="258"/>
      <c r="N176" s="258"/>
      <c r="O176" s="258"/>
      <c r="P176" s="258"/>
      <c r="Q176" s="258"/>
      <c r="R176" s="258"/>
      <c r="S176" s="258"/>
      <c r="T176" s="258"/>
      <c r="U176" s="258"/>
      <c r="V176" s="258"/>
      <c r="W176" s="258"/>
      <c r="X176" s="258"/>
      <c r="Y176" s="258"/>
      <c r="Z176" s="258"/>
      <c r="AA176" s="258"/>
      <c r="AB176" s="258"/>
    </row>
    <row r="177" ht="12.75" customHeight="1">
      <c r="A177" s="324">
        <v>44171</v>
      </c>
      <c r="B177" s="282"/>
      <c r="C177" t="s" s="259">
        <v>494</v>
      </c>
      <c r="D177" t="s" s="283">
        <v>1318</v>
      </c>
      <c r="E177" s="284"/>
      <c r="F177" s="285"/>
      <c r="G177" s="284">
        <v>50000</v>
      </c>
      <c r="H177" s="286">
        <v>400</v>
      </c>
      <c r="I177" s="284" cm="1">
        <f t="array" ref="I177">G177/H177</f>
        <v>125</v>
      </c>
      <c r="J177" s="280"/>
      <c r="K177" s="281"/>
      <c r="L177" s="264"/>
      <c r="M177" s="258"/>
      <c r="N177" s="258"/>
      <c r="O177" s="258"/>
      <c r="P177" s="258"/>
      <c r="Q177" s="258"/>
      <c r="R177" s="258"/>
      <c r="S177" s="258"/>
      <c r="T177" s="258"/>
      <c r="U177" s="258"/>
      <c r="V177" s="258"/>
      <c r="W177" s="258"/>
      <c r="X177" s="258"/>
      <c r="Y177" s="258"/>
      <c r="Z177" s="258"/>
      <c r="AA177" s="258"/>
      <c r="AB177" s="258"/>
    </row>
    <row r="178" ht="12.75" customHeight="1">
      <c r="A178" t="s" s="274">
        <v>1319</v>
      </c>
      <c r="B178" s="275"/>
      <c r="C178" t="s" s="274">
        <v>299</v>
      </c>
      <c r="D178" t="s" s="276">
        <v>1320</v>
      </c>
      <c r="E178" s="277"/>
      <c r="F178" s="278"/>
      <c r="G178" s="277">
        <v>300000</v>
      </c>
      <c r="H178" s="279">
        <v>2400</v>
      </c>
      <c r="I178" s="277" cm="1">
        <f t="array" ref="I178">G178/H178</f>
        <v>125</v>
      </c>
      <c r="J178" s="280"/>
      <c r="K178" s="281"/>
      <c r="L178" s="264"/>
      <c r="M178" s="258"/>
      <c r="N178" s="258"/>
      <c r="O178" s="258"/>
      <c r="P178" s="258"/>
      <c r="Q178" s="258"/>
      <c r="R178" s="258"/>
      <c r="S178" s="258"/>
      <c r="T178" s="258"/>
      <c r="U178" s="258"/>
      <c r="V178" s="258"/>
      <c r="W178" s="258"/>
      <c r="X178" s="258"/>
      <c r="Y178" s="258"/>
      <c r="Z178" s="258"/>
      <c r="AA178" s="258"/>
      <c r="AB178" s="258"/>
    </row>
    <row r="179" ht="12.75" customHeight="1">
      <c r="A179" s="324">
        <v>43989</v>
      </c>
      <c r="B179" s="282"/>
      <c r="C179" t="s" s="274">
        <v>1321</v>
      </c>
      <c r="D179" t="s" s="283">
        <v>1322</v>
      </c>
      <c r="E179" s="284"/>
      <c r="F179" s="285"/>
      <c r="G179" s="284">
        <v>55809</v>
      </c>
      <c r="H179" s="286">
        <v>447</v>
      </c>
      <c r="I179" s="284" cm="1">
        <f t="array" ref="I179">G179/H179</f>
        <v>124.852348993289</v>
      </c>
      <c r="J179" s="280"/>
      <c r="K179" s="281"/>
      <c r="L179" s="264"/>
      <c r="M179" s="258"/>
      <c r="N179" s="258"/>
      <c r="O179" s="258"/>
      <c r="P179" s="258"/>
      <c r="Q179" s="258"/>
      <c r="R179" s="258"/>
      <c r="S179" s="258"/>
      <c r="T179" s="258"/>
      <c r="U179" s="258"/>
      <c r="V179" s="258"/>
      <c r="W179" s="258"/>
      <c r="X179" s="258"/>
      <c r="Y179" s="258"/>
      <c r="Z179" s="258"/>
      <c r="AA179" s="258"/>
      <c r="AB179" s="258"/>
    </row>
    <row r="180" ht="12.75" customHeight="1">
      <c r="A180" s="325">
        <v>44050</v>
      </c>
      <c r="B180" s="275"/>
      <c r="C180" t="s" s="274">
        <v>101</v>
      </c>
      <c r="D180" t="s" s="276">
        <v>1323</v>
      </c>
      <c r="E180" s="277"/>
      <c r="F180" s="278"/>
      <c r="G180" s="277">
        <v>471074.69</v>
      </c>
      <c r="H180" s="279">
        <v>3770</v>
      </c>
      <c r="I180" s="277" cm="1">
        <f t="array" ref="I180">G180/H180</f>
        <v>124.953498673740</v>
      </c>
      <c r="J180" s="280"/>
      <c r="K180" s="281"/>
      <c r="L180" s="264"/>
      <c r="M180" s="258"/>
      <c r="N180" s="258"/>
      <c r="O180" s="258"/>
      <c r="P180" s="258"/>
      <c r="Q180" s="258"/>
      <c r="R180" s="258"/>
      <c r="S180" s="258"/>
      <c r="T180" s="258"/>
      <c r="U180" s="258"/>
      <c r="V180" s="258"/>
      <c r="W180" s="258"/>
      <c r="X180" s="258"/>
      <c r="Y180" s="258"/>
      <c r="Z180" s="258"/>
      <c r="AA180" s="258"/>
      <c r="AB180" s="258"/>
    </row>
    <row r="181" ht="12.75" customHeight="1">
      <c r="A181" t="s" s="259">
        <v>1324</v>
      </c>
      <c r="B181" s="282"/>
      <c r="C181" t="s" s="259">
        <v>1217</v>
      </c>
      <c r="D181" t="s" s="283">
        <v>1325</v>
      </c>
      <c r="E181" s="284"/>
      <c r="F181" s="285"/>
      <c r="G181" s="284">
        <v>5000</v>
      </c>
      <c r="H181" s="286" cm="1">
        <f t="array" ref="H181">G181/I181</f>
        <v>40</v>
      </c>
      <c r="I181" s="284">
        <v>125</v>
      </c>
      <c r="J181" s="280"/>
      <c r="K181" s="281"/>
      <c r="L181" s="264"/>
      <c r="M181" s="258"/>
      <c r="N181" s="258"/>
      <c r="O181" s="258"/>
      <c r="P181" s="258"/>
      <c r="Q181" s="258"/>
      <c r="R181" s="258"/>
      <c r="S181" s="258"/>
      <c r="T181" s="258"/>
      <c r="U181" s="258"/>
      <c r="V181" s="258"/>
      <c r="W181" s="258"/>
      <c r="X181" s="258"/>
      <c r="Y181" s="258"/>
      <c r="Z181" s="258"/>
      <c r="AA181" s="258"/>
      <c r="AB181" s="258"/>
    </row>
    <row r="182" ht="12.75" customHeight="1">
      <c r="A182" t="s" s="274">
        <v>1326</v>
      </c>
      <c r="B182" s="275"/>
      <c r="C182" t="s" s="274">
        <v>278</v>
      </c>
      <c r="D182" t="s" s="276">
        <v>1327</v>
      </c>
      <c r="E182" s="277"/>
      <c r="F182" s="278"/>
      <c r="G182" s="277">
        <v>4200</v>
      </c>
      <c r="H182" s="279" cm="1">
        <f t="array" ref="H182">G182/I182</f>
        <v>33.6</v>
      </c>
      <c r="I182" s="277">
        <v>125</v>
      </c>
      <c r="J182" s="280"/>
      <c r="K182" s="281"/>
      <c r="L182" s="264"/>
      <c r="M182" s="258"/>
      <c r="N182" s="258"/>
      <c r="O182" s="258"/>
      <c r="P182" s="258"/>
      <c r="Q182" s="258"/>
      <c r="R182" s="258"/>
      <c r="S182" s="258"/>
      <c r="T182" s="258"/>
      <c r="U182" s="258"/>
      <c r="V182" s="258"/>
      <c r="W182" s="258"/>
      <c r="X182" s="258"/>
      <c r="Y182" s="258"/>
      <c r="Z182" s="258"/>
      <c r="AA182" s="258"/>
      <c r="AB182" s="258"/>
    </row>
    <row r="183" ht="12.75" customHeight="1">
      <c r="A183" s="324">
        <v>43990</v>
      </c>
      <c r="B183" s="282"/>
      <c r="C183" t="s" s="259">
        <v>1273</v>
      </c>
      <c r="D183" t="s" s="283">
        <v>1328</v>
      </c>
      <c r="E183" s="284"/>
      <c r="F183" s="285"/>
      <c r="G183" s="284">
        <v>400000</v>
      </c>
      <c r="H183" s="286">
        <v>3030</v>
      </c>
      <c r="I183" s="284" cm="1">
        <f t="array" ref="I183">G183/H183</f>
        <v>132.013201320132</v>
      </c>
      <c r="J183" s="280"/>
      <c r="K183" s="281"/>
      <c r="L183" s="264"/>
      <c r="M183" s="258"/>
      <c r="N183" s="258"/>
      <c r="O183" s="258"/>
      <c r="P183" s="258"/>
      <c r="Q183" s="258"/>
      <c r="R183" s="258"/>
      <c r="S183" s="258"/>
      <c r="T183" s="258"/>
      <c r="U183" s="258"/>
      <c r="V183" s="258"/>
      <c r="W183" s="258"/>
      <c r="X183" s="258"/>
      <c r="Y183" s="258"/>
      <c r="Z183" s="258"/>
      <c r="AA183" s="258"/>
      <c r="AB183" s="258"/>
    </row>
    <row r="184" ht="12.75" customHeight="1">
      <c r="A184" s="325">
        <v>43990</v>
      </c>
      <c r="B184" s="275"/>
      <c r="C184" t="s" s="274">
        <v>1321</v>
      </c>
      <c r="D184" t="s" s="276">
        <v>1329</v>
      </c>
      <c r="E184" s="277"/>
      <c r="F184" s="278"/>
      <c r="G184" s="277">
        <v>35937</v>
      </c>
      <c r="H184" s="279">
        <v>272</v>
      </c>
      <c r="I184" s="277" cm="1">
        <f t="array" ref="I184">G184/H184</f>
        <v>132.121323529412</v>
      </c>
      <c r="J184" s="280"/>
      <c r="K184" s="281"/>
      <c r="L184" s="264"/>
      <c r="M184" s="258"/>
      <c r="N184" s="258"/>
      <c r="O184" s="258"/>
      <c r="P184" s="258"/>
      <c r="Q184" s="258"/>
      <c r="R184" s="258"/>
      <c r="S184" s="258"/>
      <c r="T184" s="258"/>
      <c r="U184" s="258"/>
      <c r="V184" s="258"/>
      <c r="W184" s="258"/>
      <c r="X184" s="258"/>
      <c r="Y184" s="258"/>
      <c r="Z184" s="258"/>
      <c r="AA184" s="258"/>
      <c r="AB184" s="258"/>
    </row>
    <row r="185" ht="12.75" customHeight="1">
      <c r="A185" s="324">
        <v>43990</v>
      </c>
      <c r="B185" s="282"/>
      <c r="C185" t="s" s="274">
        <v>1321</v>
      </c>
      <c r="D185" t="s" s="283">
        <v>1330</v>
      </c>
      <c r="E185" s="284"/>
      <c r="F185" s="285"/>
      <c r="G185" s="284">
        <v>14374.8</v>
      </c>
      <c r="H185" s="286">
        <v>109</v>
      </c>
      <c r="I185" s="284" cm="1">
        <f t="array" ref="I185">G185/H185</f>
        <v>131.878899082569</v>
      </c>
      <c r="J185" s="280"/>
      <c r="K185" s="281"/>
      <c r="L185" s="264"/>
      <c r="M185" s="258"/>
      <c r="N185" s="258"/>
      <c r="O185" s="258"/>
      <c r="P185" s="258"/>
      <c r="Q185" s="258"/>
      <c r="R185" s="258"/>
      <c r="S185" s="258"/>
      <c r="T185" s="258"/>
      <c r="U185" s="258"/>
      <c r="V185" s="258"/>
      <c r="W185" s="258"/>
      <c r="X185" s="258"/>
      <c r="Y185" s="258"/>
      <c r="Z185" s="258"/>
      <c r="AA185" s="258"/>
      <c r="AB185" s="258"/>
    </row>
    <row r="186" ht="12.75" customHeight="1">
      <c r="A186" s="325">
        <v>44020</v>
      </c>
      <c r="B186" s="275"/>
      <c r="C186" t="s" s="274">
        <v>101</v>
      </c>
      <c r="D186" t="s" s="276">
        <v>1331</v>
      </c>
      <c r="E186" s="277"/>
      <c r="F186" s="278"/>
      <c r="G186" s="277">
        <v>471074.69</v>
      </c>
      <c r="H186" s="279">
        <v>3490</v>
      </c>
      <c r="I186" s="277" cm="1">
        <f t="array" ref="I186">G186/H186</f>
        <v>134.978421203438</v>
      </c>
      <c r="J186" s="280"/>
      <c r="K186" s="281"/>
      <c r="L186" s="264"/>
      <c r="M186" s="258"/>
      <c r="N186" s="258"/>
      <c r="O186" s="258"/>
      <c r="P186" s="258"/>
      <c r="Q186" s="258"/>
      <c r="R186" s="258"/>
      <c r="S186" s="258"/>
      <c r="T186" s="258"/>
      <c r="U186" s="258"/>
      <c r="V186" s="258"/>
      <c r="W186" s="258"/>
      <c r="X186" s="258"/>
      <c r="Y186" s="258"/>
      <c r="Z186" s="258"/>
      <c r="AA186" s="258"/>
      <c r="AB186" s="258"/>
    </row>
    <row r="187" ht="12.75" customHeight="1">
      <c r="A187" s="324">
        <v>44143</v>
      </c>
      <c r="B187" s="282"/>
      <c r="C187" t="s" s="259">
        <v>169</v>
      </c>
      <c r="D187" t="s" s="283">
        <v>1332</v>
      </c>
      <c r="E187" s="284"/>
      <c r="F187" s="285"/>
      <c r="G187" s="284">
        <v>100000</v>
      </c>
      <c r="H187" s="286">
        <v>769</v>
      </c>
      <c r="I187" s="284" cm="1">
        <f t="array" ref="I187">G187/H187</f>
        <v>130.039011703511</v>
      </c>
      <c r="J187" s="280"/>
      <c r="K187" s="281"/>
      <c r="L187" s="264"/>
      <c r="M187" s="258"/>
      <c r="N187" s="258"/>
      <c r="O187" s="258"/>
      <c r="P187" s="258"/>
      <c r="Q187" s="258"/>
      <c r="R187" s="258"/>
      <c r="S187" s="258"/>
      <c r="T187" s="258"/>
      <c r="U187" s="258"/>
      <c r="V187" s="258"/>
      <c r="W187" s="258"/>
      <c r="X187" s="258"/>
      <c r="Y187" s="258"/>
      <c r="Z187" s="258"/>
      <c r="AA187" s="258"/>
      <c r="AB187" s="258"/>
    </row>
    <row r="188" ht="12.75" customHeight="1">
      <c r="A188" s="325">
        <v>44173</v>
      </c>
      <c r="B188" s="275"/>
      <c r="C188" t="s" s="274">
        <v>1273</v>
      </c>
      <c r="D188" t="s" s="276">
        <v>1333</v>
      </c>
      <c r="E188" s="277"/>
      <c r="F188" s="278"/>
      <c r="G188" s="277">
        <v>30000</v>
      </c>
      <c r="H188" s="279">
        <v>230</v>
      </c>
      <c r="I188" s="277" cm="1">
        <f t="array" ref="I188">G188/H188</f>
        <v>130.434782608696</v>
      </c>
      <c r="J188" s="280"/>
      <c r="K188" s="281"/>
      <c r="L188" s="264"/>
      <c r="M188" s="258"/>
      <c r="N188" s="258"/>
      <c r="O188" s="258"/>
      <c r="P188" s="258"/>
      <c r="Q188" s="258"/>
      <c r="R188" s="258"/>
      <c r="S188" s="258"/>
      <c r="T188" s="258"/>
      <c r="U188" s="258"/>
      <c r="V188" s="258"/>
      <c r="W188" s="258"/>
      <c r="X188" s="258"/>
      <c r="Y188" s="258"/>
      <c r="Z188" s="258"/>
      <c r="AA188" s="258"/>
      <c r="AB188" s="258"/>
    </row>
    <row r="189" ht="12.75" customHeight="1">
      <c r="A189" s="324">
        <v>44173</v>
      </c>
      <c r="B189" s="282"/>
      <c r="C189" t="s" s="259">
        <v>494</v>
      </c>
      <c r="D189" t="s" s="283">
        <v>1334</v>
      </c>
      <c r="E189" s="284"/>
      <c r="F189" s="285"/>
      <c r="G189" s="284">
        <v>50000</v>
      </c>
      <c r="H189" s="286">
        <v>378</v>
      </c>
      <c r="I189" s="284" cm="1">
        <f t="array" ref="I189">G189/H189</f>
        <v>132.275132275132</v>
      </c>
      <c r="J189" s="280"/>
      <c r="K189" s="281"/>
      <c r="L189" s="264"/>
      <c r="M189" s="258"/>
      <c r="N189" s="258"/>
      <c r="O189" s="258"/>
      <c r="P189" s="258"/>
      <c r="Q189" s="258"/>
      <c r="R189" s="258"/>
      <c r="S189" s="258"/>
      <c r="T189" s="258"/>
      <c r="U189" s="258"/>
      <c r="V189" s="258"/>
      <c r="W189" s="258"/>
      <c r="X189" s="258"/>
      <c r="Y189" s="258"/>
      <c r="Z189" s="258"/>
      <c r="AA189" s="258"/>
      <c r="AB189" s="258"/>
    </row>
    <row r="190" ht="12.75" customHeight="1">
      <c r="A190" s="325">
        <v>43898</v>
      </c>
      <c r="B190" s="275"/>
      <c r="C190" t="s" s="274">
        <v>299</v>
      </c>
      <c r="D190" t="s" s="276">
        <v>1335</v>
      </c>
      <c r="E190" s="277"/>
      <c r="F190" s="278"/>
      <c r="G190" s="277">
        <v>300000</v>
      </c>
      <c r="H190" s="279">
        <v>2272</v>
      </c>
      <c r="I190" s="277" cm="1">
        <f t="array" ref="I190">G190/H190</f>
        <v>132.042253521127</v>
      </c>
      <c r="J190" s="280"/>
      <c r="K190" s="281"/>
      <c r="L190" s="264"/>
      <c r="M190" s="258"/>
      <c r="N190" s="258"/>
      <c r="O190" s="258"/>
      <c r="P190" s="258"/>
      <c r="Q190" s="258"/>
      <c r="R190" s="258"/>
      <c r="S190" s="258"/>
      <c r="T190" s="258"/>
      <c r="U190" s="258"/>
      <c r="V190" s="258"/>
      <c r="W190" s="258"/>
      <c r="X190" s="258"/>
      <c r="Y190" s="258"/>
      <c r="Z190" s="258"/>
      <c r="AA190" s="258"/>
      <c r="AB190" s="258"/>
    </row>
    <row r="191" ht="12.75" customHeight="1">
      <c r="A191" s="324">
        <v>44173</v>
      </c>
      <c r="B191" s="282"/>
      <c r="C191" s="294"/>
      <c r="D191" t="s" s="283">
        <v>1336</v>
      </c>
      <c r="E191" s="284"/>
      <c r="F191" s="285"/>
      <c r="G191" s="284">
        <v>24500</v>
      </c>
      <c r="H191" s="286">
        <v>188</v>
      </c>
      <c r="I191" s="284" cm="1">
        <f t="array" ref="I191">G191/H191</f>
        <v>130.319148936170</v>
      </c>
      <c r="J191" s="280"/>
      <c r="K191" s="281"/>
      <c r="L191" s="264"/>
      <c r="M191" s="258"/>
      <c r="N191" s="258"/>
      <c r="O191" s="258"/>
      <c r="P191" s="258"/>
      <c r="Q191" s="258"/>
      <c r="R191" s="258"/>
      <c r="S191" s="258"/>
      <c r="T191" s="258"/>
      <c r="U191" s="258"/>
      <c r="V191" s="258"/>
      <c r="W191" s="258"/>
      <c r="X191" s="258"/>
      <c r="Y191" s="258"/>
      <c r="Z191" s="258"/>
      <c r="AA191" s="258"/>
      <c r="AB191" s="258"/>
    </row>
    <row r="192" ht="12.75" customHeight="1">
      <c r="A192" s="325">
        <v>44173</v>
      </c>
      <c r="B192" s="275"/>
      <c r="C192" t="s" s="274">
        <v>1217</v>
      </c>
      <c r="D192" t="s" s="276">
        <v>1337</v>
      </c>
      <c r="E192" s="277"/>
      <c r="F192" s="278"/>
      <c r="G192" s="277">
        <v>5000</v>
      </c>
      <c r="H192" s="279" cm="1">
        <f t="array" ref="H192">G192/I192</f>
        <v>38.4615384615385</v>
      </c>
      <c r="I192" s="277">
        <v>130</v>
      </c>
      <c r="J192" s="280"/>
      <c r="K192" s="281"/>
      <c r="L192" s="264"/>
      <c r="M192" s="258"/>
      <c r="N192" s="258"/>
      <c r="O192" s="258"/>
      <c r="P192" s="258"/>
      <c r="Q192" s="258"/>
      <c r="R192" s="258"/>
      <c r="S192" s="258"/>
      <c r="T192" s="258"/>
      <c r="U192" s="258"/>
      <c r="V192" s="258"/>
      <c r="W192" s="258"/>
      <c r="X192" s="258"/>
      <c r="Y192" s="258"/>
      <c r="Z192" s="258"/>
      <c r="AA192" s="258"/>
      <c r="AB192" s="258"/>
    </row>
    <row r="193" ht="12.75" customHeight="1">
      <c r="A193" t="s" s="259">
        <v>1338</v>
      </c>
      <c r="B193" s="282"/>
      <c r="C193" t="s" s="259">
        <v>299</v>
      </c>
      <c r="D193" t="s" s="283">
        <v>1339</v>
      </c>
      <c r="E193" s="284"/>
      <c r="F193" s="285"/>
      <c r="G193" s="284">
        <v>200000</v>
      </c>
      <c r="H193" s="286">
        <v>1480</v>
      </c>
      <c r="I193" s="284" cm="1">
        <f t="array" ref="I193">G193/H193</f>
        <v>135.135135135135</v>
      </c>
      <c r="J193" s="280"/>
      <c r="K193" s="281"/>
      <c r="L193" s="264"/>
      <c r="M193" s="258"/>
      <c r="N193" s="258"/>
      <c r="O193" s="258"/>
      <c r="P193" s="258"/>
      <c r="Q193" s="258"/>
      <c r="R193" s="258"/>
      <c r="S193" s="258"/>
      <c r="T193" s="258"/>
      <c r="U193" s="258"/>
      <c r="V193" s="258"/>
      <c r="W193" s="258"/>
      <c r="X193" s="258"/>
      <c r="Y193" s="258"/>
      <c r="Z193" s="258"/>
      <c r="AA193" s="258"/>
      <c r="AB193" s="258"/>
    </row>
    <row r="194" ht="12.75" customHeight="1">
      <c r="A194" s="325">
        <v>43899</v>
      </c>
      <c r="B194" s="275"/>
      <c r="C194" t="s" s="274">
        <v>101</v>
      </c>
      <c r="D194" t="s" s="276">
        <v>1340</v>
      </c>
      <c r="E194" s="277"/>
      <c r="F194" s="278"/>
      <c r="G194" s="277">
        <v>471074.69</v>
      </c>
      <c r="H194" s="279">
        <v>3515</v>
      </c>
      <c r="I194" s="277" cm="1">
        <f t="array" ref="I194">G194/H194</f>
        <v>134.018403982930</v>
      </c>
      <c r="J194" s="280"/>
      <c r="K194" s="281"/>
      <c r="L194" s="264"/>
      <c r="M194" s="258"/>
      <c r="N194" s="258"/>
      <c r="O194" s="258"/>
      <c r="P194" s="258"/>
      <c r="Q194" s="258"/>
      <c r="R194" s="258"/>
      <c r="S194" s="258"/>
      <c r="T194" s="258"/>
      <c r="U194" s="258"/>
      <c r="V194" s="258"/>
      <c r="W194" s="258"/>
      <c r="X194" s="258"/>
      <c r="Y194" s="258"/>
      <c r="Z194" s="258"/>
      <c r="AA194" s="258"/>
      <c r="AB194" s="258"/>
    </row>
    <row r="195" ht="12.75" customHeight="1">
      <c r="A195" s="324">
        <v>43899</v>
      </c>
      <c r="B195" s="282"/>
      <c r="C195" t="s" s="259">
        <v>299</v>
      </c>
      <c r="D195" t="s" s="283">
        <v>1341</v>
      </c>
      <c r="E195" s="284"/>
      <c r="F195" s="285"/>
      <c r="G195" s="284">
        <v>100000</v>
      </c>
      <c r="H195" s="286">
        <v>758</v>
      </c>
      <c r="I195" s="284" cm="1">
        <f t="array" ref="I195">G195/H195</f>
        <v>131.926121372032</v>
      </c>
      <c r="J195" s="280"/>
      <c r="K195" s="281"/>
      <c r="L195" s="264"/>
      <c r="M195" s="258"/>
      <c r="N195" s="258"/>
      <c r="O195" s="258"/>
      <c r="P195" s="258"/>
      <c r="Q195" s="258"/>
      <c r="R195" s="258"/>
      <c r="S195" s="258"/>
      <c r="T195" s="258"/>
      <c r="U195" s="258"/>
      <c r="V195" s="258"/>
      <c r="W195" s="258"/>
      <c r="X195" s="258"/>
      <c r="Y195" s="258"/>
      <c r="Z195" s="258"/>
      <c r="AA195" s="258"/>
      <c r="AB195" s="258"/>
    </row>
    <row r="196" ht="12.75" customHeight="1">
      <c r="A196" s="325">
        <v>43899</v>
      </c>
      <c r="B196" s="275"/>
      <c r="C196" t="s" s="274">
        <v>299</v>
      </c>
      <c r="D196" t="s" s="276">
        <v>1342</v>
      </c>
      <c r="E196" s="277"/>
      <c r="F196" s="278"/>
      <c r="G196" s="277">
        <v>13300</v>
      </c>
      <c r="H196" s="279">
        <v>100</v>
      </c>
      <c r="I196" s="277" cm="1">
        <f t="array" ref="I196">G196/H196</f>
        <v>133</v>
      </c>
      <c r="J196" s="280"/>
      <c r="K196" s="281"/>
      <c r="L196" s="264"/>
      <c r="M196" s="258"/>
      <c r="N196" s="258"/>
      <c r="O196" s="258"/>
      <c r="P196" s="258"/>
      <c r="Q196" s="258"/>
      <c r="R196" s="258"/>
      <c r="S196" s="258"/>
      <c r="T196" s="258"/>
      <c r="U196" s="258"/>
      <c r="V196" s="258"/>
      <c r="W196" s="258"/>
      <c r="X196" s="258"/>
      <c r="Y196" s="258"/>
      <c r="Z196" s="258"/>
      <c r="AA196" s="258"/>
      <c r="AB196" s="258"/>
    </row>
    <row r="197" ht="12.75" customHeight="1">
      <c r="A197" s="324">
        <v>43899</v>
      </c>
      <c r="B197" s="282"/>
      <c r="C197" t="s" s="259">
        <v>299</v>
      </c>
      <c r="D197" t="s" s="283">
        <v>1343</v>
      </c>
      <c r="E197" s="284"/>
      <c r="F197" s="285"/>
      <c r="G197" s="284">
        <v>6650</v>
      </c>
      <c r="H197" s="286">
        <v>50</v>
      </c>
      <c r="I197" s="284" cm="1">
        <f t="array" ref="I197">G197/H197</f>
        <v>133</v>
      </c>
      <c r="J197" s="280"/>
      <c r="K197" s="281"/>
      <c r="L197" s="264"/>
      <c r="M197" s="258"/>
      <c r="N197" s="258"/>
      <c r="O197" s="258"/>
      <c r="P197" s="258"/>
      <c r="Q197" s="258"/>
      <c r="R197" s="258"/>
      <c r="S197" s="258"/>
      <c r="T197" s="258"/>
      <c r="U197" s="258"/>
      <c r="V197" s="258"/>
      <c r="W197" s="258"/>
      <c r="X197" s="258"/>
      <c r="Y197" s="258"/>
      <c r="Z197" s="258"/>
      <c r="AA197" s="258"/>
      <c r="AB197" s="258"/>
    </row>
    <row r="198" ht="12.75" customHeight="1">
      <c r="A198" s="325">
        <v>44083</v>
      </c>
      <c r="B198" s="275"/>
      <c r="C198" t="s" s="274">
        <v>571</v>
      </c>
      <c r="D198" t="s" s="276">
        <v>748</v>
      </c>
      <c r="E198" s="277"/>
      <c r="F198" s="278"/>
      <c r="G198" s="277">
        <v>3000000</v>
      </c>
      <c r="H198" s="279">
        <v>22900</v>
      </c>
      <c r="I198" s="277" cm="1">
        <f t="array" ref="I198">G198/H198</f>
        <v>131.004366812227</v>
      </c>
      <c r="J198" s="280"/>
      <c r="K198" s="281"/>
      <c r="L198" s="264"/>
      <c r="M198" s="258"/>
      <c r="N198" s="258"/>
      <c r="O198" s="258"/>
      <c r="P198" s="258"/>
      <c r="Q198" s="258"/>
      <c r="R198" s="258"/>
      <c r="S198" s="258"/>
      <c r="T198" s="258"/>
      <c r="U198" s="258"/>
      <c r="V198" s="258"/>
      <c r="W198" s="258"/>
      <c r="X198" s="258"/>
      <c r="Y198" s="258"/>
      <c r="Z198" s="258"/>
      <c r="AA198" s="258"/>
      <c r="AB198" s="258"/>
    </row>
    <row r="199" ht="12.75" customHeight="1">
      <c r="A199" s="324">
        <v>44113</v>
      </c>
      <c r="B199" s="282"/>
      <c r="C199" t="s" s="259">
        <v>278</v>
      </c>
      <c r="D199" t="s" s="283">
        <v>1344</v>
      </c>
      <c r="E199" s="284"/>
      <c r="F199" s="285"/>
      <c r="G199" s="284">
        <v>52000</v>
      </c>
      <c r="H199" s="286">
        <v>379</v>
      </c>
      <c r="I199" s="284" cm="1">
        <f t="array" ref="I199">G199/H199</f>
        <v>137.203166226913</v>
      </c>
      <c r="J199" s="280"/>
      <c r="K199" s="281"/>
      <c r="L199" s="264"/>
      <c r="M199" s="258"/>
      <c r="N199" s="258"/>
      <c r="O199" s="258"/>
      <c r="P199" s="258"/>
      <c r="Q199" s="258"/>
      <c r="R199" s="258"/>
      <c r="S199" s="258"/>
      <c r="T199" s="258"/>
      <c r="U199" s="258"/>
      <c r="V199" s="258"/>
      <c r="W199" s="258"/>
      <c r="X199" s="258"/>
      <c r="Y199" s="258"/>
      <c r="Z199" s="258"/>
      <c r="AA199" s="258"/>
      <c r="AB199" s="258"/>
    </row>
    <row r="200" ht="12.75" customHeight="1">
      <c r="A200" s="325">
        <v>43992</v>
      </c>
      <c r="B200" s="275"/>
      <c r="C200" t="s" s="274">
        <v>571</v>
      </c>
      <c r="D200" t="s" s="276">
        <v>748</v>
      </c>
      <c r="E200" s="277"/>
      <c r="F200" s="278"/>
      <c r="G200" s="277">
        <v>3000000</v>
      </c>
      <c r="H200" s="279">
        <v>20000</v>
      </c>
      <c r="I200" s="277" cm="1">
        <f t="array" ref="I200">G200/H200</f>
        <v>150</v>
      </c>
      <c r="J200" s="280"/>
      <c r="K200" s="281"/>
      <c r="L200" s="264"/>
      <c r="M200" s="258"/>
      <c r="N200" s="258"/>
      <c r="O200" s="258"/>
      <c r="P200" s="258"/>
      <c r="Q200" s="258"/>
      <c r="R200" s="258"/>
      <c r="S200" s="258"/>
      <c r="T200" s="258"/>
      <c r="U200" s="258"/>
      <c r="V200" s="258"/>
      <c r="W200" s="258"/>
      <c r="X200" s="258"/>
      <c r="Y200" s="258"/>
      <c r="Z200" s="258"/>
      <c r="AA200" s="258"/>
      <c r="AB200" s="258"/>
    </row>
    <row r="201" ht="12.75" customHeight="1">
      <c r="A201" s="324">
        <v>43992</v>
      </c>
      <c r="B201" s="282"/>
      <c r="C201" t="s" s="259">
        <v>101</v>
      </c>
      <c r="D201" t="s" s="283">
        <v>1345</v>
      </c>
      <c r="E201" s="284"/>
      <c r="F201" s="285"/>
      <c r="G201" s="284">
        <v>471074.69</v>
      </c>
      <c r="H201" s="286">
        <v>3140</v>
      </c>
      <c r="I201" s="284" cm="1">
        <f t="array" ref="I201">G201/H201</f>
        <v>150.023786624204</v>
      </c>
      <c r="J201" s="280"/>
      <c r="K201" s="281"/>
      <c r="L201" s="264"/>
      <c r="M201" s="258"/>
      <c r="N201" s="258"/>
      <c r="O201" s="258"/>
      <c r="P201" s="258"/>
      <c r="Q201" s="258"/>
      <c r="R201" s="258"/>
      <c r="S201" s="258"/>
      <c r="T201" s="258"/>
      <c r="U201" s="258"/>
      <c r="V201" s="258"/>
      <c r="W201" s="258"/>
      <c r="X201" s="258"/>
      <c r="Y201" s="258"/>
      <c r="Z201" s="258"/>
      <c r="AA201" s="258"/>
      <c r="AB201" s="258"/>
    </row>
    <row r="202" ht="12.75" customHeight="1">
      <c r="A202" s="325">
        <v>43992</v>
      </c>
      <c r="B202" s="275"/>
      <c r="C202" t="s" s="274">
        <v>101</v>
      </c>
      <c r="D202" t="s" s="276">
        <v>1346</v>
      </c>
      <c r="E202" s="277"/>
      <c r="F202" s="278"/>
      <c r="G202" s="277" cm="1">
        <f t="array" ref="G202">128925.31+100000+81000</f>
        <v>309925.31</v>
      </c>
      <c r="H202" s="279">
        <v>2214</v>
      </c>
      <c r="I202" s="277" cm="1">
        <f t="array" ref="I202">G202/H202</f>
        <v>139.984331526649</v>
      </c>
      <c r="J202" s="280"/>
      <c r="K202" s="281"/>
      <c r="L202" s="264"/>
      <c r="M202" s="258"/>
      <c r="N202" s="258"/>
      <c r="O202" s="258"/>
      <c r="P202" s="258"/>
      <c r="Q202" s="258"/>
      <c r="R202" s="258"/>
      <c r="S202" s="258"/>
      <c r="T202" s="258"/>
      <c r="U202" s="258"/>
      <c r="V202" s="258"/>
      <c r="W202" s="258"/>
      <c r="X202" s="258"/>
      <c r="Y202" s="258"/>
      <c r="Z202" s="258"/>
      <c r="AA202" s="258"/>
      <c r="AB202" s="258"/>
    </row>
    <row r="203" ht="12.75" customHeight="1">
      <c r="A203" s="324">
        <v>43992</v>
      </c>
      <c r="B203" s="282"/>
      <c r="C203" t="s" s="259">
        <v>1300</v>
      </c>
      <c r="D203" t="s" s="283">
        <v>1347</v>
      </c>
      <c r="E203" s="284"/>
      <c r="F203" s="285"/>
      <c r="G203" s="284">
        <v>3437500</v>
      </c>
      <c r="H203" s="286">
        <v>30400</v>
      </c>
      <c r="I203" s="284" cm="1">
        <f t="array" ref="I203">G203/H203</f>
        <v>113.075657894737</v>
      </c>
      <c r="J203" s="280"/>
      <c r="K203" s="281"/>
      <c r="L203" s="264"/>
      <c r="M203" s="258"/>
      <c r="N203" s="258"/>
      <c r="O203" s="258"/>
      <c r="P203" s="258"/>
      <c r="Q203" s="258"/>
      <c r="R203" s="258"/>
      <c r="S203" s="258"/>
      <c r="T203" s="258"/>
      <c r="U203" s="258"/>
      <c r="V203" s="258"/>
      <c r="W203" s="258"/>
      <c r="X203" s="258"/>
      <c r="Y203" s="258"/>
      <c r="Z203" s="258"/>
      <c r="AA203" s="258"/>
      <c r="AB203" s="258"/>
    </row>
    <row r="204" ht="12.75" customHeight="1">
      <c r="A204" s="325">
        <v>43992</v>
      </c>
      <c r="B204" s="275"/>
      <c r="C204" t="s" s="274">
        <v>1217</v>
      </c>
      <c r="D204" t="s" s="276">
        <v>1348</v>
      </c>
      <c r="E204" s="277"/>
      <c r="F204" s="278"/>
      <c r="G204" s="277">
        <v>5000</v>
      </c>
      <c r="H204" s="279" cm="1">
        <f t="array" ref="H204">G204/I204</f>
        <v>33.3333333333333</v>
      </c>
      <c r="I204" s="277">
        <v>150</v>
      </c>
      <c r="J204" s="280"/>
      <c r="K204" s="281"/>
      <c r="L204" s="264"/>
      <c r="M204" s="258"/>
      <c r="N204" s="258"/>
      <c r="O204" s="258"/>
      <c r="P204" s="258"/>
      <c r="Q204" s="258"/>
      <c r="R204" s="258"/>
      <c r="S204" s="258"/>
      <c r="T204" s="258"/>
      <c r="U204" s="258"/>
      <c r="V204" s="258"/>
      <c r="W204" s="258"/>
      <c r="X204" s="258"/>
      <c r="Y204" s="258"/>
      <c r="Z204" s="258"/>
      <c r="AA204" s="258"/>
      <c r="AB204" s="258"/>
    </row>
    <row r="205" ht="12.75" customHeight="1">
      <c r="A205" s="324">
        <v>44022</v>
      </c>
      <c r="B205" s="282"/>
      <c r="C205" t="s" s="259">
        <v>1300</v>
      </c>
      <c r="D205" t="s" s="283">
        <v>1349</v>
      </c>
      <c r="E205" s="284"/>
      <c r="F205" s="285"/>
      <c r="G205" s="284">
        <v>1640000</v>
      </c>
      <c r="H205" s="286">
        <v>10650</v>
      </c>
      <c r="I205" s="284" cm="1">
        <f t="array" ref="I205">G205/H205</f>
        <v>153.990610328638</v>
      </c>
      <c r="J205" s="280"/>
      <c r="K205" s="281"/>
      <c r="L205" s="264"/>
      <c r="M205" s="258"/>
      <c r="N205" s="258"/>
      <c r="O205" s="258"/>
      <c r="P205" s="258"/>
      <c r="Q205" s="258"/>
      <c r="R205" s="258"/>
      <c r="S205" s="258"/>
      <c r="T205" s="258"/>
      <c r="U205" s="258"/>
      <c r="V205" s="258"/>
      <c r="W205" s="258"/>
      <c r="X205" s="258"/>
      <c r="Y205" s="258"/>
      <c r="Z205" s="258"/>
      <c r="AA205" s="258"/>
      <c r="AB205" s="258"/>
    </row>
    <row r="206" ht="12.75" customHeight="1">
      <c r="A206" s="325">
        <v>44022</v>
      </c>
      <c r="B206" s="275"/>
      <c r="C206" t="s" s="274">
        <v>1300</v>
      </c>
      <c r="D206" t="s" s="276">
        <v>1350</v>
      </c>
      <c r="E206" s="277"/>
      <c r="F206" s="278"/>
      <c r="G206" s="277">
        <v>268500</v>
      </c>
      <c r="H206" s="279">
        <v>1766</v>
      </c>
      <c r="I206" s="277" cm="1">
        <f t="array" ref="I206">G206/H206</f>
        <v>152.038505096263</v>
      </c>
      <c r="J206" s="280"/>
      <c r="K206" s="281"/>
      <c r="L206" s="264"/>
      <c r="M206" s="258"/>
      <c r="N206" s="258"/>
      <c r="O206" s="258"/>
      <c r="P206" s="258"/>
      <c r="Q206" s="258"/>
      <c r="R206" s="258"/>
      <c r="S206" s="258"/>
      <c r="T206" s="258"/>
      <c r="U206" s="258"/>
      <c r="V206" s="258"/>
      <c r="W206" s="258"/>
      <c r="X206" s="258"/>
      <c r="Y206" s="258"/>
      <c r="Z206" s="258"/>
      <c r="AA206" s="258"/>
      <c r="AB206" s="258"/>
    </row>
    <row r="207" ht="12.75" customHeight="1">
      <c r="A207" t="s" s="259">
        <v>592</v>
      </c>
      <c r="B207" s="282"/>
      <c r="C207" t="s" s="259">
        <v>1193</v>
      </c>
      <c r="D207" t="s" s="283">
        <v>1351</v>
      </c>
      <c r="E207" s="284"/>
      <c r="F207" s="285"/>
      <c r="G207" s="284">
        <v>330000</v>
      </c>
      <c r="H207" s="286">
        <v>2000</v>
      </c>
      <c r="I207" s="284" cm="1">
        <f t="array" ref="I207">G207/H207</f>
        <v>165</v>
      </c>
      <c r="J207" s="280"/>
      <c r="K207" s="281"/>
      <c r="L207" s="264"/>
      <c r="M207" s="258"/>
      <c r="N207" s="258"/>
      <c r="O207" s="258"/>
      <c r="P207" s="258"/>
      <c r="Q207" s="258"/>
      <c r="R207" s="258"/>
      <c r="S207" s="258"/>
      <c r="T207" s="258"/>
      <c r="U207" s="258"/>
      <c r="V207" s="258"/>
      <c r="W207" s="258"/>
      <c r="X207" s="258"/>
      <c r="Y207" s="258"/>
      <c r="Z207" s="258"/>
      <c r="AA207" s="258"/>
      <c r="AB207" s="258"/>
    </row>
    <row r="208" ht="12.75" customHeight="1">
      <c r="A208" s="325">
        <v>43901</v>
      </c>
      <c r="B208" s="275"/>
      <c r="C208" t="s" s="274">
        <v>1193</v>
      </c>
      <c r="D208" t="s" s="276">
        <v>1352</v>
      </c>
      <c r="E208" s="277"/>
      <c r="F208" s="278"/>
      <c r="G208" s="277">
        <v>150000</v>
      </c>
      <c r="H208" s="279">
        <v>843</v>
      </c>
      <c r="I208" s="277" cm="1">
        <f t="array" ref="I208">G208/H208</f>
        <v>177.935943060498</v>
      </c>
      <c r="J208" s="280"/>
      <c r="K208" s="281"/>
      <c r="L208" s="264"/>
      <c r="M208" s="258"/>
      <c r="N208" s="258"/>
      <c r="O208" s="258"/>
      <c r="P208" s="258"/>
      <c r="Q208" s="258"/>
      <c r="R208" s="258"/>
      <c r="S208" s="258"/>
      <c r="T208" s="258"/>
      <c r="U208" s="258"/>
      <c r="V208" s="258"/>
      <c r="W208" s="258"/>
      <c r="X208" s="258"/>
      <c r="Y208" s="258"/>
      <c r="Z208" s="258"/>
      <c r="AA208" s="258"/>
      <c r="AB208" s="258"/>
    </row>
    <row r="209" ht="12.75" customHeight="1">
      <c r="A209" t="s" s="274">
        <v>611</v>
      </c>
      <c r="B209" s="275"/>
      <c r="C209" t="s" s="274">
        <v>299</v>
      </c>
      <c r="D209" t="s" s="276">
        <v>1353</v>
      </c>
      <c r="E209" s="277"/>
      <c r="F209" s="278"/>
      <c r="G209" s="277">
        <v>48000</v>
      </c>
      <c r="H209" s="279">
        <v>268</v>
      </c>
      <c r="I209" s="277" cm="1">
        <f t="array" ref="I209">G209/H209</f>
        <v>179.104477611940</v>
      </c>
      <c r="J209" s="280"/>
      <c r="K209" s="281"/>
      <c r="L209" s="264"/>
      <c r="M209" s="258"/>
      <c r="N209" s="258"/>
      <c r="O209" s="258"/>
      <c r="P209" s="258"/>
      <c r="Q209" s="258"/>
      <c r="R209" s="258"/>
      <c r="S209" s="258"/>
      <c r="T209" s="258"/>
      <c r="U209" s="258"/>
      <c r="V209" s="258"/>
      <c r="W209" s="258"/>
      <c r="X209" s="258"/>
      <c r="Y209" s="258"/>
      <c r="Z209" s="258"/>
      <c r="AA209" s="258"/>
      <c r="AB209" s="258"/>
    </row>
    <row r="210" ht="12.75" customHeight="1">
      <c r="A210" s="287">
        <v>43872</v>
      </c>
      <c r="B210" s="282"/>
      <c r="C210" t="s" s="259">
        <v>1354</v>
      </c>
      <c r="D210" t="s" s="283">
        <v>1355</v>
      </c>
      <c r="E210" s="284"/>
      <c r="F210" s="285"/>
      <c r="G210" s="284">
        <v>706135</v>
      </c>
      <c r="H210" s="286">
        <v>3880</v>
      </c>
      <c r="I210" s="284" cm="1">
        <f t="array" ref="I210">G210/H210</f>
        <v>181.993556701031</v>
      </c>
      <c r="J210" s="280"/>
      <c r="K210" s="281"/>
      <c r="L210" s="264"/>
      <c r="M210" s="258"/>
      <c r="N210" s="258"/>
      <c r="O210" s="258"/>
      <c r="P210" s="258"/>
      <c r="Q210" s="258"/>
      <c r="R210" s="258"/>
      <c r="S210" s="258"/>
      <c r="T210" s="258"/>
      <c r="U210" s="258"/>
      <c r="V210" s="258"/>
      <c r="W210" s="258"/>
      <c r="X210" s="258"/>
      <c r="Y210" s="258"/>
      <c r="Z210" s="258"/>
      <c r="AA210" s="258"/>
      <c r="AB210" s="258"/>
    </row>
    <row r="211" ht="12.75" customHeight="1">
      <c r="A211" s="290">
        <v>44085</v>
      </c>
      <c r="B211" s="275"/>
      <c r="C211" t="s" s="274">
        <v>101</v>
      </c>
      <c r="D211" t="s" s="276">
        <v>1356</v>
      </c>
      <c r="E211" s="277"/>
      <c r="F211" s="278"/>
      <c r="G211" s="277">
        <v>471074</v>
      </c>
      <c r="H211" s="279">
        <v>3150</v>
      </c>
      <c r="I211" s="277" cm="1">
        <f t="array" ref="I211">G211/H211</f>
        <v>149.547301587302</v>
      </c>
      <c r="J211" s="280"/>
      <c r="K211" s="281"/>
      <c r="L211" s="264"/>
      <c r="M211" s="258"/>
      <c r="N211" s="258"/>
      <c r="O211" s="258"/>
      <c r="P211" s="258"/>
      <c r="Q211" s="258"/>
      <c r="R211" s="258"/>
      <c r="S211" s="258"/>
      <c r="T211" s="258"/>
      <c r="U211" s="258"/>
      <c r="V211" s="258"/>
      <c r="W211" s="258"/>
      <c r="X211" s="258"/>
      <c r="Y211" s="258"/>
      <c r="Z211" s="258"/>
      <c r="AA211" s="258"/>
      <c r="AB211" s="258"/>
    </row>
    <row r="212" ht="12.75" customHeight="1">
      <c r="A212" t="s" s="259">
        <v>1357</v>
      </c>
      <c r="B212" s="282"/>
      <c r="C212" t="s" s="259">
        <v>1358</v>
      </c>
      <c r="D212" t="s" s="283">
        <v>1359</v>
      </c>
      <c r="E212" s="284"/>
      <c r="F212" s="285"/>
      <c r="G212" s="284">
        <v>3908.03</v>
      </c>
      <c r="H212" s="286">
        <v>23</v>
      </c>
      <c r="I212" s="284" cm="1">
        <f t="array" ref="I212">G212/H212</f>
        <v>169.914347826087</v>
      </c>
      <c r="J212" s="280"/>
      <c r="K212" s="281"/>
      <c r="L212" s="264"/>
      <c r="M212" s="258"/>
      <c r="N212" s="258"/>
      <c r="O212" s="258"/>
      <c r="P212" s="258"/>
      <c r="Q212" s="258"/>
      <c r="R212" s="258"/>
      <c r="S212" s="258"/>
      <c r="T212" s="258"/>
      <c r="U212" s="258"/>
      <c r="V212" s="258"/>
      <c r="W212" s="258"/>
      <c r="X212" s="258"/>
      <c r="Y212" s="258"/>
      <c r="Z212" s="258"/>
      <c r="AA212" s="258"/>
      <c r="AB212" s="258"/>
    </row>
    <row r="213" ht="12.75" customHeight="1">
      <c r="A213" t="s" s="274">
        <v>1360</v>
      </c>
      <c r="B213" s="275"/>
      <c r="C213" t="s" s="274">
        <v>1321</v>
      </c>
      <c r="D213" t="s" s="276">
        <v>1361</v>
      </c>
      <c r="E213" s="277"/>
      <c r="F213" s="278"/>
      <c r="G213" s="277">
        <v>18450</v>
      </c>
      <c r="H213" s="279">
        <v>108</v>
      </c>
      <c r="I213" s="277" cm="1">
        <f t="array" ref="I213">G213/H213</f>
        <v>170.833333333333</v>
      </c>
      <c r="J213" s="280"/>
      <c r="K213" s="281"/>
      <c r="L213" s="264"/>
      <c r="M213" s="258"/>
      <c r="N213" s="258"/>
      <c r="O213" s="258"/>
      <c r="P213" s="258"/>
      <c r="Q213" s="258"/>
      <c r="R213" s="258"/>
      <c r="S213" s="258"/>
      <c r="T213" s="258"/>
      <c r="U213" s="258"/>
      <c r="V213" s="258"/>
      <c r="W213" s="258"/>
      <c r="X213" s="258"/>
      <c r="Y213" s="258"/>
      <c r="Z213" s="258"/>
      <c r="AA213" s="258"/>
      <c r="AB213" s="258"/>
    </row>
    <row r="214" ht="12.75" customHeight="1">
      <c r="A214" t="s" s="259">
        <v>1362</v>
      </c>
      <c r="B214" s="282"/>
      <c r="C214" t="s" s="259">
        <v>299</v>
      </c>
      <c r="D214" t="s" s="283">
        <v>1363</v>
      </c>
      <c r="E214" s="284"/>
      <c r="F214" s="285"/>
      <c r="G214" s="284">
        <v>49000</v>
      </c>
      <c r="H214" s="286" cm="1">
        <f t="array" ref="H214">G214/I214</f>
        <v>326.666666666667</v>
      </c>
      <c r="I214" s="284">
        <v>150</v>
      </c>
      <c r="J214" s="280"/>
      <c r="K214" s="281"/>
      <c r="L214" s="264"/>
      <c r="M214" s="258"/>
      <c r="N214" s="258"/>
      <c r="O214" s="258"/>
      <c r="P214" s="258"/>
      <c r="Q214" s="258"/>
      <c r="R214" s="258"/>
      <c r="S214" s="258"/>
      <c r="T214" s="258"/>
      <c r="U214" s="258"/>
      <c r="V214" s="258"/>
      <c r="W214" s="258"/>
      <c r="X214" s="258"/>
      <c r="Y214" s="258"/>
      <c r="Z214" s="258"/>
      <c r="AA214" s="258"/>
      <c r="AB214" s="258"/>
    </row>
    <row r="215" ht="12.75" customHeight="1">
      <c r="A215" t="s" s="274">
        <v>631</v>
      </c>
      <c r="B215" s="275"/>
      <c r="C215" t="s" s="274">
        <v>1364</v>
      </c>
      <c r="D215" t="s" s="276">
        <v>1365</v>
      </c>
      <c r="E215" s="277"/>
      <c r="F215" s="278"/>
      <c r="G215" s="277">
        <v>49100</v>
      </c>
      <c r="H215" s="279">
        <v>289</v>
      </c>
      <c r="I215" s="277" cm="1">
        <f t="array" ref="I215">G215/H215</f>
        <v>169.896193771626</v>
      </c>
      <c r="J215" s="280"/>
      <c r="K215" s="281"/>
      <c r="L215" s="264"/>
      <c r="M215" s="258"/>
      <c r="N215" s="258"/>
      <c r="O215" s="258"/>
      <c r="P215" s="258"/>
      <c r="Q215" s="258"/>
      <c r="R215" s="258"/>
      <c r="S215" s="258"/>
      <c r="T215" s="258"/>
      <c r="U215" s="258"/>
      <c r="V215" s="258"/>
      <c r="W215" s="258"/>
      <c r="X215" s="258"/>
      <c r="Y215" s="258"/>
      <c r="Z215" s="258"/>
      <c r="AA215" s="258"/>
      <c r="AB215" s="258"/>
    </row>
    <row r="216" ht="12.75" customHeight="1">
      <c r="A216" t="s" s="259">
        <v>632</v>
      </c>
      <c r="B216" s="282"/>
      <c r="C216" t="s" s="259">
        <v>1358</v>
      </c>
      <c r="D216" t="s" s="283">
        <v>1366</v>
      </c>
      <c r="E216" s="284"/>
      <c r="F216" s="285"/>
      <c r="G216" s="284">
        <v>29600</v>
      </c>
      <c r="H216" s="286">
        <v>190</v>
      </c>
      <c r="I216" s="284" cm="1">
        <f t="array" ref="I216">G216/H216</f>
        <v>155.789473684211</v>
      </c>
      <c r="J216" s="280"/>
      <c r="K216" s="281"/>
      <c r="L216" s="264"/>
      <c r="M216" s="258"/>
      <c r="N216" s="258"/>
      <c r="O216" s="258"/>
      <c r="P216" s="258"/>
      <c r="Q216" s="258"/>
      <c r="R216" s="258"/>
      <c r="S216" s="258"/>
      <c r="T216" s="258"/>
      <c r="U216" s="258"/>
      <c r="V216" s="258"/>
      <c r="W216" s="258"/>
      <c r="X216" s="258"/>
      <c r="Y216" s="258"/>
      <c r="Z216" s="258"/>
      <c r="AA216" s="258"/>
      <c r="AB216" s="258"/>
    </row>
    <row r="217" ht="12.75" customHeight="1">
      <c r="A217" t="s" s="274">
        <v>1367</v>
      </c>
      <c r="B217" s="275"/>
      <c r="C217" t="s" s="274">
        <v>101</v>
      </c>
      <c r="D217" t="s" s="276">
        <v>1368</v>
      </c>
      <c r="E217" s="277"/>
      <c r="F217" s="278"/>
      <c r="G217" s="277">
        <v>543800</v>
      </c>
      <c r="H217" s="279">
        <v>3441</v>
      </c>
      <c r="I217" s="277" cm="1">
        <f t="array" ref="I217">G217/H217</f>
        <v>158.035454809648</v>
      </c>
      <c r="J217" s="280"/>
      <c r="K217" s="281"/>
      <c r="L217" s="264"/>
      <c r="M217" s="258"/>
      <c r="N217" s="258"/>
      <c r="O217" s="258"/>
      <c r="P217" s="258"/>
      <c r="Q217" s="258"/>
      <c r="R217" s="258"/>
      <c r="S217" s="258"/>
      <c r="T217" s="258"/>
      <c r="U217" s="258"/>
      <c r="V217" s="258"/>
      <c r="W217" s="258"/>
      <c r="X217" s="258"/>
      <c r="Y217" s="258"/>
      <c r="Z217" s="258"/>
      <c r="AA217" s="258"/>
      <c r="AB217" s="258"/>
    </row>
    <row r="218" ht="12.75" customHeight="1">
      <c r="A218" t="s" s="259">
        <v>1367</v>
      </c>
      <c r="B218" s="282"/>
      <c r="C218" t="s" s="259">
        <v>1358</v>
      </c>
      <c r="D218" t="s" s="283">
        <v>1369</v>
      </c>
      <c r="E218" s="284"/>
      <c r="F218" s="285"/>
      <c r="G218" s="284">
        <v>1065.53</v>
      </c>
      <c r="H218" s="286">
        <v>7</v>
      </c>
      <c r="I218" s="284" cm="1">
        <f t="array" ref="I218">G218/H218</f>
        <v>152.218571428571</v>
      </c>
      <c r="J218" s="280"/>
      <c r="K218" s="281"/>
      <c r="L218" s="264"/>
      <c r="M218" s="258"/>
      <c r="N218" s="258"/>
      <c r="O218" s="258"/>
      <c r="P218" s="258"/>
      <c r="Q218" s="258"/>
      <c r="R218" s="258"/>
      <c r="S218" s="258"/>
      <c r="T218" s="258"/>
      <c r="U218" s="258"/>
      <c r="V218" s="258"/>
      <c r="W218" s="258"/>
      <c r="X218" s="258"/>
      <c r="Y218" s="258"/>
      <c r="Z218" s="258"/>
      <c r="AA218" s="258"/>
      <c r="AB218" s="258"/>
    </row>
    <row r="219" ht="12.75" customHeight="1">
      <c r="A219" s="325">
        <v>43842</v>
      </c>
      <c r="B219" s="275"/>
      <c r="C219" t="s" s="274">
        <v>494</v>
      </c>
      <c r="D219" t="s" s="276">
        <v>1370</v>
      </c>
      <c r="E219" s="277"/>
      <c r="F219" s="278"/>
      <c r="G219" s="277">
        <v>50000</v>
      </c>
      <c r="H219" s="279">
        <v>312</v>
      </c>
      <c r="I219" s="277" cm="1">
        <f t="array" ref="I219">G219/H219</f>
        <v>160.256410256410</v>
      </c>
      <c r="J219" s="280"/>
      <c r="K219" s="281"/>
      <c r="L219" s="264"/>
      <c r="M219" s="258"/>
      <c r="N219" s="258"/>
      <c r="O219" s="258"/>
      <c r="P219" s="258"/>
      <c r="Q219" s="258"/>
      <c r="R219" s="258"/>
      <c r="S219" s="258"/>
      <c r="T219" s="258"/>
      <c r="U219" s="258"/>
      <c r="V219" s="258"/>
      <c r="W219" s="258"/>
      <c r="X219" s="258"/>
      <c r="Y219" s="258"/>
      <c r="Z219" s="258"/>
      <c r="AA219" s="258"/>
      <c r="AB219" s="258"/>
    </row>
    <row r="220" ht="12.75" customHeight="1">
      <c r="A220" s="324">
        <v>43842</v>
      </c>
      <c r="B220" s="282"/>
      <c r="C220" t="s" s="259">
        <v>494</v>
      </c>
      <c r="D220" t="s" s="283">
        <v>1371</v>
      </c>
      <c r="E220" s="284"/>
      <c r="F220" s="285"/>
      <c r="G220" s="284">
        <v>50000</v>
      </c>
      <c r="H220" s="286">
        <v>312</v>
      </c>
      <c r="I220" s="284" cm="1">
        <f t="array" ref="I220">G220/H220</f>
        <v>160.256410256410</v>
      </c>
      <c r="J220" s="280"/>
      <c r="K220" s="281"/>
      <c r="L220" s="264"/>
      <c r="M220" s="258"/>
      <c r="N220" s="258"/>
      <c r="O220" s="258"/>
      <c r="P220" s="258"/>
      <c r="Q220" s="258"/>
      <c r="R220" s="258"/>
      <c r="S220" s="258"/>
      <c r="T220" s="258"/>
      <c r="U220" s="258"/>
      <c r="V220" s="258"/>
      <c r="W220" s="258"/>
      <c r="X220" s="258"/>
      <c r="Y220" s="258"/>
      <c r="Z220" s="258"/>
      <c r="AA220" s="258"/>
      <c r="AB220" s="258"/>
    </row>
    <row r="221" ht="12.75" customHeight="1">
      <c r="A221" s="325">
        <v>43873</v>
      </c>
      <c r="B221" s="275"/>
      <c r="C221" s="295"/>
      <c r="D221" t="s" s="276">
        <v>1372</v>
      </c>
      <c r="E221" s="277"/>
      <c r="F221" s="278"/>
      <c r="G221" s="277">
        <v>30000</v>
      </c>
      <c r="H221" s="279">
        <v>200</v>
      </c>
      <c r="I221" s="277" cm="1">
        <f t="array" ref="I221">G221/H221</f>
        <v>150</v>
      </c>
      <c r="J221" s="280"/>
      <c r="K221" s="281"/>
      <c r="L221" s="264"/>
      <c r="M221" s="258"/>
      <c r="N221" s="258"/>
      <c r="O221" s="258"/>
      <c r="P221" s="258"/>
      <c r="Q221" s="258"/>
      <c r="R221" s="258"/>
      <c r="S221" s="258"/>
      <c r="T221" s="258"/>
      <c r="U221" s="258"/>
      <c r="V221" s="258"/>
      <c r="W221" s="258"/>
      <c r="X221" s="258"/>
      <c r="Y221" s="258"/>
      <c r="Z221" s="258"/>
      <c r="AA221" s="258"/>
      <c r="AB221" s="258"/>
    </row>
    <row r="222" ht="12.75" customHeight="1">
      <c r="A222" s="324">
        <v>43873</v>
      </c>
      <c r="B222" s="282"/>
      <c r="C222" t="s" s="259">
        <v>1358</v>
      </c>
      <c r="D222" t="s" s="283">
        <v>1373</v>
      </c>
      <c r="E222" s="284"/>
      <c r="F222" s="285"/>
      <c r="G222" s="284">
        <v>13478</v>
      </c>
      <c r="H222" s="286">
        <v>87</v>
      </c>
      <c r="I222" s="284" cm="1">
        <f t="array" ref="I222">G222/H222</f>
        <v>154.919540229885</v>
      </c>
      <c r="J222" s="280"/>
      <c r="K222" s="281"/>
      <c r="L222" s="264"/>
      <c r="M222" s="258"/>
      <c r="N222" s="258"/>
      <c r="O222" s="258"/>
      <c r="P222" s="258"/>
      <c r="Q222" s="258"/>
      <c r="R222" s="258"/>
      <c r="S222" s="258"/>
      <c r="T222" s="258"/>
      <c r="U222" s="258"/>
      <c r="V222" s="258"/>
      <c r="W222" s="258"/>
      <c r="X222" s="258"/>
      <c r="Y222" s="258"/>
      <c r="Z222" s="258"/>
      <c r="AA222" s="258"/>
      <c r="AB222" s="258"/>
    </row>
    <row r="223" ht="12.75" customHeight="1">
      <c r="A223" s="325">
        <v>44055</v>
      </c>
      <c r="B223" s="275"/>
      <c r="C223" t="s" s="274">
        <v>1300</v>
      </c>
      <c r="D223" t="s" s="276">
        <v>1374</v>
      </c>
      <c r="E223" s="277"/>
      <c r="F223" s="278"/>
      <c r="G223" s="277">
        <v>867500</v>
      </c>
      <c r="H223" s="279">
        <v>5861</v>
      </c>
      <c r="I223" s="277" cm="1">
        <f t="array" ref="I223">G223/H223</f>
        <v>148.012284593073</v>
      </c>
      <c r="J223" s="280"/>
      <c r="K223" s="281"/>
      <c r="L223" s="264"/>
      <c r="M223" s="258"/>
      <c r="N223" s="258"/>
      <c r="O223" s="258"/>
      <c r="P223" s="258"/>
      <c r="Q223" s="258"/>
      <c r="R223" s="258"/>
      <c r="S223" s="258"/>
      <c r="T223" s="258"/>
      <c r="U223" s="258"/>
      <c r="V223" s="258"/>
      <c r="W223" s="258"/>
      <c r="X223" s="258"/>
      <c r="Y223" s="258"/>
      <c r="Z223" s="258"/>
      <c r="AA223" s="258"/>
      <c r="AB223" s="258"/>
    </row>
    <row r="224" ht="12.75" customHeight="1">
      <c r="A224" s="324">
        <v>44055</v>
      </c>
      <c r="B224" s="282"/>
      <c r="C224" t="s" s="259">
        <v>1300</v>
      </c>
      <c r="D224" t="s" s="283">
        <v>111</v>
      </c>
      <c r="E224" s="284"/>
      <c r="F224" s="285"/>
      <c r="G224" s="284">
        <v>602478.75</v>
      </c>
      <c r="H224" s="286">
        <v>4070</v>
      </c>
      <c r="I224" s="284" cm="1">
        <f t="array" ref="I224">G224/H224</f>
        <v>148.029176904177</v>
      </c>
      <c r="J224" s="280"/>
      <c r="K224" s="281"/>
      <c r="L224" s="264"/>
      <c r="M224" s="258"/>
      <c r="N224" s="258"/>
      <c r="O224" s="258"/>
      <c r="P224" s="258"/>
      <c r="Q224" s="258"/>
      <c r="R224" s="258"/>
      <c r="S224" s="258"/>
      <c r="T224" s="258"/>
      <c r="U224" s="258"/>
      <c r="V224" s="258"/>
      <c r="W224" s="258"/>
      <c r="X224" s="258"/>
      <c r="Y224" s="258"/>
      <c r="Z224" s="258"/>
      <c r="AA224" s="258"/>
      <c r="AB224" s="258"/>
    </row>
    <row r="225" ht="12.75" customHeight="1">
      <c r="A225" t="s" s="274">
        <v>1375</v>
      </c>
      <c r="B225" s="275"/>
      <c r="C225" t="s" s="274">
        <v>1358</v>
      </c>
      <c r="D225" t="s" s="276">
        <v>1376</v>
      </c>
      <c r="E225" s="277"/>
      <c r="F225" s="278"/>
      <c r="G225" s="277">
        <v>41244.13</v>
      </c>
      <c r="H225" s="279">
        <v>275</v>
      </c>
      <c r="I225" s="277" cm="1">
        <f t="array" ref="I225">G225/H225</f>
        <v>149.978654545455</v>
      </c>
      <c r="J225" s="280"/>
      <c r="K225" s="281"/>
      <c r="L225" s="264"/>
      <c r="M225" s="258"/>
      <c r="N225" s="258"/>
      <c r="O225" s="258"/>
      <c r="P225" s="258"/>
      <c r="Q225" s="258"/>
      <c r="R225" s="258"/>
      <c r="S225" s="258"/>
      <c r="T225" s="258"/>
      <c r="U225" s="258"/>
      <c r="V225" s="258"/>
      <c r="W225" s="258"/>
      <c r="X225" s="258"/>
      <c r="Y225" s="258"/>
      <c r="Z225" s="258"/>
      <c r="AA225" s="258"/>
      <c r="AB225" s="258"/>
    </row>
    <row r="226" ht="12.75" customHeight="1">
      <c r="A226" t="s" s="259">
        <v>1377</v>
      </c>
      <c r="B226" s="282"/>
      <c r="C226" t="s" s="259">
        <v>1217</v>
      </c>
      <c r="D226" t="s" s="283">
        <v>1378</v>
      </c>
      <c r="E226" s="284"/>
      <c r="F226" s="285"/>
      <c r="G226" s="284">
        <v>10000</v>
      </c>
      <c r="H226" s="286">
        <v>67</v>
      </c>
      <c r="I226" s="284" cm="1">
        <f t="array" ref="I226">G226/H226</f>
        <v>149.253731343284</v>
      </c>
      <c r="J226" s="280"/>
      <c r="K226" s="281"/>
      <c r="L226" s="264"/>
      <c r="M226" s="258"/>
      <c r="N226" s="258"/>
      <c r="O226" s="258"/>
      <c r="P226" s="258"/>
      <c r="Q226" s="258"/>
      <c r="R226" s="258"/>
      <c r="S226" s="258"/>
      <c r="T226" s="258"/>
      <c r="U226" s="258"/>
      <c r="V226" s="258"/>
      <c r="W226" s="258"/>
      <c r="X226" s="258"/>
      <c r="Y226" s="258"/>
      <c r="Z226" s="258"/>
      <c r="AA226" s="258"/>
      <c r="AB226" s="258"/>
    </row>
    <row r="227" ht="12.75" customHeight="1">
      <c r="A227" t="s" s="274">
        <v>1379</v>
      </c>
      <c r="B227" s="275"/>
      <c r="C227" t="s" s="274">
        <v>1171</v>
      </c>
      <c r="D227" t="s" s="276">
        <v>1380</v>
      </c>
      <c r="E227" s="277"/>
      <c r="F227" s="278"/>
      <c r="G227" s="277">
        <v>21000</v>
      </c>
      <c r="H227" s="279">
        <v>140</v>
      </c>
      <c r="I227" s="277" cm="1">
        <f t="array" ref="I227">G227/H227</f>
        <v>150</v>
      </c>
      <c r="J227" s="280"/>
      <c r="K227" s="281"/>
      <c r="L227" s="264"/>
      <c r="M227" s="258"/>
      <c r="N227" s="258"/>
      <c r="O227" s="258"/>
      <c r="P227" s="258"/>
      <c r="Q227" s="258"/>
      <c r="R227" s="258"/>
      <c r="S227" s="258"/>
      <c r="T227" s="258"/>
      <c r="U227" s="258"/>
      <c r="V227" s="258"/>
      <c r="W227" s="258"/>
      <c r="X227" s="258"/>
      <c r="Y227" s="258"/>
      <c r="Z227" s="258"/>
      <c r="AA227" s="258"/>
      <c r="AB227" s="258"/>
    </row>
    <row r="228" ht="12.75" customHeight="1">
      <c r="A228" t="s" s="259">
        <v>1379</v>
      </c>
      <c r="B228" s="282"/>
      <c r="C228" t="s" s="259">
        <v>278</v>
      </c>
      <c r="D228" t="s" s="283">
        <v>259</v>
      </c>
      <c r="E228" s="284"/>
      <c r="F228" s="285"/>
      <c r="G228" s="284">
        <v>4800</v>
      </c>
      <c r="H228" s="286">
        <v>32</v>
      </c>
      <c r="I228" s="284" cm="1">
        <f t="array" ref="I228">G228/H228</f>
        <v>150</v>
      </c>
      <c r="J228" s="280"/>
      <c r="K228" s="281"/>
      <c r="L228" s="264"/>
      <c r="M228" s="258"/>
      <c r="N228" s="258"/>
      <c r="O228" s="258"/>
      <c r="P228" s="258"/>
      <c r="Q228" s="258"/>
      <c r="R228" s="258"/>
      <c r="S228" s="258"/>
      <c r="T228" s="258"/>
      <c r="U228" s="258"/>
      <c r="V228" s="258"/>
      <c r="W228" s="258"/>
      <c r="X228" s="258"/>
      <c r="Y228" s="258"/>
      <c r="Z228" s="258"/>
      <c r="AA228" s="258"/>
      <c r="AB228" s="258"/>
    </row>
    <row r="229" ht="12.75" customHeight="1">
      <c r="A229" s="325">
        <v>44470</v>
      </c>
      <c r="B229" s="275"/>
      <c r="C229" t="s" s="274">
        <v>278</v>
      </c>
      <c r="D229" t="s" s="276">
        <v>1180</v>
      </c>
      <c r="E229" s="277"/>
      <c r="F229" s="278"/>
      <c r="G229" s="277">
        <v>15530</v>
      </c>
      <c r="H229" s="279" cm="1">
        <f t="array" ref="H229">G229/I229</f>
        <v>100.193548387097</v>
      </c>
      <c r="I229" s="277">
        <v>155</v>
      </c>
      <c r="J229" s="280"/>
      <c r="K229" s="281"/>
      <c r="L229" s="264"/>
      <c r="M229" s="258"/>
      <c r="N229" s="258"/>
      <c r="O229" s="258"/>
      <c r="P229" s="258"/>
      <c r="Q229" s="258"/>
      <c r="R229" s="258"/>
      <c r="S229" s="258"/>
      <c r="T229" s="258"/>
      <c r="U229" s="258"/>
      <c r="V229" s="258"/>
      <c r="W229" s="258"/>
      <c r="X229" s="258"/>
      <c r="Y229" s="258"/>
      <c r="Z229" s="258"/>
      <c r="AA229" s="258"/>
      <c r="AB229" s="258"/>
    </row>
    <row r="230" ht="12.75" customHeight="1">
      <c r="A230" t="s" s="259">
        <v>1381</v>
      </c>
      <c r="B230" s="282"/>
      <c r="C230" t="s" s="259">
        <v>1217</v>
      </c>
      <c r="D230" t="s" s="283">
        <v>1382</v>
      </c>
      <c r="E230" s="284"/>
      <c r="F230" s="285"/>
      <c r="G230" s="284">
        <v>7000</v>
      </c>
      <c r="H230" s="286" cm="1">
        <f t="array" ref="H230">G230/I230</f>
        <v>45.1612903225806</v>
      </c>
      <c r="I230" s="284" cm="1">
        <f t="array" ref="I230">155</f>
        <v>155</v>
      </c>
      <c r="J230" s="280"/>
      <c r="K230" s="281"/>
      <c r="L230" s="264"/>
      <c r="M230" s="258"/>
      <c r="N230" s="258"/>
      <c r="O230" s="258"/>
      <c r="P230" s="258"/>
      <c r="Q230" s="258"/>
      <c r="R230" s="258"/>
      <c r="S230" s="258"/>
      <c r="T230" s="258"/>
      <c r="U230" s="258"/>
      <c r="V230" s="258"/>
      <c r="W230" s="258"/>
      <c r="X230" s="258"/>
      <c r="Y230" s="258"/>
      <c r="Z230" s="258"/>
      <c r="AA230" s="258"/>
      <c r="AB230" s="258"/>
    </row>
    <row r="231" ht="12.75" customHeight="1">
      <c r="A231" t="s" s="274">
        <v>1383</v>
      </c>
      <c r="B231" s="275"/>
      <c r="C231" t="s" s="274">
        <v>1273</v>
      </c>
      <c r="D231" t="s" s="276">
        <v>1384</v>
      </c>
      <c r="E231" s="277"/>
      <c r="F231" s="278"/>
      <c r="G231" s="277">
        <v>400000</v>
      </c>
      <c r="H231" s="279" cm="1">
        <f t="array" ref="H231">G231/I231</f>
        <v>2580.645161290320</v>
      </c>
      <c r="I231" s="277">
        <v>155</v>
      </c>
      <c r="J231" s="280"/>
      <c r="K231" s="281"/>
      <c r="L231" s="264"/>
      <c r="M231" s="258"/>
      <c r="N231" s="258"/>
      <c r="O231" s="258"/>
      <c r="P231" s="258"/>
      <c r="Q231" s="258"/>
      <c r="R231" s="258"/>
      <c r="S231" s="258"/>
      <c r="T231" s="258"/>
      <c r="U231" s="258"/>
      <c r="V231" s="258"/>
      <c r="W231" s="258"/>
      <c r="X231" s="258"/>
      <c r="Y231" s="258"/>
      <c r="Z231" s="258"/>
      <c r="AA231" s="258"/>
      <c r="AB231" s="258"/>
    </row>
    <row r="232" ht="12.75" customHeight="1">
      <c r="A232" s="287">
        <v>44218</v>
      </c>
      <c r="B232" s="282"/>
      <c r="C232" s="295"/>
      <c r="D232" t="s" s="283">
        <v>1385</v>
      </c>
      <c r="E232" s="284">
        <v>15000</v>
      </c>
      <c r="F232" s="285" cm="1">
        <f t="array" ref="F232">SUM(E232/I232)</f>
        <v>96.7741935483871</v>
      </c>
      <c r="G232" s="284"/>
      <c r="H232" s="286"/>
      <c r="I232" s="284">
        <v>155</v>
      </c>
      <c r="J232" s="280"/>
      <c r="K232" s="281"/>
      <c r="L232" s="264"/>
      <c r="M232" s="258"/>
      <c r="N232" s="258"/>
      <c r="O232" s="258"/>
      <c r="P232" s="258"/>
      <c r="Q232" s="258"/>
      <c r="R232" s="258"/>
      <c r="S232" s="258"/>
      <c r="T232" s="258"/>
      <c r="U232" s="258"/>
      <c r="V232" s="258"/>
      <c r="W232" s="258"/>
      <c r="X232" s="258"/>
      <c r="Y232" s="258"/>
      <c r="Z232" s="258"/>
      <c r="AA232" s="258"/>
      <c r="AB232" s="258"/>
    </row>
    <row r="233" ht="12.75" customHeight="1">
      <c r="A233" t="s" s="259">
        <v>1386</v>
      </c>
      <c r="B233" s="282"/>
      <c r="C233" t="s" s="274">
        <v>1321</v>
      </c>
      <c r="D233" t="s" s="283">
        <v>1387</v>
      </c>
      <c r="E233" s="284"/>
      <c r="F233" s="285"/>
      <c r="G233" s="284">
        <v>6000</v>
      </c>
      <c r="H233" s="286">
        <v>38</v>
      </c>
      <c r="I233" s="284" cm="1">
        <f t="array" ref="I233">G233/H233</f>
        <v>157.894736842105</v>
      </c>
      <c r="J233" s="280"/>
      <c r="K233" s="281"/>
      <c r="L233" s="264"/>
      <c r="M233" s="258"/>
      <c r="N233" s="258"/>
      <c r="O233" s="258"/>
      <c r="P233" s="326"/>
      <c r="Q233" s="258"/>
      <c r="R233" s="258"/>
      <c r="S233" s="258"/>
      <c r="T233" s="258"/>
      <c r="U233" s="258"/>
      <c r="V233" s="258"/>
      <c r="W233" s="258"/>
      <c r="X233" s="258"/>
      <c r="Y233" s="326"/>
      <c r="Z233" s="258"/>
      <c r="AA233" s="258"/>
      <c r="AB233" s="258"/>
    </row>
    <row r="234" ht="12.75" customHeight="1">
      <c r="A234" t="s" s="259">
        <v>1388</v>
      </c>
      <c r="B234" s="327">
        <v>415</v>
      </c>
      <c r="C234" t="s" s="293">
        <v>278</v>
      </c>
      <c r="D234" t="s" s="283">
        <v>660</v>
      </c>
      <c r="E234" s="328"/>
      <c r="F234" s="281"/>
      <c r="G234" s="329" cm="1">
        <f t="array" ref="G234">1007500-520455</f>
        <v>487045</v>
      </c>
      <c r="H234" s="286">
        <v>6500</v>
      </c>
      <c r="I234" s="284" cm="1">
        <f t="array" ref="I234">G234/H234</f>
        <v>74.93000000000001</v>
      </c>
      <c r="J234" t="s" s="259">
        <v>1388</v>
      </c>
      <c r="K234" s="327">
        <v>415</v>
      </c>
      <c r="L234" t="s" s="330">
        <v>278</v>
      </c>
      <c r="M234" t="s" s="316">
        <v>660</v>
      </c>
      <c r="N234" s="331"/>
      <c r="O234" s="332"/>
      <c r="P234" s="333">
        <v>1007500</v>
      </c>
      <c r="Q234" s="334">
        <v>6500</v>
      </c>
      <c r="R234" s="335" cm="1">
        <f t="array" ref="R234">P234/Q234</f>
        <v>155</v>
      </c>
      <c r="S234" t="s" s="336">
        <v>1388</v>
      </c>
      <c r="T234" s="337">
        <v>415</v>
      </c>
      <c r="U234" t="s" s="330">
        <v>278</v>
      </c>
      <c r="V234" t="s" s="316">
        <v>660</v>
      </c>
      <c r="W234" s="331"/>
      <c r="X234" s="332"/>
      <c r="Y234" s="333">
        <v>1007500</v>
      </c>
      <c r="Z234" s="334">
        <v>6500</v>
      </c>
      <c r="AA234" s="335" cm="1">
        <f t="array" ref="AA234">Y234/Z234</f>
        <v>155</v>
      </c>
      <c r="AB234" s="257"/>
    </row>
    <row r="235" ht="12.75" customHeight="1">
      <c r="A235" s="290">
        <v>44257</v>
      </c>
      <c r="B235" s="275"/>
      <c r="C235" t="s" s="274">
        <v>1300</v>
      </c>
      <c r="D235" t="s" s="276">
        <v>1389</v>
      </c>
      <c r="E235" s="277"/>
      <c r="F235" s="278"/>
      <c r="G235" s="277">
        <v>11200000</v>
      </c>
      <c r="H235" s="279">
        <v>70000</v>
      </c>
      <c r="I235" s="277" cm="1">
        <f t="array" ref="I235">G235/H235</f>
        <v>160</v>
      </c>
      <c r="J235" s="280"/>
      <c r="K235" s="281"/>
      <c r="L235" s="318"/>
      <c r="M235" s="312"/>
      <c r="N235" s="312"/>
      <c r="O235" s="312"/>
      <c r="P235" s="312"/>
      <c r="Q235" s="312"/>
      <c r="R235" s="312"/>
      <c r="S235" s="312"/>
      <c r="T235" s="312"/>
      <c r="U235" s="312"/>
      <c r="V235" s="312"/>
      <c r="W235" s="312"/>
      <c r="X235" s="312"/>
      <c r="Y235" s="312"/>
      <c r="Z235" s="312"/>
      <c r="AA235" s="312"/>
      <c r="AB235" s="258"/>
    </row>
    <row r="236" ht="12.75" customHeight="1">
      <c r="A236" s="287">
        <v>44441</v>
      </c>
      <c r="B236" s="282"/>
      <c r="C236" t="s" s="259">
        <v>1358</v>
      </c>
      <c r="D236" t="s" s="283">
        <v>1369</v>
      </c>
      <c r="E236" s="284"/>
      <c r="F236" s="285"/>
      <c r="G236" s="284">
        <v>7821.22</v>
      </c>
      <c r="H236" s="286">
        <v>53</v>
      </c>
      <c r="I236" s="284" cm="1">
        <f t="array" ref="I236">G237/H237</f>
        <v>150</v>
      </c>
      <c r="J236" s="280"/>
      <c r="K236" s="281"/>
      <c r="L236" s="264"/>
      <c r="M236" s="258"/>
      <c r="N236" s="258"/>
      <c r="O236" s="258"/>
      <c r="P236" s="258"/>
      <c r="Q236" s="258"/>
      <c r="R236" s="258"/>
      <c r="S236" s="258"/>
      <c r="T236" s="258"/>
      <c r="U236" s="258"/>
      <c r="V236" s="258"/>
      <c r="W236" s="258"/>
      <c r="X236" s="258"/>
      <c r="Y236" s="258"/>
      <c r="Z236" s="258"/>
      <c r="AA236" s="258"/>
      <c r="AB236" s="258"/>
    </row>
    <row r="237" ht="12.75" customHeight="1">
      <c r="A237" t="s" s="274">
        <v>1390</v>
      </c>
      <c r="B237" s="275"/>
      <c r="C237" t="s" s="274">
        <v>1146</v>
      </c>
      <c r="D237" t="s" s="276">
        <v>1391</v>
      </c>
      <c r="E237" s="277"/>
      <c r="F237" s="278"/>
      <c r="G237" s="277">
        <v>600000</v>
      </c>
      <c r="H237" s="279">
        <v>4000</v>
      </c>
      <c r="I237" s="277"/>
      <c r="J237" s="280"/>
      <c r="K237" s="281"/>
      <c r="L237" s="264"/>
      <c r="M237" s="258"/>
      <c r="N237" s="258"/>
      <c r="O237" s="258"/>
      <c r="P237" s="258"/>
      <c r="Q237" s="258"/>
      <c r="R237" s="258"/>
      <c r="S237" s="258"/>
      <c r="T237" s="258"/>
      <c r="U237" s="258"/>
      <c r="V237" s="258"/>
      <c r="W237" s="258"/>
      <c r="X237" s="258"/>
      <c r="Y237" s="258"/>
      <c r="Z237" s="258"/>
      <c r="AA237" s="258"/>
      <c r="AB237" s="258"/>
    </row>
    <row r="238" ht="12.75" customHeight="1">
      <c r="A238" t="s" s="259">
        <v>1390</v>
      </c>
      <c r="B238" s="282"/>
      <c r="C238" t="s" s="259">
        <v>1358</v>
      </c>
      <c r="D238" t="s" s="283">
        <v>1392</v>
      </c>
      <c r="E238" s="284"/>
      <c r="F238" s="285"/>
      <c r="G238" s="284">
        <v>1278.65</v>
      </c>
      <c r="H238" s="286">
        <v>9</v>
      </c>
      <c r="I238" s="284" cm="1">
        <f t="array" ref="I238">G238/H238</f>
        <v>142.072222222222</v>
      </c>
      <c r="J238" s="280"/>
      <c r="K238" s="281"/>
      <c r="L238" s="264"/>
      <c r="M238" s="258"/>
      <c r="N238" s="258"/>
      <c r="O238" s="258"/>
      <c r="P238" s="258"/>
      <c r="Q238" s="258"/>
      <c r="R238" s="258"/>
      <c r="S238" s="258"/>
      <c r="T238" s="258"/>
      <c r="U238" s="258"/>
      <c r="V238" s="258"/>
      <c r="W238" s="258"/>
      <c r="X238" s="258"/>
      <c r="Y238" s="258"/>
      <c r="Z238" s="258"/>
      <c r="AA238" s="258"/>
      <c r="AB238" s="258"/>
    </row>
    <row r="239" ht="12.75" customHeight="1">
      <c r="A239" t="s" s="274">
        <v>1393</v>
      </c>
      <c r="B239" s="275"/>
      <c r="C239" t="s" s="274">
        <v>211</v>
      </c>
      <c r="D239" t="s" s="276">
        <v>1394</v>
      </c>
      <c r="E239" s="277"/>
      <c r="F239" s="278"/>
      <c r="G239" s="277">
        <v>1300000</v>
      </c>
      <c r="H239" s="279" cm="1">
        <f t="array" ref="H239">G239/I239</f>
        <v>8666.666666666670</v>
      </c>
      <c r="I239" s="277">
        <v>150</v>
      </c>
      <c r="J239" s="280"/>
      <c r="K239" s="281"/>
      <c r="L239" s="264"/>
      <c r="M239" s="258"/>
      <c r="N239" s="258"/>
      <c r="O239" s="258"/>
      <c r="P239" s="258"/>
      <c r="Q239" s="258"/>
      <c r="R239" s="258"/>
      <c r="S239" s="258"/>
      <c r="T239" s="258"/>
      <c r="U239" s="258"/>
      <c r="V239" s="258"/>
      <c r="W239" s="258"/>
      <c r="X239" s="258"/>
      <c r="Y239" s="258"/>
      <c r="Z239" s="258"/>
      <c r="AA239" s="258"/>
      <c r="AB239" s="258"/>
    </row>
    <row r="240" ht="12.75" customHeight="1">
      <c r="A240" t="s" s="259">
        <v>1395</v>
      </c>
      <c r="B240" s="282"/>
      <c r="C240" t="s" s="259">
        <v>1217</v>
      </c>
      <c r="D240" t="s" s="283">
        <v>1396</v>
      </c>
      <c r="E240" s="284"/>
      <c r="F240" s="285"/>
      <c r="G240" s="284">
        <v>7000</v>
      </c>
      <c r="H240" s="286" cm="1">
        <f t="array" ref="H240">G240/I240</f>
        <v>46.6666666666667</v>
      </c>
      <c r="I240" s="284">
        <v>150</v>
      </c>
      <c r="J240" s="280"/>
      <c r="K240" s="281"/>
      <c r="L240" s="264"/>
      <c r="M240" s="258"/>
      <c r="N240" s="258"/>
      <c r="O240" s="258"/>
      <c r="P240" s="258"/>
      <c r="Q240" s="258"/>
      <c r="R240" s="258"/>
      <c r="S240" s="258"/>
      <c r="T240" s="258"/>
      <c r="U240" s="258"/>
      <c r="V240" s="258"/>
      <c r="W240" s="258"/>
      <c r="X240" s="258"/>
      <c r="Y240" s="258"/>
      <c r="Z240" s="258"/>
      <c r="AA240" s="258"/>
      <c r="AB240" s="258"/>
    </row>
    <row r="241" ht="12.75" customHeight="1">
      <c r="A241" s="325">
        <v>44319</v>
      </c>
      <c r="B241" s="275"/>
      <c r="C241" t="s" s="274">
        <v>299</v>
      </c>
      <c r="D241" t="s" s="276">
        <v>1397</v>
      </c>
      <c r="E241" s="277"/>
      <c r="F241" s="278"/>
      <c r="G241" s="277">
        <v>31600</v>
      </c>
      <c r="H241" s="279">
        <v>218</v>
      </c>
      <c r="I241" s="277" cm="1">
        <f t="array" ref="I241">G241/H241</f>
        <v>144.954128440367</v>
      </c>
      <c r="J241" s="280"/>
      <c r="K241" s="281"/>
      <c r="L241" s="264"/>
      <c r="M241" s="258"/>
      <c r="N241" s="258"/>
      <c r="O241" s="258"/>
      <c r="P241" s="258"/>
      <c r="Q241" s="258"/>
      <c r="R241" s="258"/>
      <c r="S241" s="258"/>
      <c r="T241" s="258"/>
      <c r="U241" s="258"/>
      <c r="V241" s="258"/>
      <c r="W241" s="258"/>
      <c r="X241" s="258"/>
      <c r="Y241" s="258"/>
      <c r="Z241" s="258"/>
      <c r="AA241" s="258"/>
      <c r="AB241" s="258"/>
    </row>
    <row r="242" ht="12.75" customHeight="1">
      <c r="A242" s="324">
        <v>44319</v>
      </c>
      <c r="B242" s="282"/>
      <c r="C242" t="s" s="259">
        <v>299</v>
      </c>
      <c r="D242" t="s" s="283">
        <v>1398</v>
      </c>
      <c r="E242" s="284"/>
      <c r="F242" s="285"/>
      <c r="G242" s="284">
        <v>112825.3</v>
      </c>
      <c r="H242" s="286">
        <v>778</v>
      </c>
      <c r="I242" s="284" cm="1">
        <f t="array" ref="I242">G242/H242</f>
        <v>145.019665809769</v>
      </c>
      <c r="J242" s="280"/>
      <c r="K242" s="281"/>
      <c r="L242" s="264"/>
      <c r="M242" s="258"/>
      <c r="N242" s="258"/>
      <c r="O242" s="258"/>
      <c r="P242" s="258"/>
      <c r="Q242" s="258"/>
      <c r="R242" s="258"/>
      <c r="S242" s="258"/>
      <c r="T242" s="258"/>
      <c r="U242" s="258"/>
      <c r="V242" s="258"/>
      <c r="W242" s="258"/>
      <c r="X242" s="258"/>
      <c r="Y242" s="258"/>
      <c r="Z242" s="258"/>
      <c r="AA242" s="258"/>
      <c r="AB242" s="258"/>
    </row>
    <row r="243" ht="12.75" customHeight="1">
      <c r="A243" t="s" s="274">
        <v>1399</v>
      </c>
      <c r="B243" s="275"/>
      <c r="C243" t="s" s="274">
        <v>1217</v>
      </c>
      <c r="D243" t="s" s="276">
        <v>697</v>
      </c>
      <c r="E243" s="277"/>
      <c r="F243" s="278"/>
      <c r="G243" s="277">
        <v>7000</v>
      </c>
      <c r="H243" s="279" cm="1">
        <f t="array" ref="H243">G243/I243</f>
        <v>50</v>
      </c>
      <c r="I243" s="277">
        <v>140</v>
      </c>
      <c r="J243" s="280"/>
      <c r="K243" s="281"/>
      <c r="L243" s="264"/>
      <c r="M243" s="258"/>
      <c r="N243" s="258"/>
      <c r="O243" s="258"/>
      <c r="P243" s="258"/>
      <c r="Q243" s="258"/>
      <c r="R243" s="258"/>
      <c r="S243" s="258"/>
      <c r="T243" s="258"/>
      <c r="U243" s="258"/>
      <c r="V243" s="258"/>
      <c r="W243" s="258"/>
      <c r="X243" s="258"/>
      <c r="Y243" s="258"/>
      <c r="Z243" s="258"/>
      <c r="AA243" s="258"/>
      <c r="AB243" s="258"/>
    </row>
    <row r="244" ht="12.75" customHeight="1">
      <c r="A244" t="s" s="259">
        <v>1400</v>
      </c>
      <c r="B244" s="282"/>
      <c r="C244" t="s" s="259">
        <v>169</v>
      </c>
      <c r="D244" t="s" s="283">
        <v>1401</v>
      </c>
      <c r="E244" s="284"/>
      <c r="F244" s="285"/>
      <c r="G244" s="284">
        <v>450</v>
      </c>
      <c r="H244" s="286" cm="1">
        <f t="array" ref="H244">G244/I244</f>
        <v>3.21428571428571</v>
      </c>
      <c r="I244" s="284">
        <v>140</v>
      </c>
      <c r="J244" s="280"/>
      <c r="K244" s="281"/>
      <c r="L244" s="264"/>
      <c r="M244" s="258"/>
      <c r="N244" s="258"/>
      <c r="O244" s="258"/>
      <c r="P244" s="258"/>
      <c r="Q244" s="258"/>
      <c r="R244" s="258"/>
      <c r="S244" s="258"/>
      <c r="T244" s="258"/>
      <c r="U244" s="258"/>
      <c r="V244" s="258"/>
      <c r="W244" s="258"/>
      <c r="X244" s="258"/>
      <c r="Y244" s="258"/>
      <c r="Z244" s="258"/>
      <c r="AA244" s="258"/>
      <c r="AB244" s="258"/>
    </row>
    <row r="245" ht="12.75" customHeight="1">
      <c r="A245" t="s" s="259">
        <v>1402</v>
      </c>
      <c r="B245" s="282"/>
      <c r="C245" t="s" s="259">
        <v>278</v>
      </c>
      <c r="D245" t="s" s="283">
        <v>1403</v>
      </c>
      <c r="E245" s="284"/>
      <c r="F245" s="285"/>
      <c r="G245" s="284">
        <v>2790</v>
      </c>
      <c r="H245" s="286">
        <v>20</v>
      </c>
      <c r="I245" s="284" cm="1">
        <f t="array" ref="I245">G245/H245</f>
        <v>139.5</v>
      </c>
      <c r="J245" s="280"/>
      <c r="K245" s="281"/>
      <c r="L245" s="264"/>
      <c r="M245" s="258"/>
      <c r="N245" s="258"/>
      <c r="O245" s="258"/>
      <c r="P245" s="258"/>
      <c r="Q245" s="258"/>
      <c r="R245" s="258"/>
      <c r="S245" s="258"/>
      <c r="T245" s="258"/>
      <c r="U245" s="258"/>
      <c r="V245" s="258"/>
      <c r="W245" s="258"/>
      <c r="X245" s="258"/>
      <c r="Y245" s="258"/>
      <c r="Z245" s="258"/>
      <c r="AA245" s="258"/>
      <c r="AB245" s="258"/>
    </row>
    <row r="246" ht="12.75" customHeight="1">
      <c r="A246" t="s" s="274">
        <v>1404</v>
      </c>
      <c r="B246" s="275"/>
      <c r="C246" t="s" s="274">
        <v>1358</v>
      </c>
      <c r="D246" t="s" s="276">
        <v>1405</v>
      </c>
      <c r="E246" s="277"/>
      <c r="F246" s="278"/>
      <c r="G246" s="277">
        <v>636.3200000000001</v>
      </c>
      <c r="H246" s="279">
        <v>5</v>
      </c>
      <c r="I246" s="277" cm="1">
        <f t="array" ref="I246">G246/5</f>
        <v>127.264</v>
      </c>
      <c r="J246" s="280"/>
      <c r="K246" s="281"/>
      <c r="L246" s="264"/>
      <c r="M246" s="258"/>
      <c r="N246" s="258"/>
      <c r="O246" s="258"/>
      <c r="P246" s="258"/>
      <c r="Q246" s="258"/>
      <c r="R246" s="258"/>
      <c r="S246" s="258"/>
      <c r="T246" s="258"/>
      <c r="U246" s="258"/>
      <c r="V246" s="258"/>
      <c r="W246" s="258"/>
      <c r="X246" s="258"/>
      <c r="Y246" s="258"/>
      <c r="Z246" s="258"/>
      <c r="AA246" s="258"/>
      <c r="AB246" s="258"/>
    </row>
    <row r="247" ht="12.75" customHeight="1">
      <c r="A247" t="s" s="259">
        <v>1404</v>
      </c>
      <c r="B247" s="282"/>
      <c r="C247" t="s" s="259">
        <v>299</v>
      </c>
      <c r="D247" t="s" s="283">
        <v>1406</v>
      </c>
      <c r="E247" s="284"/>
      <c r="F247" s="285"/>
      <c r="G247" s="284">
        <v>121192.75</v>
      </c>
      <c r="H247" s="286">
        <v>854</v>
      </c>
      <c r="I247" s="284" cm="1">
        <f t="array" ref="I247">G247/H247</f>
        <v>141.911885245902</v>
      </c>
      <c r="J247" s="280"/>
      <c r="K247" s="281"/>
      <c r="L247" s="264"/>
      <c r="M247" s="258"/>
      <c r="N247" s="258"/>
      <c r="O247" s="258"/>
      <c r="P247" s="258"/>
      <c r="Q247" s="258"/>
      <c r="R247" s="258"/>
      <c r="S247" s="258"/>
      <c r="T247" s="258"/>
      <c r="U247" s="258"/>
      <c r="V247" s="258"/>
      <c r="W247" s="258"/>
      <c r="X247" s="258"/>
      <c r="Y247" s="258"/>
      <c r="Z247" s="258"/>
      <c r="AA247" s="258"/>
      <c r="AB247" s="258"/>
    </row>
    <row r="248" ht="12.75" customHeight="1">
      <c r="A248" t="s" s="274">
        <v>1407</v>
      </c>
      <c r="B248" s="275"/>
      <c r="C248" t="s" s="274">
        <v>1321</v>
      </c>
      <c r="D248" t="s" s="276">
        <v>1408</v>
      </c>
      <c r="E248" s="277"/>
      <c r="F248" s="278"/>
      <c r="G248" s="277">
        <v>7491.24</v>
      </c>
      <c r="H248" s="279">
        <v>53</v>
      </c>
      <c r="I248" s="277" cm="1">
        <f t="array" ref="I248">G248/H248</f>
        <v>141.344150943396</v>
      </c>
      <c r="J248" s="280"/>
      <c r="K248" s="281"/>
      <c r="L248" s="264"/>
      <c r="M248" s="258"/>
      <c r="N248" s="258"/>
      <c r="O248" s="258"/>
      <c r="P248" s="258"/>
      <c r="Q248" s="258"/>
      <c r="R248" s="258"/>
      <c r="S248" s="258"/>
      <c r="T248" s="258"/>
      <c r="U248" s="258"/>
      <c r="V248" s="258"/>
      <c r="W248" s="258"/>
      <c r="X248" s="258"/>
      <c r="Y248" s="258"/>
      <c r="Z248" s="258"/>
      <c r="AA248" s="258"/>
      <c r="AB248" s="258"/>
    </row>
    <row r="249" ht="12.75" customHeight="1">
      <c r="A249" s="324">
        <v>44200</v>
      </c>
      <c r="B249" s="282"/>
      <c r="C249" t="s" s="259">
        <v>411</v>
      </c>
      <c r="D249" t="s" s="283">
        <v>1409</v>
      </c>
      <c r="E249" s="284"/>
      <c r="F249" s="285"/>
      <c r="G249" s="284">
        <v>28069.29</v>
      </c>
      <c r="H249" s="286">
        <v>198</v>
      </c>
      <c r="I249" s="284" cm="1">
        <f t="array" ref="I249">G249/H249</f>
        <v>141.764090909091</v>
      </c>
      <c r="J249" s="280"/>
      <c r="K249" s="281"/>
      <c r="L249" s="264"/>
      <c r="M249" s="258"/>
      <c r="N249" s="258"/>
      <c r="O249" s="258"/>
      <c r="P249" s="258"/>
      <c r="Q249" s="258"/>
      <c r="R249" s="258"/>
      <c r="S249" s="258"/>
      <c r="T249" s="258"/>
      <c r="U249" s="258"/>
      <c r="V249" s="258"/>
      <c r="W249" s="258"/>
      <c r="X249" s="258"/>
      <c r="Y249" s="258"/>
      <c r="Z249" s="258"/>
      <c r="AA249" s="258"/>
      <c r="AB249" s="258"/>
    </row>
    <row r="250" ht="12.75" customHeight="1">
      <c r="A250" s="325">
        <v>44200</v>
      </c>
      <c r="B250" s="275"/>
      <c r="C250" t="s" s="274">
        <v>411</v>
      </c>
      <c r="D250" t="s" s="276">
        <v>1410</v>
      </c>
      <c r="E250" s="277"/>
      <c r="F250" s="278"/>
      <c r="G250" s="277">
        <v>100000</v>
      </c>
      <c r="H250" s="279">
        <v>705</v>
      </c>
      <c r="I250" s="277" cm="1">
        <f t="array" ref="I250">G250/H250</f>
        <v>141.843971631206</v>
      </c>
      <c r="J250" s="280"/>
      <c r="K250" s="281"/>
      <c r="L250" s="264"/>
      <c r="M250" s="258"/>
      <c r="N250" s="258"/>
      <c r="O250" s="258"/>
      <c r="P250" s="258"/>
      <c r="Q250" s="9"/>
      <c r="R250" s="258"/>
      <c r="S250" s="258"/>
      <c r="T250" s="258"/>
      <c r="U250" s="258"/>
      <c r="V250" s="258"/>
      <c r="W250" s="258"/>
      <c r="X250" s="258"/>
      <c r="Y250" s="258"/>
      <c r="Z250" s="258"/>
      <c r="AA250" s="258"/>
      <c r="AB250" s="258"/>
    </row>
    <row r="251" ht="12.75" customHeight="1">
      <c r="A251" t="s" s="259">
        <v>700</v>
      </c>
      <c r="B251" s="282"/>
      <c r="C251" t="s" s="259">
        <v>1411</v>
      </c>
      <c r="D251" t="s" s="283">
        <v>1412</v>
      </c>
      <c r="E251" s="284"/>
      <c r="F251" s="285"/>
      <c r="G251" s="284">
        <v>493000</v>
      </c>
      <c r="H251" s="286">
        <v>3521</v>
      </c>
      <c r="I251" s="284" cm="1">
        <f t="array" ref="I251">G251/H251</f>
        <v>140.017040613462</v>
      </c>
      <c r="J251" s="280"/>
      <c r="K251" s="281"/>
      <c r="L251" s="264"/>
      <c r="M251" s="258"/>
      <c r="N251" s="258"/>
      <c r="O251" s="258"/>
      <c r="P251" s="258"/>
      <c r="Q251" s="9"/>
      <c r="R251" s="258"/>
      <c r="S251" s="258"/>
      <c r="T251" s="258"/>
      <c r="U251" s="258"/>
      <c r="V251" s="258"/>
      <c r="W251" s="258"/>
      <c r="X251" s="258"/>
      <c r="Y251" s="258"/>
      <c r="Z251" s="258"/>
      <c r="AA251" s="258"/>
      <c r="AB251" s="258"/>
    </row>
    <row r="252" ht="12.75" customHeight="1">
      <c r="A252" t="s" s="274">
        <v>700</v>
      </c>
      <c r="B252" s="275"/>
      <c r="C252" t="s" s="274">
        <v>101</v>
      </c>
      <c r="D252" t="s" s="276">
        <v>1413</v>
      </c>
      <c r="E252" s="277"/>
      <c r="F252" s="278"/>
      <c r="G252" s="277">
        <v>900000</v>
      </c>
      <c r="H252" s="279">
        <v>6350</v>
      </c>
      <c r="I252" s="277" cm="1">
        <f t="array" ref="I252">G252/H252</f>
        <v>141.732283464567</v>
      </c>
      <c r="J252" s="280"/>
      <c r="K252" s="281"/>
      <c r="L252" s="264"/>
      <c r="M252" s="258"/>
      <c r="N252" s="258"/>
      <c r="O252" s="258"/>
      <c r="P252" s="258"/>
      <c r="Q252" s="258"/>
      <c r="R252" s="258"/>
      <c r="S252" s="258"/>
      <c r="T252" s="258"/>
      <c r="U252" s="258"/>
      <c r="V252" s="258"/>
      <c r="W252" s="258"/>
      <c r="X252" s="258"/>
      <c r="Y252" s="258"/>
      <c r="Z252" s="258"/>
      <c r="AA252" s="258"/>
      <c r="AB252" s="258"/>
    </row>
    <row r="253" ht="12.75" customHeight="1">
      <c r="A253" t="s" s="259">
        <v>1414</v>
      </c>
      <c r="B253" s="282"/>
      <c r="C253" t="s" s="259">
        <v>1217</v>
      </c>
      <c r="D253" t="s" s="283">
        <v>1415</v>
      </c>
      <c r="E253" s="284"/>
      <c r="F253" s="285"/>
      <c r="G253" s="284">
        <v>7000</v>
      </c>
      <c r="H253" s="286" cm="1">
        <f t="array" ref="H253">G253/I253</f>
        <v>49.645390070922</v>
      </c>
      <c r="I253" s="284">
        <v>141</v>
      </c>
      <c r="J253" s="280"/>
      <c r="K253" s="281"/>
      <c r="L253" s="264"/>
      <c r="M253" s="258"/>
      <c r="N253" s="258"/>
      <c r="O253" s="258"/>
      <c r="P253" s="258"/>
      <c r="Q253" s="258"/>
      <c r="R253" s="258"/>
      <c r="S253" s="258"/>
      <c r="T253" s="258"/>
      <c r="U253" s="258"/>
      <c r="V253" s="258"/>
      <c r="W253" s="258"/>
      <c r="X253" s="258"/>
      <c r="Y253" s="258"/>
      <c r="Z253" s="258"/>
      <c r="AA253" s="258"/>
      <c r="AB253" s="258"/>
    </row>
    <row r="254" ht="12.75" customHeight="1">
      <c r="A254" t="s" s="259">
        <v>1416</v>
      </c>
      <c r="B254" s="282"/>
      <c r="C254" t="s" s="259">
        <v>278</v>
      </c>
      <c r="D254" t="s" s="283">
        <v>523</v>
      </c>
      <c r="E254" s="284"/>
      <c r="F254" s="285"/>
      <c r="G254" s="284">
        <v>3000</v>
      </c>
      <c r="H254" s="286" cm="1">
        <f t="array" ref="H254">G254/I254</f>
        <v>21.4285714285714</v>
      </c>
      <c r="I254" s="284">
        <v>140</v>
      </c>
      <c r="J254" s="280"/>
      <c r="K254" s="281"/>
      <c r="L254" s="264"/>
      <c r="M254" s="258"/>
      <c r="N254" s="258"/>
      <c r="O254" s="258"/>
      <c r="P254" s="258"/>
      <c r="Q254" s="258"/>
      <c r="R254" s="258"/>
      <c r="S254" s="258"/>
      <c r="T254" s="258"/>
      <c r="U254" s="258"/>
      <c r="V254" s="258"/>
      <c r="W254" s="258"/>
      <c r="X254" s="258"/>
      <c r="Y254" s="258"/>
      <c r="Z254" s="258"/>
      <c r="AA254" s="258"/>
      <c r="AB254" s="258"/>
    </row>
    <row r="255" ht="12.75" customHeight="1">
      <c r="A255" t="s" s="274">
        <v>1416</v>
      </c>
      <c r="B255" s="275"/>
      <c r="C255" t="s" s="274">
        <v>377</v>
      </c>
      <c r="D255" t="s" s="276">
        <v>704</v>
      </c>
      <c r="E255" s="277"/>
      <c r="F255" s="278"/>
      <c r="G255" s="277">
        <v>242700</v>
      </c>
      <c r="H255" s="279">
        <v>1733</v>
      </c>
      <c r="I255" s="277" cm="1">
        <f t="array" ref="I255">G255/H255</f>
        <v>140.046162723601</v>
      </c>
      <c r="J255" s="280"/>
      <c r="K255" s="281"/>
      <c r="L255" s="264"/>
      <c r="M255" s="258"/>
      <c r="N255" s="258"/>
      <c r="O255" s="258"/>
      <c r="P255" s="258"/>
      <c r="Q255" s="258"/>
      <c r="R255" s="258"/>
      <c r="S255" s="258"/>
      <c r="T255" s="258"/>
      <c r="U255" s="258"/>
      <c r="V255" s="258"/>
      <c r="W255" s="258"/>
      <c r="X255" s="258"/>
      <c r="Y255" s="258"/>
      <c r="Z255" s="258"/>
      <c r="AA255" s="258"/>
      <c r="AB255" s="258"/>
    </row>
    <row r="256" ht="12.75" customHeight="1">
      <c r="A256" t="s" s="259">
        <v>1417</v>
      </c>
      <c r="B256" s="282"/>
      <c r="C256" t="s" s="259">
        <v>321</v>
      </c>
      <c r="D256" t="s" s="283">
        <v>1418</v>
      </c>
      <c r="E256" s="284"/>
      <c r="F256" s="285"/>
      <c r="G256" s="284">
        <v>528</v>
      </c>
      <c r="H256" s="286">
        <v>3</v>
      </c>
      <c r="I256" s="284" cm="1">
        <f t="array" ref="I256">G256/H256</f>
        <v>176</v>
      </c>
      <c r="J256" s="280"/>
      <c r="K256" s="281"/>
      <c r="L256" s="264"/>
      <c r="M256" s="258"/>
      <c r="N256" s="258"/>
      <c r="O256" s="258"/>
      <c r="P256" s="258"/>
      <c r="Q256" s="258"/>
      <c r="R256" s="258"/>
      <c r="S256" s="258"/>
      <c r="T256" s="258"/>
      <c r="U256" s="258"/>
      <c r="V256" s="258"/>
      <c r="W256" s="258"/>
      <c r="X256" s="258"/>
      <c r="Y256" s="258"/>
      <c r="Z256" s="258"/>
      <c r="AA256" s="258"/>
      <c r="AB256" s="258"/>
    </row>
    <row r="257" ht="12.75" customHeight="1">
      <c r="A257" t="s" s="259">
        <v>1419</v>
      </c>
      <c r="B257" s="282"/>
      <c r="C257" t="s" s="259">
        <v>278</v>
      </c>
      <c r="D257" t="s" s="283">
        <v>297</v>
      </c>
      <c r="E257" s="284"/>
      <c r="F257" s="285"/>
      <c r="G257" s="284">
        <v>7200</v>
      </c>
      <c r="H257" s="286" cm="1">
        <f t="array" ref="H257">G257/I257</f>
        <v>48</v>
      </c>
      <c r="I257" s="284">
        <v>150</v>
      </c>
      <c r="J257" s="280"/>
      <c r="K257" s="281"/>
      <c r="L257" s="264"/>
      <c r="M257" s="258"/>
      <c r="N257" s="258"/>
      <c r="O257" s="258"/>
      <c r="P257" s="258"/>
      <c r="Q257" s="258"/>
      <c r="R257" s="258"/>
      <c r="S257" s="258"/>
      <c r="T257" s="258"/>
      <c r="U257" s="258"/>
      <c r="V257" s="258"/>
      <c r="W257" s="258"/>
      <c r="X257" s="258"/>
      <c r="Y257" s="258"/>
      <c r="Z257" s="258"/>
      <c r="AA257" s="258"/>
      <c r="AB257" s="258"/>
    </row>
    <row r="258" ht="12.75" customHeight="1">
      <c r="A258" t="s" s="274">
        <v>1420</v>
      </c>
      <c r="B258" s="275"/>
      <c r="C258" t="s" s="274">
        <v>1217</v>
      </c>
      <c r="D258" t="s" s="276">
        <v>1421</v>
      </c>
      <c r="E258" s="277"/>
      <c r="F258" s="278"/>
      <c r="G258" s="277">
        <v>7000</v>
      </c>
      <c r="H258" s="279" cm="1">
        <f t="array" ref="H258">G258/I258</f>
        <v>45.7516339869281</v>
      </c>
      <c r="I258" s="277">
        <v>153</v>
      </c>
      <c r="J258" s="280"/>
      <c r="K258" s="281"/>
      <c r="L258" s="264"/>
      <c r="M258" s="258"/>
      <c r="N258" s="258"/>
      <c r="O258" s="258"/>
      <c r="P258" s="258"/>
      <c r="Q258" s="258"/>
      <c r="R258" s="258"/>
      <c r="S258" s="258"/>
      <c r="T258" s="258"/>
      <c r="U258" s="258"/>
      <c r="V258" s="258"/>
      <c r="W258" s="258"/>
      <c r="X258" s="258"/>
      <c r="Y258" s="258"/>
      <c r="Z258" s="258"/>
      <c r="AA258" s="258"/>
      <c r="AB258" s="258"/>
    </row>
    <row r="259" ht="12.75" customHeight="1">
      <c r="A259" t="s" s="259">
        <v>1422</v>
      </c>
      <c r="B259" s="282"/>
      <c r="C259" t="s" s="259">
        <v>278</v>
      </c>
      <c r="D259" t="s" s="283">
        <v>1423</v>
      </c>
      <c r="E259" s="284"/>
      <c r="F259" s="285"/>
      <c r="G259" s="284">
        <v>4000</v>
      </c>
      <c r="H259" s="286">
        <v>25</v>
      </c>
      <c r="I259" s="284" cm="1">
        <f t="array" ref="I259">G259/H259</f>
        <v>160</v>
      </c>
      <c r="J259" s="280"/>
      <c r="K259" s="281"/>
      <c r="L259" s="264"/>
      <c r="M259" s="258"/>
      <c r="N259" s="258"/>
      <c r="O259" s="258"/>
      <c r="P259" s="258"/>
      <c r="Q259" s="258"/>
      <c r="R259" s="258"/>
      <c r="S259" s="258"/>
      <c r="T259" s="258"/>
      <c r="U259" s="258"/>
      <c r="V259" s="258"/>
      <c r="W259" s="258"/>
      <c r="X259" s="258"/>
      <c r="Y259" s="258"/>
      <c r="Z259" s="258"/>
      <c r="AA259" s="258"/>
      <c r="AB259" s="258"/>
    </row>
    <row r="260" ht="12.75" customHeight="1">
      <c r="A260" s="325">
        <v>44233</v>
      </c>
      <c r="B260" s="275"/>
      <c r="C260" t="s" s="274">
        <v>101</v>
      </c>
      <c r="D260" t="s" s="276">
        <v>1413</v>
      </c>
      <c r="E260" s="277"/>
      <c r="F260" s="278"/>
      <c r="G260" s="277">
        <v>500000</v>
      </c>
      <c r="H260" s="279">
        <v>3125</v>
      </c>
      <c r="I260" s="277" cm="1">
        <f t="array" ref="I260">G260/H260</f>
        <v>160</v>
      </c>
      <c r="J260" s="280"/>
      <c r="K260" s="281"/>
      <c r="L260" s="264"/>
      <c r="M260" s="258"/>
      <c r="N260" s="258"/>
      <c r="O260" s="258"/>
      <c r="P260" s="258"/>
      <c r="Q260" s="258"/>
      <c r="R260" s="258"/>
      <c r="S260" s="258"/>
      <c r="T260" s="258"/>
      <c r="U260" s="258"/>
      <c r="V260" s="258"/>
      <c r="W260" s="258"/>
      <c r="X260" s="258"/>
      <c r="Y260" s="258"/>
      <c r="Z260" s="258"/>
      <c r="AA260" s="258"/>
      <c r="AB260" s="258"/>
    </row>
    <row r="261" ht="12.75" customHeight="1">
      <c r="A261" s="324">
        <v>44233</v>
      </c>
      <c r="B261" s="282"/>
      <c r="C261" t="s" s="259">
        <v>1358</v>
      </c>
      <c r="D261" t="s" s="283">
        <v>1424</v>
      </c>
      <c r="E261" s="284"/>
      <c r="F261" s="285"/>
      <c r="G261" s="284">
        <v>3803.24</v>
      </c>
      <c r="H261" s="286">
        <v>24</v>
      </c>
      <c r="I261" s="284" cm="1">
        <f t="array" ref="I261">G261/H261</f>
        <v>158.468333333333</v>
      </c>
      <c r="J261" s="280"/>
      <c r="K261" s="281"/>
      <c r="L261" s="264"/>
      <c r="M261" s="258"/>
      <c r="N261" s="258"/>
      <c r="O261" s="258"/>
      <c r="P261" s="258"/>
      <c r="Q261" s="258"/>
      <c r="R261" s="258"/>
      <c r="S261" s="258"/>
      <c r="T261" s="258"/>
      <c r="U261" s="258"/>
      <c r="V261" s="258"/>
      <c r="W261" s="258"/>
      <c r="X261" s="258"/>
      <c r="Y261" s="258"/>
      <c r="Z261" s="258"/>
      <c r="AA261" s="258"/>
      <c r="AB261" s="258"/>
    </row>
    <row r="262" ht="12.75" customHeight="1">
      <c r="A262" s="325">
        <v>44414</v>
      </c>
      <c r="B262" s="275"/>
      <c r="C262" t="s" s="274">
        <v>185</v>
      </c>
      <c r="D262" t="s" s="276">
        <v>1425</v>
      </c>
      <c r="E262" s="277"/>
      <c r="F262" s="278"/>
      <c r="G262" s="277">
        <v>1349.93</v>
      </c>
      <c r="H262" s="279">
        <v>8</v>
      </c>
      <c r="I262" s="277" cm="1">
        <f t="array" ref="I262">G262/H262</f>
        <v>168.74125</v>
      </c>
      <c r="J262" s="280"/>
      <c r="K262" s="281"/>
      <c r="L262" s="264"/>
      <c r="M262" s="258"/>
      <c r="N262" s="258"/>
      <c r="O262" s="258"/>
      <c r="P262" s="258"/>
      <c r="Q262" s="258"/>
      <c r="R262" s="258"/>
      <c r="S262" s="258"/>
      <c r="T262" s="258"/>
      <c r="U262" s="258"/>
      <c r="V262" s="258"/>
      <c r="W262" s="258"/>
      <c r="X262" s="258"/>
      <c r="Y262" s="258"/>
      <c r="Z262" s="258"/>
      <c r="AA262" s="258"/>
      <c r="AB262" s="258"/>
    </row>
    <row r="263" ht="12.75" customHeight="1">
      <c r="A263" s="324">
        <v>44475</v>
      </c>
      <c r="B263" s="282"/>
      <c r="C263" t="s" s="259">
        <v>185</v>
      </c>
      <c r="D263" t="s" s="283">
        <v>1426</v>
      </c>
      <c r="E263" s="284"/>
      <c r="F263" s="285"/>
      <c r="G263" s="284">
        <v>2100</v>
      </c>
      <c r="H263" s="286">
        <v>13</v>
      </c>
      <c r="I263" s="284" cm="1">
        <f t="array" ref="I263">G263/H263</f>
        <v>161.538461538462</v>
      </c>
      <c r="J263" s="280"/>
      <c r="K263" s="281"/>
      <c r="L263" s="264"/>
      <c r="M263" s="258"/>
      <c r="N263" s="258"/>
      <c r="O263" s="258"/>
      <c r="P263" s="258"/>
      <c r="Q263" s="258"/>
      <c r="R263" s="258"/>
      <c r="S263" s="258"/>
      <c r="T263" s="258"/>
      <c r="U263" s="258"/>
      <c r="V263" s="258"/>
      <c r="W263" s="258"/>
      <c r="X263" s="258"/>
      <c r="Y263" s="258"/>
      <c r="Z263" s="258"/>
      <c r="AA263" s="258"/>
      <c r="AB263" s="258"/>
    </row>
    <row r="264" ht="12.75" customHeight="1">
      <c r="A264" s="325">
        <v>44536</v>
      </c>
      <c r="B264" s="275"/>
      <c r="C264" t="s" s="274">
        <v>1300</v>
      </c>
      <c r="D264" t="s" s="276">
        <v>1427</v>
      </c>
      <c r="E264" s="277"/>
      <c r="F264" s="278"/>
      <c r="G264" s="277">
        <v>420560</v>
      </c>
      <c r="H264" s="279">
        <v>2695</v>
      </c>
      <c r="I264" s="277" cm="1">
        <f t="array" ref="I264">G264/H264</f>
        <v>156.051948051948</v>
      </c>
      <c r="J264" s="280"/>
      <c r="K264" s="281"/>
      <c r="L264" s="264"/>
      <c r="M264" s="258"/>
      <c r="N264" s="258"/>
      <c r="O264" s="258"/>
      <c r="P264" s="258"/>
      <c r="Q264" s="258"/>
      <c r="R264" s="258"/>
      <c r="S264" s="258"/>
      <c r="T264" s="258"/>
      <c r="U264" s="258"/>
      <c r="V264" s="258"/>
      <c r="W264" s="258"/>
      <c r="X264" s="258"/>
      <c r="Y264" s="258"/>
      <c r="Z264" s="258"/>
      <c r="AA264" s="258"/>
      <c r="AB264" s="258"/>
    </row>
    <row r="265" ht="12.75" customHeight="1">
      <c r="A265" t="s" s="259">
        <v>1428</v>
      </c>
      <c r="B265" s="282"/>
      <c r="C265" t="s" s="259">
        <v>185</v>
      </c>
      <c r="D265" t="s" s="283">
        <v>1429</v>
      </c>
      <c r="E265" s="284"/>
      <c r="F265" s="285"/>
      <c r="G265" s="284">
        <v>1400</v>
      </c>
      <c r="H265" s="286">
        <v>8.23</v>
      </c>
      <c r="I265" s="284" cm="1">
        <f t="array" ref="I265">G265/H265</f>
        <v>170.109356014581</v>
      </c>
      <c r="J265" s="280"/>
      <c r="K265" s="281"/>
      <c r="L265" s="264"/>
      <c r="M265" s="258"/>
      <c r="N265" s="258"/>
      <c r="O265" s="258"/>
      <c r="P265" s="258"/>
      <c r="Q265" s="258"/>
      <c r="R265" s="258"/>
      <c r="S265" s="258"/>
      <c r="T265" s="258"/>
      <c r="U265" s="258"/>
      <c r="V265" s="258"/>
      <c r="W265" s="258"/>
      <c r="X265" s="258"/>
      <c r="Y265" s="258"/>
      <c r="Z265" s="258"/>
      <c r="AA265" s="258"/>
      <c r="AB265" s="258"/>
    </row>
    <row r="266" ht="12.75" customHeight="1">
      <c r="A266" t="s" s="274">
        <v>1430</v>
      </c>
      <c r="B266" s="275"/>
      <c r="C266" t="s" s="274">
        <v>1300</v>
      </c>
      <c r="D266" t="s" s="276">
        <v>1431</v>
      </c>
      <c r="E266" s="277"/>
      <c r="F266" s="278"/>
      <c r="G266" s="277">
        <v>1699679</v>
      </c>
      <c r="H266" s="279">
        <v>10000</v>
      </c>
      <c r="I266" s="277" cm="1">
        <f t="array" ref="I266">G266/H266</f>
        <v>169.9679</v>
      </c>
      <c r="J266" s="280"/>
      <c r="K266" s="281"/>
      <c r="L266" s="264"/>
      <c r="M266" s="258"/>
      <c r="N266" s="258"/>
      <c r="O266" s="258"/>
      <c r="P266" s="258"/>
      <c r="Q266" s="258"/>
      <c r="R266" s="258"/>
      <c r="S266" s="258"/>
      <c r="T266" s="258"/>
      <c r="U266" s="258"/>
      <c r="V266" s="258"/>
      <c r="W266" s="258"/>
      <c r="X266" s="258"/>
      <c r="Y266" s="258"/>
      <c r="Z266" s="258"/>
      <c r="AA266" s="258"/>
      <c r="AB266" s="258"/>
    </row>
    <row r="267" ht="12.75" customHeight="1">
      <c r="A267" t="s" s="259">
        <v>1432</v>
      </c>
      <c r="B267" s="282"/>
      <c r="C267" t="s" s="259">
        <v>198</v>
      </c>
      <c r="D267" t="s" s="283">
        <v>1433</v>
      </c>
      <c r="E267" s="284"/>
      <c r="F267" s="285"/>
      <c r="G267" s="284">
        <v>43496</v>
      </c>
      <c r="H267" s="286">
        <v>255</v>
      </c>
      <c r="I267" s="284" cm="1">
        <f t="array" ref="I267">G267/H267</f>
        <v>170.572549019608</v>
      </c>
      <c r="J267" s="280"/>
      <c r="K267" s="281"/>
      <c r="L267" s="264"/>
      <c r="M267" s="258"/>
      <c r="N267" s="258"/>
      <c r="O267" s="258"/>
      <c r="P267" s="258"/>
      <c r="Q267" s="258"/>
      <c r="R267" s="258"/>
      <c r="S267" s="258"/>
      <c r="T267" s="258"/>
      <c r="U267" s="258"/>
      <c r="V267" s="258"/>
      <c r="W267" s="258"/>
      <c r="X267" s="258"/>
      <c r="Y267" s="258"/>
      <c r="Z267" s="258"/>
      <c r="AA267" s="258"/>
      <c r="AB267" s="258"/>
    </row>
    <row r="268" ht="12.75" customHeight="1">
      <c r="A268" t="s" s="274">
        <v>1434</v>
      </c>
      <c r="B268" s="275"/>
      <c r="C268" t="s" s="274">
        <v>101</v>
      </c>
      <c r="D268" t="s" s="276">
        <v>1413</v>
      </c>
      <c r="E268" s="277"/>
      <c r="F268" s="278"/>
      <c r="G268" s="277">
        <v>500000</v>
      </c>
      <c r="H268" s="279">
        <v>3030</v>
      </c>
      <c r="I268" s="277" cm="1">
        <f t="array" ref="I268">G268/H268</f>
        <v>165.016501650165</v>
      </c>
      <c r="J268" s="280"/>
      <c r="K268" s="281"/>
      <c r="L268" s="264"/>
      <c r="M268" s="258"/>
      <c r="N268" s="258"/>
      <c r="O268" s="258"/>
      <c r="P268" s="258"/>
      <c r="Q268" s="258"/>
      <c r="R268" s="258"/>
      <c r="S268" s="258"/>
      <c r="T268" s="258"/>
      <c r="U268" s="258"/>
      <c r="V268" s="258"/>
      <c r="W268" s="258"/>
      <c r="X268" s="258"/>
      <c r="Y268" s="258"/>
      <c r="Z268" s="258"/>
      <c r="AA268" s="258"/>
      <c r="AB268" s="258"/>
    </row>
    <row r="269" ht="12.75" customHeight="1">
      <c r="A269" t="s" s="259">
        <v>1435</v>
      </c>
      <c r="B269" s="282"/>
      <c r="C269" t="s" s="259">
        <v>211</v>
      </c>
      <c r="D269" t="s" s="283">
        <v>1436</v>
      </c>
      <c r="E269" s="284"/>
      <c r="F269" s="285"/>
      <c r="G269" s="284">
        <v>500000</v>
      </c>
      <c r="H269" s="286">
        <v>3030</v>
      </c>
      <c r="I269" s="284" cm="1">
        <f t="array" ref="I269">G269/H269</f>
        <v>165.016501650165</v>
      </c>
      <c r="J269" s="280"/>
      <c r="K269" s="281"/>
      <c r="L269" s="264"/>
      <c r="M269" s="258"/>
      <c r="N269" s="258"/>
      <c r="O269" s="258"/>
      <c r="P269" s="258"/>
      <c r="Q269" s="258"/>
      <c r="R269" s="258"/>
      <c r="S269" s="258"/>
      <c r="T269" s="258"/>
      <c r="U269" s="258"/>
      <c r="V269" s="258"/>
      <c r="W269" s="258"/>
      <c r="X269" s="258"/>
      <c r="Y269" s="258"/>
      <c r="Z269" s="258"/>
      <c r="AA269" s="258"/>
      <c r="AB269" s="258"/>
    </row>
    <row r="270" ht="12.75" customHeight="1">
      <c r="A270" s="325">
        <v>44203</v>
      </c>
      <c r="B270" s="275"/>
      <c r="C270" t="s" s="274">
        <v>220</v>
      </c>
      <c r="D270" t="s" s="276">
        <v>1437</v>
      </c>
      <c r="E270" s="277"/>
      <c r="F270" s="278"/>
      <c r="G270" s="277">
        <v>25534.1</v>
      </c>
      <c r="H270" s="279">
        <v>155</v>
      </c>
      <c r="I270" s="277" cm="1">
        <f t="array" ref="I270">G270/H270</f>
        <v>164.736129032258</v>
      </c>
      <c r="J270" s="280"/>
      <c r="K270" s="281"/>
      <c r="L270" s="264"/>
      <c r="M270" s="258"/>
      <c r="N270" s="258"/>
      <c r="O270" s="258"/>
      <c r="P270" s="258"/>
      <c r="Q270" s="258"/>
      <c r="R270" s="258"/>
      <c r="S270" s="258"/>
      <c r="T270" s="258"/>
      <c r="U270" s="258"/>
      <c r="V270" s="258"/>
      <c r="W270" s="258"/>
      <c r="X270" s="258"/>
      <c r="Y270" s="258"/>
      <c r="Z270" s="258"/>
      <c r="AA270" s="258"/>
      <c r="AB270" s="258"/>
    </row>
    <row r="271" ht="12.75" customHeight="1">
      <c r="A271" s="338">
        <v>44415</v>
      </c>
      <c r="B271" s="282"/>
      <c r="C271" t="s" s="259">
        <v>67</v>
      </c>
      <c r="D271" t="s" s="283">
        <v>111</v>
      </c>
      <c r="E271" s="284"/>
      <c r="F271" s="285"/>
      <c r="G271" s="284">
        <v>43000</v>
      </c>
      <c r="H271" s="286">
        <v>261</v>
      </c>
      <c r="I271" s="284" cm="1">
        <f t="array" ref="I271">G271/H271</f>
        <v>164.750957854406</v>
      </c>
      <c r="J271" s="280"/>
      <c r="K271" s="281"/>
      <c r="L271" s="264"/>
      <c r="M271" s="258"/>
      <c r="N271" s="258"/>
      <c r="O271" s="258"/>
      <c r="P271" s="258"/>
      <c r="Q271" s="258"/>
      <c r="R271" s="258"/>
      <c r="S271" s="258"/>
      <c r="T271" s="258"/>
      <c r="U271" s="258"/>
      <c r="V271" s="258"/>
      <c r="W271" s="258"/>
      <c r="X271" s="258"/>
      <c r="Y271" s="258"/>
      <c r="Z271" s="258"/>
      <c r="AA271" s="258"/>
      <c r="AB271" s="258"/>
    </row>
    <row r="272" ht="12.75" customHeight="1">
      <c r="A272" s="339">
        <v>44762</v>
      </c>
      <c r="B272" s="275"/>
      <c r="C272" t="s" s="274">
        <v>211</v>
      </c>
      <c r="D272" t="s" s="276">
        <v>1438</v>
      </c>
      <c r="E272" s="277"/>
      <c r="F272" s="278"/>
      <c r="G272" s="277">
        <v>40000</v>
      </c>
      <c r="H272" s="279">
        <v>222</v>
      </c>
      <c r="I272" s="277" cm="1">
        <f t="array" ref="I272">G272/H272</f>
        <v>180.180180180180</v>
      </c>
      <c r="J272" s="280"/>
      <c r="K272" s="281"/>
      <c r="L272" s="264"/>
      <c r="M272" s="258"/>
      <c r="N272" s="258"/>
      <c r="O272" s="258"/>
      <c r="P272" s="258"/>
      <c r="Q272" s="258"/>
      <c r="R272" s="258"/>
      <c r="S272" s="258"/>
      <c r="T272" s="258"/>
      <c r="U272" s="258"/>
      <c r="V272" s="258"/>
      <c r="W272" s="258"/>
      <c r="X272" s="258"/>
      <c r="Y272" s="258"/>
      <c r="Z272" s="258"/>
      <c r="AA272" s="258"/>
      <c r="AB272" s="258"/>
    </row>
    <row r="273" ht="12.75" customHeight="1">
      <c r="A273" s="338">
        <v>44765</v>
      </c>
      <c r="B273" s="282"/>
      <c r="C273" t="s" s="259">
        <v>299</v>
      </c>
      <c r="D273" t="s" s="283">
        <v>1439</v>
      </c>
      <c r="E273" s="284"/>
      <c r="F273" s="285"/>
      <c r="G273" s="284">
        <v>104500</v>
      </c>
      <c r="H273" s="286">
        <v>577</v>
      </c>
      <c r="I273" s="284" cm="1">
        <f t="array" ref="I273">G273/H273</f>
        <v>181.109185441941</v>
      </c>
      <c r="J273" s="280"/>
      <c r="K273" s="281"/>
      <c r="L273" s="264"/>
      <c r="M273" s="258"/>
      <c r="N273" s="258"/>
      <c r="O273" s="258"/>
      <c r="P273" s="258"/>
      <c r="Q273" s="258"/>
      <c r="R273" s="258"/>
      <c r="S273" s="258"/>
      <c r="T273" s="258"/>
      <c r="U273" s="258"/>
      <c r="V273" s="258"/>
      <c r="W273" s="258"/>
      <c r="X273" s="258"/>
      <c r="Y273" s="258"/>
      <c r="Z273" s="258"/>
      <c r="AA273" s="258"/>
      <c r="AB273" s="258"/>
    </row>
    <row r="274" ht="12.75" customHeight="1">
      <c r="A274" s="339">
        <v>44375</v>
      </c>
      <c r="B274" s="275"/>
      <c r="C274" t="s" s="274">
        <v>571</v>
      </c>
      <c r="D274" t="s" s="276">
        <v>1440</v>
      </c>
      <c r="E274" s="277"/>
      <c r="F274" s="278"/>
      <c r="G274" s="277">
        <v>115202</v>
      </c>
      <c r="H274" s="279">
        <v>640</v>
      </c>
      <c r="I274" s="277" cm="1">
        <f t="array" ref="I274">G274/H274</f>
        <v>180.003125</v>
      </c>
      <c r="J274" s="280"/>
      <c r="K274" s="281"/>
      <c r="L274" s="264"/>
      <c r="M274" s="258"/>
      <c r="N274" s="258"/>
      <c r="O274" s="258"/>
      <c r="P274" s="258"/>
      <c r="Q274" s="258"/>
      <c r="R274" s="258"/>
      <c r="S274" s="258"/>
      <c r="T274" s="258"/>
      <c r="U274" s="258"/>
      <c r="V274" s="258"/>
      <c r="W274" s="258"/>
      <c r="X274" s="258"/>
      <c r="Y274" s="258"/>
      <c r="Z274" s="258"/>
      <c r="AA274" s="258"/>
      <c r="AB274" s="258"/>
    </row>
    <row r="275" ht="12.75" customHeight="1">
      <c r="A275" s="338">
        <v>44412</v>
      </c>
      <c r="B275" s="282"/>
      <c r="C275" t="s" s="259">
        <v>1171</v>
      </c>
      <c r="D275" t="s" s="283">
        <v>1441</v>
      </c>
      <c r="E275" s="284"/>
      <c r="F275" s="285"/>
      <c r="G275" s="284" cm="1">
        <f t="array" ref="G275">38000+3500</f>
        <v>41500</v>
      </c>
      <c r="H275" s="286">
        <v>236</v>
      </c>
      <c r="I275" s="284" cm="1">
        <f t="array" ref="I275">G275/H275</f>
        <v>175.847457627119</v>
      </c>
      <c r="J275" s="280"/>
      <c r="K275" s="281"/>
      <c r="L275" s="264"/>
      <c r="M275" s="258"/>
      <c r="N275" s="258"/>
      <c r="O275" s="258"/>
      <c r="P275" s="258"/>
      <c r="Q275" s="258"/>
      <c r="R275" s="258"/>
      <c r="S275" s="258"/>
      <c r="T275" s="258"/>
      <c r="U275" s="258"/>
      <c r="V275" s="258"/>
      <c r="W275" s="258"/>
      <c r="X275" s="258"/>
      <c r="Y275" s="258"/>
      <c r="Z275" s="258"/>
      <c r="AA275" s="258"/>
      <c r="AB275" s="258"/>
    </row>
    <row r="276" ht="12.75" customHeight="1">
      <c r="A276" s="339">
        <v>44414</v>
      </c>
      <c r="B276" s="275"/>
      <c r="C276" s="295"/>
      <c r="D276" t="s" s="276">
        <v>1442</v>
      </c>
      <c r="E276" s="277"/>
      <c r="F276" s="278"/>
      <c r="G276" s="277">
        <v>4000</v>
      </c>
      <c r="H276" s="279">
        <v>23</v>
      </c>
      <c r="I276" s="277" cm="1">
        <f t="array" ref="I276">G276/H276</f>
        <v>173.913043478261</v>
      </c>
      <c r="J276" s="280"/>
      <c r="K276" s="281"/>
      <c r="L276" s="264"/>
      <c r="M276" s="258"/>
      <c r="N276" s="258"/>
      <c r="O276" s="258"/>
      <c r="P276" s="258"/>
      <c r="Q276" s="258"/>
      <c r="R276" s="258"/>
      <c r="S276" s="258"/>
      <c r="T276" s="258"/>
      <c r="U276" s="258"/>
      <c r="V276" s="258"/>
      <c r="W276" s="258"/>
      <c r="X276" s="258"/>
      <c r="Y276" s="258"/>
      <c r="Z276" s="258"/>
      <c r="AA276" s="258"/>
      <c r="AB276" s="258"/>
    </row>
    <row r="277" ht="12.75" customHeight="1">
      <c r="A277" s="338">
        <v>44418</v>
      </c>
      <c r="B277" s="282"/>
      <c r="C277" t="s" s="259">
        <v>101</v>
      </c>
      <c r="D277" t="s" s="283">
        <v>1443</v>
      </c>
      <c r="E277" s="284"/>
      <c r="F277" s="285"/>
      <c r="G277" s="284">
        <v>500000</v>
      </c>
      <c r="H277" s="286">
        <v>2860</v>
      </c>
      <c r="I277" s="284" cm="1">
        <f t="array" ref="I277">G277/H277</f>
        <v>174.825174825175</v>
      </c>
      <c r="J277" s="280"/>
      <c r="K277" s="281"/>
      <c r="L277" s="264"/>
      <c r="M277" s="258"/>
      <c r="N277" s="258"/>
      <c r="O277" s="258"/>
      <c r="P277" s="258"/>
      <c r="Q277" s="258"/>
      <c r="R277" s="258"/>
      <c r="S277" s="258"/>
      <c r="T277" s="258"/>
      <c r="U277" s="258"/>
      <c r="V277" s="258"/>
      <c r="W277" s="258"/>
      <c r="X277" s="258"/>
      <c r="Y277" s="258"/>
      <c r="Z277" s="258"/>
      <c r="AA277" s="258"/>
      <c r="AB277" s="258"/>
    </row>
    <row r="278" ht="12.75" customHeight="1">
      <c r="A278" s="339">
        <v>44427</v>
      </c>
      <c r="B278" s="275"/>
      <c r="C278" t="s" s="274">
        <v>571</v>
      </c>
      <c r="D278" t="s" s="276">
        <v>748</v>
      </c>
      <c r="E278" s="277"/>
      <c r="F278" s="278"/>
      <c r="G278" s="277">
        <v>1025000</v>
      </c>
      <c r="H278" s="279">
        <v>5700</v>
      </c>
      <c r="I278" s="277" cm="1">
        <f t="array" ref="I278">G278/H278</f>
        <v>179.824561403509</v>
      </c>
      <c r="J278" s="280"/>
      <c r="K278" s="281"/>
      <c r="L278" s="264"/>
      <c r="M278" s="258"/>
      <c r="N278" s="258"/>
      <c r="O278" s="258"/>
      <c r="P278" s="258"/>
      <c r="Q278" s="258"/>
      <c r="R278" s="258"/>
      <c r="S278" s="258"/>
      <c r="T278" s="258"/>
      <c r="U278" s="258"/>
      <c r="V278" s="258"/>
      <c r="W278" s="258"/>
      <c r="X278" s="258"/>
      <c r="Y278" s="258"/>
      <c r="Z278" s="258"/>
      <c r="AA278" s="258"/>
      <c r="AB278" s="258"/>
    </row>
    <row r="279" ht="12.75" customHeight="1">
      <c r="A279" s="338">
        <v>44446</v>
      </c>
      <c r="B279" s="282"/>
      <c r="C279" t="s" s="259">
        <v>1300</v>
      </c>
      <c r="D279" t="s" s="283">
        <v>1444</v>
      </c>
      <c r="E279" s="284"/>
      <c r="F279" s="285"/>
      <c r="G279" s="284">
        <v>1893600</v>
      </c>
      <c r="H279" s="286">
        <v>10520</v>
      </c>
      <c r="I279" s="284" cm="1">
        <f t="array" ref="I279">G279/H279</f>
        <v>180</v>
      </c>
      <c r="J279" s="280"/>
      <c r="K279" s="281"/>
      <c r="L279" s="264"/>
      <c r="M279" s="258"/>
      <c r="N279" s="258"/>
      <c r="O279" s="258"/>
      <c r="P279" s="258"/>
      <c r="Q279" s="258"/>
      <c r="R279" s="258"/>
      <c r="S279" s="258"/>
      <c r="T279" s="258"/>
      <c r="U279" s="258"/>
      <c r="V279" s="258"/>
      <c r="W279" s="258"/>
      <c r="X279" s="258"/>
      <c r="Y279" s="258"/>
      <c r="Z279" s="258"/>
      <c r="AA279" s="258"/>
      <c r="AB279" s="258"/>
    </row>
    <row r="280" ht="12.75" customHeight="1">
      <c r="A280" s="339">
        <v>44446</v>
      </c>
      <c r="B280" s="275"/>
      <c r="C280" t="s" s="274">
        <v>1445</v>
      </c>
      <c r="D280" t="s" s="276">
        <v>1446</v>
      </c>
      <c r="E280" s="277"/>
      <c r="F280" s="278"/>
      <c r="G280" s="277">
        <v>450000</v>
      </c>
      <c r="H280" s="279">
        <v>2500</v>
      </c>
      <c r="I280" s="277" cm="1">
        <f t="array" ref="I280">G280/H280</f>
        <v>180</v>
      </c>
      <c r="J280" s="280"/>
      <c r="K280" s="281"/>
      <c r="L280" s="264"/>
      <c r="M280" s="258"/>
      <c r="N280" s="258"/>
      <c r="O280" s="258"/>
      <c r="P280" s="258"/>
      <c r="Q280" s="258"/>
      <c r="R280" s="258"/>
      <c r="S280" s="258"/>
      <c r="T280" s="258"/>
      <c r="U280" s="258"/>
      <c r="V280" s="258"/>
      <c r="W280" s="258"/>
      <c r="X280" s="258"/>
      <c r="Y280" s="258"/>
      <c r="Z280" s="258"/>
      <c r="AA280" s="258"/>
      <c r="AB280" s="258"/>
    </row>
    <row r="281" ht="12.75" customHeight="1">
      <c r="A281" s="338">
        <v>44470</v>
      </c>
      <c r="B281" s="282"/>
      <c r="C281" t="s" s="259">
        <v>299</v>
      </c>
      <c r="D281" t="s" s="283">
        <v>1447</v>
      </c>
      <c r="E281" s="284"/>
      <c r="F281" s="285"/>
      <c r="G281" s="284">
        <v>176210.3</v>
      </c>
      <c r="H281" s="286">
        <v>953</v>
      </c>
      <c r="I281" s="284" cm="1">
        <f t="array" ref="I281">G281/H281</f>
        <v>184.900629590766</v>
      </c>
      <c r="J281" s="280"/>
      <c r="K281" s="281"/>
      <c r="L281" s="264"/>
      <c r="M281" s="258"/>
      <c r="N281" s="258"/>
      <c r="O281" s="258"/>
      <c r="P281" s="258"/>
      <c r="Q281" s="258"/>
      <c r="R281" s="258"/>
      <c r="S281" s="258"/>
      <c r="T281" s="258"/>
      <c r="U281" s="258"/>
      <c r="V281" s="258"/>
      <c r="W281" s="258"/>
      <c r="X281" s="258"/>
      <c r="Y281" s="258"/>
      <c r="Z281" s="258"/>
      <c r="AA281" s="258"/>
      <c r="AB281" s="258"/>
    </row>
    <row r="282" ht="12.75" customHeight="1">
      <c r="A282" s="339">
        <v>44470</v>
      </c>
      <c r="B282" s="275"/>
      <c r="C282" t="s" s="274">
        <v>299</v>
      </c>
      <c r="D282" t="s" s="276">
        <v>1448</v>
      </c>
      <c r="E282" s="277"/>
      <c r="F282" s="278"/>
      <c r="G282" s="277">
        <v>265884.47</v>
      </c>
      <c r="H282" s="279">
        <v>1437</v>
      </c>
      <c r="I282" s="277" cm="1">
        <f t="array" ref="I282">G282/H282</f>
        <v>185.027466945024</v>
      </c>
      <c r="J282" s="280"/>
      <c r="K282" s="281"/>
      <c r="L282" s="264"/>
      <c r="M282" s="258"/>
      <c r="N282" s="258"/>
      <c r="O282" s="258"/>
      <c r="P282" s="258"/>
      <c r="Q282" s="258"/>
      <c r="R282" s="258"/>
      <c r="S282" s="258"/>
      <c r="T282" s="258"/>
      <c r="U282" s="258"/>
      <c r="V282" s="258"/>
      <c r="W282" s="258"/>
      <c r="X282" s="258"/>
      <c r="Y282" s="258"/>
      <c r="Z282" s="258"/>
      <c r="AA282" s="258"/>
      <c r="AB282" s="258"/>
    </row>
    <row r="283" ht="12.75" customHeight="1">
      <c r="A283" s="338">
        <v>44483</v>
      </c>
      <c r="B283" s="282"/>
      <c r="C283" t="s" s="259">
        <v>101</v>
      </c>
      <c r="D283" t="s" s="283">
        <v>1449</v>
      </c>
      <c r="E283" s="284"/>
      <c r="F283" s="285"/>
      <c r="G283" s="284">
        <v>1000000</v>
      </c>
      <c r="H283" s="286">
        <v>5400</v>
      </c>
      <c r="I283" s="284" cm="1">
        <f t="array" ref="I283">G283/H283</f>
        <v>185.185185185185</v>
      </c>
      <c r="J283" s="280"/>
      <c r="K283" s="281"/>
      <c r="L283" s="264"/>
      <c r="M283" s="258"/>
      <c r="N283" s="258"/>
      <c r="O283" s="258"/>
      <c r="P283" s="258"/>
      <c r="Q283" s="258"/>
      <c r="R283" s="258"/>
      <c r="S283" s="258"/>
      <c r="T283" s="258"/>
      <c r="U283" s="258"/>
      <c r="V283" s="258"/>
      <c r="W283" s="258"/>
      <c r="X283" s="258"/>
      <c r="Y283" s="258"/>
      <c r="Z283" s="258"/>
      <c r="AA283" s="258"/>
      <c r="AB283" s="258"/>
    </row>
    <row r="284" ht="12.75" customHeight="1">
      <c r="A284" s="339">
        <v>44484</v>
      </c>
      <c r="B284" s="275"/>
      <c r="C284" t="s" s="274">
        <v>299</v>
      </c>
      <c r="D284" t="s" s="276">
        <v>1450</v>
      </c>
      <c r="E284" s="277"/>
      <c r="F284" s="278"/>
      <c r="G284" s="277">
        <v>70000</v>
      </c>
      <c r="H284" s="279">
        <v>359</v>
      </c>
      <c r="I284" s="277" cm="1">
        <f t="array" ref="I284">G284/H284</f>
        <v>194.986072423398</v>
      </c>
      <c r="J284" s="280"/>
      <c r="K284" s="281"/>
      <c r="L284" s="264"/>
      <c r="M284" s="258"/>
      <c r="N284" s="258"/>
      <c r="O284" s="258"/>
      <c r="P284" s="258"/>
      <c r="Q284" s="258"/>
      <c r="R284" s="258"/>
      <c r="S284" s="258"/>
      <c r="T284" s="258"/>
      <c r="U284" s="258"/>
      <c r="V284" s="258"/>
      <c r="W284" s="258"/>
      <c r="X284" s="258"/>
      <c r="Y284" s="258"/>
      <c r="Z284" s="258"/>
      <c r="AA284" s="258"/>
      <c r="AB284" s="258"/>
    </row>
    <row r="285" ht="12.75" customHeight="1">
      <c r="A285" s="338">
        <v>44498</v>
      </c>
      <c r="B285" s="282"/>
      <c r="C285" t="s" s="259">
        <v>1451</v>
      </c>
      <c r="D285" t="s" s="283">
        <v>1452</v>
      </c>
      <c r="E285" s="284"/>
      <c r="F285" s="285"/>
      <c r="G285" s="284">
        <v>92400</v>
      </c>
      <c r="H285" s="286">
        <v>475</v>
      </c>
      <c r="I285" s="284" cm="1">
        <f t="array" ref="I285">G285/H285</f>
        <v>194.526315789474</v>
      </c>
      <c r="J285" s="280"/>
      <c r="K285" s="281"/>
      <c r="L285" s="264"/>
      <c r="M285" s="258"/>
      <c r="N285" s="258"/>
      <c r="O285" s="258"/>
      <c r="P285" s="258"/>
      <c r="Q285" s="258"/>
      <c r="R285" s="258"/>
      <c r="S285" s="258"/>
      <c r="T285" s="258"/>
      <c r="U285" s="258"/>
      <c r="V285" s="258"/>
      <c r="W285" s="258"/>
      <c r="X285" s="258"/>
      <c r="Y285" s="258"/>
      <c r="Z285" s="258"/>
      <c r="AA285" s="258"/>
      <c r="AB285" s="258"/>
    </row>
    <row r="286" ht="12.75" customHeight="1">
      <c r="A286" s="339">
        <v>44502</v>
      </c>
      <c r="B286" s="275"/>
      <c r="C286" t="s" s="274">
        <v>101</v>
      </c>
      <c r="D286" t="s" s="276">
        <v>1453</v>
      </c>
      <c r="E286" s="277"/>
      <c r="F286" s="278"/>
      <c r="G286" s="277">
        <v>500000</v>
      </c>
      <c r="H286" s="279">
        <v>2540</v>
      </c>
      <c r="I286" s="277" cm="1">
        <f t="array" ref="I286">G286/H286</f>
        <v>196.850393700787</v>
      </c>
      <c r="J286" s="280"/>
      <c r="K286" s="281"/>
      <c r="L286" s="264"/>
      <c r="M286" s="258"/>
      <c r="N286" s="258"/>
      <c r="O286" s="258"/>
      <c r="P286" s="258"/>
      <c r="Q286" s="258"/>
      <c r="R286" s="258"/>
      <c r="S286" s="258"/>
      <c r="T286" s="258"/>
      <c r="U286" s="258"/>
      <c r="V286" s="258"/>
      <c r="W286" s="258"/>
      <c r="X286" s="258"/>
      <c r="Y286" s="258"/>
      <c r="Z286" s="258"/>
      <c r="AA286" s="258"/>
      <c r="AB286" s="258"/>
    </row>
    <row r="287" ht="12.75" customHeight="1">
      <c r="A287" s="338">
        <v>44512</v>
      </c>
      <c r="B287" s="282"/>
      <c r="C287" t="s" s="259">
        <v>247</v>
      </c>
      <c r="D287" t="s" s="283">
        <v>259</v>
      </c>
      <c r="E287" s="284"/>
      <c r="F287" s="285"/>
      <c r="G287" s="284">
        <v>6600</v>
      </c>
      <c r="H287" s="286">
        <v>33</v>
      </c>
      <c r="I287" s="284" cm="1">
        <f t="array" ref="I287">G287/H287</f>
        <v>200</v>
      </c>
      <c r="J287" s="280"/>
      <c r="K287" s="281"/>
      <c r="L287" s="264"/>
      <c r="M287" s="258"/>
      <c r="N287" s="258"/>
      <c r="O287" s="258"/>
      <c r="P287" s="258"/>
      <c r="Q287" s="258"/>
      <c r="R287" s="258"/>
      <c r="S287" s="258"/>
      <c r="T287" s="258"/>
      <c r="U287" s="258"/>
      <c r="V287" s="258"/>
      <c r="W287" s="258"/>
      <c r="X287" s="258"/>
      <c r="Y287" s="258"/>
      <c r="Z287" s="258"/>
      <c r="AA287" s="258"/>
      <c r="AB287" s="258"/>
    </row>
    <row r="288" ht="12.75" customHeight="1">
      <c r="A288" s="338">
        <v>44536</v>
      </c>
      <c r="B288" s="282"/>
      <c r="C288" t="s" s="259">
        <v>1454</v>
      </c>
      <c r="D288" t="s" s="283">
        <v>1455</v>
      </c>
      <c r="E288" s="284"/>
      <c r="F288" s="285"/>
      <c r="G288" s="284">
        <v>30000</v>
      </c>
      <c r="H288" s="286">
        <v>150</v>
      </c>
      <c r="I288" s="284" cm="1">
        <f t="array" ref="I288">G288/H288</f>
        <v>200</v>
      </c>
      <c r="J288" s="280"/>
      <c r="K288" s="281"/>
      <c r="L288" s="264"/>
      <c r="M288" s="258"/>
      <c r="N288" s="258"/>
      <c r="O288" s="258"/>
      <c r="P288" s="258"/>
      <c r="Q288" s="258"/>
      <c r="R288" s="258"/>
      <c r="S288" s="258"/>
      <c r="T288" s="258"/>
      <c r="U288" s="258"/>
      <c r="V288" s="258"/>
      <c r="W288" s="258"/>
      <c r="X288" s="258"/>
      <c r="Y288" s="258"/>
      <c r="Z288" s="258"/>
      <c r="AA288" s="258"/>
      <c r="AB288" s="258"/>
    </row>
    <row r="289" ht="12.75" customHeight="1">
      <c r="A289" s="339">
        <v>44539</v>
      </c>
      <c r="B289" s="275"/>
      <c r="C289" t="s" s="274">
        <v>101</v>
      </c>
      <c r="D289" t="s" s="276">
        <v>1449</v>
      </c>
      <c r="E289" s="277"/>
      <c r="F289" s="278"/>
      <c r="G289" s="277">
        <v>500000</v>
      </c>
      <c r="H289" s="279">
        <v>2540</v>
      </c>
      <c r="I289" s="277" cm="1">
        <f t="array" ref="I289">G289/H289</f>
        <v>196.850393700787</v>
      </c>
      <c r="J289" s="280"/>
      <c r="K289" s="281"/>
      <c r="L289" s="264"/>
      <c r="M289" s="258"/>
      <c r="N289" s="258"/>
      <c r="O289" s="258"/>
      <c r="P289" s="258"/>
      <c r="Q289" s="258"/>
      <c r="R289" s="258"/>
      <c r="S289" s="258"/>
      <c r="T289" s="258"/>
      <c r="U289" s="258"/>
      <c r="V289" s="258"/>
      <c r="W289" s="258"/>
      <c r="X289" s="258"/>
      <c r="Y289" s="258"/>
      <c r="Z289" s="258"/>
      <c r="AA289" s="258"/>
      <c r="AB289" s="258"/>
    </row>
    <row r="290" ht="12.75" customHeight="1">
      <c r="A290" s="338">
        <v>44540</v>
      </c>
      <c r="B290" s="282"/>
      <c r="C290" t="s" s="259">
        <v>1445</v>
      </c>
      <c r="D290" t="s" s="283">
        <v>1456</v>
      </c>
      <c r="E290" s="284"/>
      <c r="F290" s="285"/>
      <c r="G290" s="284">
        <v>100000</v>
      </c>
      <c r="H290" s="286">
        <v>500</v>
      </c>
      <c r="I290" s="284" cm="1">
        <f t="array" ref="I290">G290/H290</f>
        <v>200</v>
      </c>
      <c r="J290" s="280"/>
      <c r="K290" s="281"/>
      <c r="L290" s="264"/>
      <c r="M290" s="258"/>
      <c r="N290" s="258"/>
      <c r="O290" s="258"/>
      <c r="P290" s="258"/>
      <c r="Q290" s="258"/>
      <c r="R290" s="258"/>
      <c r="S290" s="258"/>
      <c r="T290" s="258"/>
      <c r="U290" s="258"/>
      <c r="V290" s="258"/>
      <c r="W290" s="258"/>
      <c r="X290" s="258"/>
      <c r="Y290" s="258"/>
      <c r="Z290" s="258"/>
      <c r="AA290" s="258"/>
      <c r="AB290" s="258"/>
    </row>
    <row r="291" ht="12.75" customHeight="1">
      <c r="A291" s="339">
        <v>44543</v>
      </c>
      <c r="B291" s="275"/>
      <c r="C291" t="s" s="274">
        <v>299</v>
      </c>
      <c r="D291" t="s" s="276">
        <v>1457</v>
      </c>
      <c r="E291" s="277"/>
      <c r="F291" s="278"/>
      <c r="G291" s="277">
        <v>256000</v>
      </c>
      <c r="H291" s="279">
        <v>1225</v>
      </c>
      <c r="I291" s="277" cm="1">
        <f t="array" ref="I291">G291/H291</f>
        <v>208.979591836735</v>
      </c>
      <c r="J291" s="280"/>
      <c r="K291" s="281"/>
      <c r="L291" s="264"/>
      <c r="M291" s="258"/>
      <c r="N291" s="258"/>
      <c r="O291" s="258"/>
      <c r="P291" s="258"/>
      <c r="Q291" s="258"/>
      <c r="R291" s="258"/>
      <c r="S291" s="258"/>
      <c r="T291" s="258"/>
      <c r="U291" s="258"/>
      <c r="V291" s="258"/>
      <c r="W291" s="258"/>
      <c r="X291" s="258"/>
      <c r="Y291" s="258"/>
      <c r="Z291" s="258"/>
      <c r="AA291" s="258"/>
      <c r="AB291" s="258"/>
    </row>
    <row r="292" ht="12.75" customHeight="1">
      <c r="A292" s="338">
        <v>44546</v>
      </c>
      <c r="B292" s="282"/>
      <c r="C292" t="s" s="259">
        <v>758</v>
      </c>
      <c r="D292" t="s" s="283">
        <v>1458</v>
      </c>
      <c r="E292" s="284"/>
      <c r="F292" s="285"/>
      <c r="G292" s="284">
        <v>682000</v>
      </c>
      <c r="H292" s="286">
        <v>3410</v>
      </c>
      <c r="I292" s="284" cm="1">
        <f t="array" ref="I292">G292/H292</f>
        <v>200</v>
      </c>
      <c r="J292" s="280"/>
      <c r="K292" s="281"/>
      <c r="L292" s="264"/>
      <c r="M292" s="258"/>
      <c r="N292" s="258"/>
      <c r="O292" s="258"/>
      <c r="P292" s="258"/>
      <c r="Q292" s="258"/>
      <c r="R292" s="258"/>
      <c r="S292" s="258"/>
      <c r="T292" s="258"/>
      <c r="U292" s="258"/>
      <c r="V292" s="258"/>
      <c r="W292" s="258"/>
      <c r="X292" s="258"/>
      <c r="Y292" s="258"/>
      <c r="Z292" s="258"/>
      <c r="AA292" s="258"/>
      <c r="AB292" s="258"/>
    </row>
    <row r="293" ht="12.75" customHeight="1">
      <c r="A293" s="339">
        <v>44546</v>
      </c>
      <c r="B293" s="275"/>
      <c r="C293" t="s" s="274">
        <v>758</v>
      </c>
      <c r="D293" t="s" s="276">
        <v>1459</v>
      </c>
      <c r="E293" s="277"/>
      <c r="F293" s="278"/>
      <c r="G293" s="277">
        <v>1000000</v>
      </c>
      <c r="H293" s="279">
        <v>5000</v>
      </c>
      <c r="I293" s="277" cm="1">
        <f t="array" ref="I293">G293/H293</f>
        <v>200</v>
      </c>
      <c r="J293" s="280"/>
      <c r="K293" s="281"/>
      <c r="L293" s="264"/>
      <c r="M293" s="258"/>
      <c r="N293" s="258"/>
      <c r="O293" s="258"/>
      <c r="P293" s="258"/>
      <c r="Q293" s="258"/>
      <c r="R293" s="258"/>
      <c r="S293" s="258"/>
      <c r="T293" s="258"/>
      <c r="U293" s="258"/>
      <c r="V293" s="258"/>
      <c r="W293" s="258"/>
      <c r="X293" s="258"/>
      <c r="Y293" s="258"/>
      <c r="Z293" s="258"/>
      <c r="AA293" s="258"/>
      <c r="AB293" s="258"/>
    </row>
    <row r="294" ht="12.75" customHeight="1">
      <c r="A294" s="338">
        <v>44546</v>
      </c>
      <c r="B294" s="282"/>
      <c r="C294" t="s" s="259">
        <v>758</v>
      </c>
      <c r="D294" t="s" s="283">
        <v>1459</v>
      </c>
      <c r="E294" s="284"/>
      <c r="F294" s="285"/>
      <c r="G294" s="284">
        <v>1000000</v>
      </c>
      <c r="H294" s="286">
        <v>5050</v>
      </c>
      <c r="I294" s="284" cm="1">
        <f t="array" ref="I294">G294/H294</f>
        <v>198.019801980198</v>
      </c>
      <c r="J294" s="280"/>
      <c r="K294" s="281"/>
      <c r="L294" s="264"/>
      <c r="M294" s="258"/>
      <c r="N294" s="258"/>
      <c r="O294" s="258"/>
      <c r="P294" s="258"/>
      <c r="Q294" s="258"/>
      <c r="R294" s="258"/>
      <c r="S294" s="258"/>
      <c r="T294" s="258"/>
      <c r="U294" s="258"/>
      <c r="V294" s="258"/>
      <c r="W294" s="258"/>
      <c r="X294" s="258"/>
      <c r="Y294" s="258"/>
      <c r="Z294" s="258"/>
      <c r="AA294" s="258"/>
      <c r="AB294" s="258"/>
    </row>
    <row r="295" ht="12.75" customHeight="1">
      <c r="A295" s="339">
        <v>44551</v>
      </c>
      <c r="B295" s="275"/>
      <c r="C295" t="s" s="274">
        <v>758</v>
      </c>
      <c r="D295" t="s" s="276">
        <v>1446</v>
      </c>
      <c r="E295" s="277"/>
      <c r="F295" s="278"/>
      <c r="G295" s="277">
        <v>100000</v>
      </c>
      <c r="H295" s="279">
        <v>500</v>
      </c>
      <c r="I295" s="277" cm="1">
        <f t="array" ref="I295">G295/H295</f>
        <v>200</v>
      </c>
      <c r="J295" s="280"/>
      <c r="K295" s="281"/>
      <c r="L295" s="264"/>
      <c r="M295" s="258"/>
      <c r="N295" s="258"/>
      <c r="O295" s="258"/>
      <c r="P295" s="258"/>
      <c r="Q295" s="258"/>
      <c r="R295" s="258"/>
      <c r="S295" s="258"/>
      <c r="T295" s="258"/>
      <c r="U295" s="258"/>
      <c r="V295" s="258"/>
      <c r="W295" s="258"/>
      <c r="X295" s="258"/>
      <c r="Y295" s="258"/>
      <c r="Z295" s="258"/>
      <c r="AA295" s="258"/>
      <c r="AB295" s="258"/>
    </row>
    <row r="296" ht="12.75" customHeight="1">
      <c r="A296" s="338">
        <v>44553</v>
      </c>
      <c r="B296" s="282"/>
      <c r="C296" t="s" s="259">
        <v>278</v>
      </c>
      <c r="D296" t="s" s="283">
        <v>1460</v>
      </c>
      <c r="E296" s="284"/>
      <c r="F296" s="285"/>
      <c r="G296" s="284">
        <v>170520</v>
      </c>
      <c r="H296" s="286">
        <v>852</v>
      </c>
      <c r="I296" s="284" cm="1">
        <f t="array" ref="I296">G296/H296</f>
        <v>200.140845070423</v>
      </c>
      <c r="J296" s="280"/>
      <c r="K296" s="281"/>
      <c r="L296" s="264"/>
      <c r="M296" s="258"/>
      <c r="N296" s="258"/>
      <c r="O296" s="258"/>
      <c r="P296" s="258"/>
      <c r="Q296" s="258"/>
      <c r="R296" s="258"/>
      <c r="S296" s="258"/>
      <c r="T296" s="258"/>
      <c r="U296" s="258"/>
      <c r="V296" s="258"/>
      <c r="W296" s="258"/>
      <c r="X296" s="258"/>
      <c r="Y296" s="258"/>
      <c r="Z296" s="258"/>
      <c r="AA296" s="258"/>
      <c r="AB296" s="258"/>
    </row>
    <row r="297" ht="12.75" customHeight="1">
      <c r="A297" s="339">
        <v>44559</v>
      </c>
      <c r="B297" s="275"/>
      <c r="C297" t="s" s="274">
        <v>101</v>
      </c>
      <c r="D297" t="s" s="276">
        <v>1461</v>
      </c>
      <c r="E297" s="277"/>
      <c r="F297" s="278"/>
      <c r="G297" s="277">
        <v>330000</v>
      </c>
      <c r="H297" s="279">
        <v>1587</v>
      </c>
      <c r="I297" s="277" cm="1">
        <f t="array" ref="I297">G297/H297</f>
        <v>207.939508506616</v>
      </c>
      <c r="J297" s="280"/>
      <c r="K297" s="281"/>
      <c r="L297" s="264"/>
      <c r="M297" s="258"/>
      <c r="N297" s="258"/>
      <c r="O297" s="258"/>
      <c r="P297" s="258"/>
      <c r="Q297" s="258"/>
      <c r="R297" s="258"/>
      <c r="S297" s="258"/>
      <c r="T297" s="258"/>
      <c r="U297" s="258"/>
      <c r="V297" s="258"/>
      <c r="W297" s="258"/>
      <c r="X297" s="258"/>
      <c r="Y297" s="258"/>
      <c r="Z297" s="258"/>
      <c r="AA297" s="258"/>
      <c r="AB297" s="258"/>
    </row>
    <row r="298" ht="12.75" customHeight="1">
      <c r="A298" s="338">
        <v>44566</v>
      </c>
      <c r="B298" s="282"/>
      <c r="C298" t="s" s="259">
        <v>1454</v>
      </c>
      <c r="D298" t="s" s="283">
        <v>1462</v>
      </c>
      <c r="E298" s="284"/>
      <c r="F298" s="285"/>
      <c r="G298" s="284">
        <v>60000</v>
      </c>
      <c r="H298" s="286">
        <v>300</v>
      </c>
      <c r="I298" s="284" cm="1">
        <f t="array" ref="I298">G298/H298</f>
        <v>200</v>
      </c>
      <c r="J298" s="280"/>
      <c r="K298" s="281"/>
      <c r="L298" s="264"/>
      <c r="M298" s="258"/>
      <c r="N298" s="258"/>
      <c r="O298" s="258"/>
      <c r="P298" s="258"/>
      <c r="Q298" s="258"/>
      <c r="R298" s="258"/>
      <c r="S298" s="258"/>
      <c r="T298" s="258"/>
      <c r="U298" s="258"/>
      <c r="V298" s="258"/>
      <c r="W298" s="258"/>
      <c r="X298" s="258"/>
      <c r="Y298" s="258"/>
      <c r="Z298" s="258"/>
      <c r="AA298" s="258"/>
      <c r="AB298" s="258"/>
    </row>
    <row r="299" ht="12.75" customHeight="1">
      <c r="A299" s="339">
        <v>44570</v>
      </c>
      <c r="B299" s="275"/>
      <c r="C299" s="295"/>
      <c r="D299" t="s" s="276">
        <v>1463</v>
      </c>
      <c r="E299" s="277"/>
      <c r="F299" s="278"/>
      <c r="G299" s="277">
        <v>10000</v>
      </c>
      <c r="H299" s="279">
        <v>50</v>
      </c>
      <c r="I299" s="277" cm="1">
        <f t="array" ref="I299">G299/H299</f>
        <v>200</v>
      </c>
      <c r="J299" s="280"/>
      <c r="K299" s="281"/>
      <c r="L299" s="264"/>
      <c r="M299" s="258"/>
      <c r="N299" s="258"/>
      <c r="O299" s="258"/>
      <c r="P299" s="258"/>
      <c r="Q299" s="258"/>
      <c r="R299" s="258"/>
      <c r="S299" s="258"/>
      <c r="T299" s="258"/>
      <c r="U299" s="258"/>
      <c r="V299" s="258"/>
      <c r="W299" s="258"/>
      <c r="X299" s="258"/>
      <c r="Y299" s="258"/>
      <c r="Z299" s="258"/>
      <c r="AA299" s="258"/>
      <c r="AB299" s="258"/>
    </row>
    <row r="300" ht="12.75" customHeight="1">
      <c r="A300" s="338">
        <v>44581</v>
      </c>
      <c r="B300" s="282"/>
      <c r="C300" t="s" s="259">
        <v>758</v>
      </c>
      <c r="D300" t="s" s="283">
        <v>1459</v>
      </c>
      <c r="E300" s="284"/>
      <c r="F300" s="285"/>
      <c r="G300" s="284">
        <v>1000000</v>
      </c>
      <c r="H300" s="286">
        <v>4630</v>
      </c>
      <c r="I300" s="284" cm="1">
        <f t="array" ref="I300">G300/H300</f>
        <v>215.982721382289</v>
      </c>
      <c r="J300" s="280"/>
      <c r="K300" s="281"/>
      <c r="L300" s="264"/>
      <c r="M300" s="258"/>
      <c r="N300" s="258"/>
      <c r="O300" s="258"/>
      <c r="P300" s="258"/>
      <c r="Q300" s="258"/>
      <c r="R300" s="258"/>
      <c r="S300" s="258"/>
      <c r="T300" s="258"/>
      <c r="U300" s="258"/>
      <c r="V300" s="258"/>
      <c r="W300" s="258"/>
      <c r="X300" s="258"/>
      <c r="Y300" s="258"/>
      <c r="Z300" s="258"/>
      <c r="AA300" s="258"/>
      <c r="AB300" s="258"/>
    </row>
    <row r="301" ht="12.75" customHeight="1">
      <c r="A301" s="339">
        <v>44594</v>
      </c>
      <c r="B301" s="275"/>
      <c r="C301" t="s" s="274">
        <v>1454</v>
      </c>
      <c r="D301" t="s" s="276">
        <v>1464</v>
      </c>
      <c r="E301" s="277"/>
      <c r="F301" s="278"/>
      <c r="G301" s="277">
        <v>60000</v>
      </c>
      <c r="H301" s="279">
        <v>300</v>
      </c>
      <c r="I301" s="277" cm="1">
        <f t="array" ref="I301">G301/H301</f>
        <v>200</v>
      </c>
      <c r="J301" s="280"/>
      <c r="K301" s="281"/>
      <c r="L301" s="264"/>
      <c r="M301" s="258"/>
      <c r="N301" s="258"/>
      <c r="O301" s="258"/>
      <c r="P301" s="258"/>
      <c r="Q301" s="258"/>
      <c r="R301" s="258"/>
      <c r="S301" s="258"/>
      <c r="T301" s="258"/>
      <c r="U301" s="258"/>
      <c r="V301" s="258"/>
      <c r="W301" s="258"/>
      <c r="X301" s="258"/>
      <c r="Y301" s="258"/>
      <c r="Z301" s="258"/>
      <c r="AA301" s="258"/>
      <c r="AB301" s="258"/>
    </row>
    <row r="302" ht="12.75" customHeight="1">
      <c r="A302" s="338">
        <v>44607</v>
      </c>
      <c r="B302" s="282"/>
      <c r="C302" t="s" s="259">
        <v>571</v>
      </c>
      <c r="D302" t="s" s="283">
        <v>748</v>
      </c>
      <c r="E302" s="284"/>
      <c r="F302" s="285"/>
      <c r="G302" s="284">
        <v>3360000</v>
      </c>
      <c r="H302" s="286">
        <v>15630</v>
      </c>
      <c r="I302" s="284" cm="1">
        <f t="array" ref="I302">G302/H302</f>
        <v>214.971209213052</v>
      </c>
      <c r="J302" s="280"/>
      <c r="K302" s="281"/>
      <c r="L302" s="264"/>
      <c r="M302" s="258"/>
      <c r="N302" s="258"/>
      <c r="O302" s="258"/>
      <c r="P302" s="258"/>
      <c r="Q302" s="258"/>
      <c r="R302" s="258"/>
      <c r="S302" s="258"/>
      <c r="T302" s="258"/>
      <c r="U302" s="258"/>
      <c r="V302" s="258"/>
      <c r="W302" s="258"/>
      <c r="X302" s="258"/>
      <c r="Y302" s="258"/>
      <c r="Z302" s="258"/>
      <c r="AA302" s="258"/>
      <c r="AB302" s="258"/>
    </row>
    <row r="303" ht="12.75" customHeight="1">
      <c r="A303" s="339">
        <v>44620</v>
      </c>
      <c r="B303" s="275"/>
      <c r="C303" t="s" s="274">
        <v>1146</v>
      </c>
      <c r="D303" t="s" s="276">
        <v>1465</v>
      </c>
      <c r="E303" s="277"/>
      <c r="F303" s="278"/>
      <c r="G303" s="277">
        <v>850000</v>
      </c>
      <c r="H303" s="279">
        <v>3460</v>
      </c>
      <c r="I303" s="277" cm="1">
        <f t="array" ref="I303">G303/H303</f>
        <v>245.664739884393</v>
      </c>
      <c r="J303" s="280"/>
      <c r="K303" s="281"/>
      <c r="L303" s="264"/>
      <c r="M303" s="258"/>
      <c r="N303" s="258"/>
      <c r="O303" s="258"/>
      <c r="P303" s="258"/>
      <c r="Q303" s="258"/>
      <c r="R303" s="258"/>
      <c r="S303" s="258"/>
      <c r="T303" s="258"/>
      <c r="U303" s="258"/>
      <c r="V303" s="258"/>
      <c r="W303" s="258"/>
      <c r="X303" s="258"/>
      <c r="Y303" s="258"/>
      <c r="Z303" s="258"/>
      <c r="AA303" s="258"/>
      <c r="AB303" s="258"/>
    </row>
    <row r="304" ht="12.75" customHeight="1">
      <c r="A304" s="338">
        <v>44608</v>
      </c>
      <c r="B304" s="282"/>
      <c r="C304" t="s" s="259">
        <v>758</v>
      </c>
      <c r="D304" t="s" s="283">
        <v>1459</v>
      </c>
      <c r="E304" s="284"/>
      <c r="F304" s="285"/>
      <c r="G304" s="284">
        <v>1500000</v>
      </c>
      <c r="H304" s="286">
        <v>6975</v>
      </c>
      <c r="I304" s="284" cm="1">
        <f t="array" ref="I304">G304/H304</f>
        <v>215.053763440860</v>
      </c>
      <c r="J304" s="280"/>
      <c r="K304" s="281"/>
      <c r="L304" s="264"/>
      <c r="M304" s="258"/>
      <c r="N304" s="258"/>
      <c r="O304" s="258"/>
      <c r="P304" s="258"/>
      <c r="Q304" s="258"/>
      <c r="R304" s="258"/>
      <c r="S304" s="258"/>
      <c r="T304" s="258"/>
      <c r="U304" s="258"/>
      <c r="V304" s="258"/>
      <c r="W304" s="258"/>
      <c r="X304" s="258"/>
      <c r="Y304" s="258"/>
      <c r="Z304" s="258"/>
      <c r="AA304" s="258"/>
      <c r="AB304" s="258"/>
    </row>
    <row r="305" ht="12.75" customHeight="1">
      <c r="A305" s="339">
        <v>44625</v>
      </c>
      <c r="B305" s="275"/>
      <c r="C305" t="s" s="274">
        <v>1454</v>
      </c>
      <c r="D305" t="s" s="276">
        <v>1466</v>
      </c>
      <c r="E305" s="277"/>
      <c r="F305" s="278"/>
      <c r="G305" s="277">
        <v>65000</v>
      </c>
      <c r="H305" s="279">
        <v>325</v>
      </c>
      <c r="I305" s="277" cm="1">
        <f t="array" ref="I305">G305/H305</f>
        <v>200</v>
      </c>
      <c r="J305" s="280"/>
      <c r="K305" s="281"/>
      <c r="L305" s="264"/>
      <c r="M305" s="258"/>
      <c r="N305" s="258"/>
      <c r="O305" s="258"/>
      <c r="P305" s="258"/>
      <c r="Q305" s="258"/>
      <c r="R305" s="258"/>
      <c r="S305" s="258"/>
      <c r="T305" s="258"/>
      <c r="U305" s="258"/>
      <c r="V305" s="258"/>
      <c r="W305" s="258"/>
      <c r="X305" s="258"/>
      <c r="Y305" s="258"/>
      <c r="Z305" s="258"/>
      <c r="AA305" s="258"/>
      <c r="AB305" s="258"/>
    </row>
    <row r="306" ht="12.75" customHeight="1">
      <c r="A306" s="338">
        <v>44634</v>
      </c>
      <c r="B306" s="282"/>
      <c r="C306" t="s" s="259">
        <v>758</v>
      </c>
      <c r="D306" t="s" s="283">
        <v>1459</v>
      </c>
      <c r="E306" s="284"/>
      <c r="F306" s="285"/>
      <c r="G306" s="284">
        <v>1500000</v>
      </c>
      <c r="H306" s="286">
        <v>7462</v>
      </c>
      <c r="I306" s="284" cm="1">
        <f t="array" ref="I306">G306/H306</f>
        <v>201.018493701421</v>
      </c>
      <c r="J306" s="280"/>
      <c r="K306" s="281"/>
      <c r="L306" s="264"/>
      <c r="M306" s="258"/>
      <c r="N306" s="258"/>
      <c r="O306" s="258"/>
      <c r="P306" s="258"/>
      <c r="Q306" s="258"/>
      <c r="R306" s="258"/>
      <c r="S306" s="258"/>
      <c r="T306" s="258"/>
      <c r="U306" s="258"/>
      <c r="V306" s="258"/>
      <c r="W306" s="258"/>
      <c r="X306" s="258"/>
      <c r="Y306" s="258"/>
      <c r="Z306" s="258"/>
      <c r="AA306" s="258"/>
      <c r="AB306" s="258"/>
    </row>
    <row r="307" ht="12.75" customHeight="1">
      <c r="A307" s="339">
        <v>44642</v>
      </c>
      <c r="B307" s="275"/>
      <c r="C307" t="s" s="274">
        <v>1300</v>
      </c>
      <c r="D307" t="s" s="276">
        <v>1467</v>
      </c>
      <c r="E307" s="277"/>
      <c r="F307" s="278"/>
      <c r="G307" s="277">
        <v>10823</v>
      </c>
      <c r="H307" s="279">
        <v>55</v>
      </c>
      <c r="I307" s="277" cm="1">
        <f t="array" ref="I307">G307/H307</f>
        <v>196.781818181818</v>
      </c>
      <c r="J307" s="280"/>
      <c r="K307" s="281"/>
      <c r="L307" s="264"/>
      <c r="M307" s="258"/>
      <c r="N307" s="258"/>
      <c r="O307" s="258"/>
      <c r="P307" s="258"/>
      <c r="Q307" s="258"/>
      <c r="R307" s="258"/>
      <c r="S307" s="258"/>
      <c r="T307" s="258"/>
      <c r="U307" s="258"/>
      <c r="V307" s="258"/>
      <c r="W307" s="258"/>
      <c r="X307" s="258"/>
      <c r="Y307" s="258"/>
      <c r="Z307" s="258"/>
      <c r="AA307" s="258"/>
      <c r="AB307" s="258"/>
    </row>
    <row r="308" ht="12.75" customHeight="1">
      <c r="A308" s="338">
        <v>44650</v>
      </c>
      <c r="B308" s="282"/>
      <c r="C308" t="s" s="259">
        <v>571</v>
      </c>
      <c r="D308" t="s" s="283">
        <v>748</v>
      </c>
      <c r="E308" s="284"/>
      <c r="F308" s="285"/>
      <c r="G308" s="284">
        <v>1160000</v>
      </c>
      <c r="H308" s="286">
        <v>5800</v>
      </c>
      <c r="I308" s="284" cm="1">
        <f t="array" ref="I308">G308/H308</f>
        <v>200</v>
      </c>
      <c r="J308" s="280"/>
      <c r="K308" s="281"/>
      <c r="L308" s="264"/>
      <c r="M308" s="258"/>
      <c r="N308" s="258"/>
      <c r="O308" s="258"/>
      <c r="P308" s="258"/>
      <c r="Q308" s="258"/>
      <c r="R308" s="258"/>
      <c r="S308" s="258"/>
      <c r="T308" s="258"/>
      <c r="U308" s="258"/>
      <c r="V308" s="258"/>
      <c r="W308" s="258"/>
      <c r="X308" s="258"/>
      <c r="Y308" s="258"/>
      <c r="Z308" s="258"/>
      <c r="AA308" s="258"/>
      <c r="AB308" s="258"/>
    </row>
    <row r="309" ht="12.75" customHeight="1">
      <c r="A309" s="339">
        <v>44652</v>
      </c>
      <c r="B309" s="275"/>
      <c r="C309" t="s" s="274">
        <v>932</v>
      </c>
      <c r="D309" t="s" s="276">
        <v>1468</v>
      </c>
      <c r="E309" s="277"/>
      <c r="F309" s="278"/>
      <c r="G309" s="277">
        <v>21000</v>
      </c>
      <c r="H309" s="279">
        <v>100</v>
      </c>
      <c r="I309" s="277" cm="1">
        <f t="array" ref="I309">G309/H309</f>
        <v>210</v>
      </c>
      <c r="J309" s="280"/>
      <c r="K309" s="281"/>
      <c r="L309" s="264"/>
      <c r="M309" s="258"/>
      <c r="N309" s="258"/>
      <c r="O309" s="258"/>
      <c r="P309" s="258"/>
      <c r="Q309" s="258"/>
      <c r="R309" s="258"/>
      <c r="S309" s="258"/>
      <c r="T309" s="258"/>
      <c r="U309" s="258"/>
      <c r="V309" s="258"/>
      <c r="W309" s="258"/>
      <c r="X309" s="258"/>
      <c r="Y309" s="258"/>
      <c r="Z309" s="258"/>
      <c r="AA309" s="258"/>
      <c r="AB309" s="258"/>
    </row>
    <row r="310" ht="12.75" customHeight="1">
      <c r="A310" s="338">
        <v>44656</v>
      </c>
      <c r="B310" s="282"/>
      <c r="C310" t="s" s="259">
        <v>1454</v>
      </c>
      <c r="D310" t="s" s="283">
        <v>697</v>
      </c>
      <c r="E310" s="284"/>
      <c r="F310" s="285"/>
      <c r="G310" s="284">
        <v>65000</v>
      </c>
      <c r="H310" s="286">
        <v>325</v>
      </c>
      <c r="I310" s="284" cm="1">
        <f t="array" ref="I310">G310/H310</f>
        <v>200</v>
      </c>
      <c r="J310" s="280"/>
      <c r="K310" s="281"/>
      <c r="L310" s="264"/>
      <c r="M310" s="258"/>
      <c r="N310" s="258"/>
      <c r="O310" s="258"/>
      <c r="P310" s="258"/>
      <c r="Q310" s="258"/>
      <c r="R310" s="258"/>
      <c r="S310" s="258"/>
      <c r="T310" s="258"/>
      <c r="U310" s="258"/>
      <c r="V310" s="258"/>
      <c r="W310" s="258"/>
      <c r="X310" s="258"/>
      <c r="Y310" s="258"/>
      <c r="Z310" s="258"/>
      <c r="AA310" s="258"/>
      <c r="AB310" s="258"/>
    </row>
    <row r="311" ht="12.75" customHeight="1">
      <c r="A311" s="339">
        <v>44658</v>
      </c>
      <c r="B311" s="275"/>
      <c r="C311" t="s" s="274">
        <v>247</v>
      </c>
      <c r="D311" t="s" s="276">
        <v>1311</v>
      </c>
      <c r="E311" s="277"/>
      <c r="F311" s="278"/>
      <c r="G311" s="277">
        <v>13500</v>
      </c>
      <c r="H311" s="279" cm="1">
        <f t="array" ref="H311">G311/I311</f>
        <v>67.5</v>
      </c>
      <c r="I311" s="277">
        <v>200</v>
      </c>
      <c r="J311" s="280"/>
      <c r="K311" s="281"/>
      <c r="L311" s="264"/>
      <c r="M311" s="258"/>
      <c r="N311" s="258"/>
      <c r="O311" s="258"/>
      <c r="P311" s="258"/>
      <c r="Q311" s="258"/>
      <c r="R311" s="258"/>
      <c r="S311" s="258"/>
      <c r="T311" s="258"/>
      <c r="U311" s="258"/>
      <c r="V311" s="258"/>
      <c r="W311" s="258"/>
      <c r="X311" s="258"/>
      <c r="Y311" s="258"/>
      <c r="Z311" s="258"/>
      <c r="AA311" s="258"/>
      <c r="AB311" s="258"/>
    </row>
    <row r="312" ht="12.75" customHeight="1">
      <c r="A312" s="338">
        <v>44663</v>
      </c>
      <c r="B312" s="282"/>
      <c r="C312" t="s" s="259">
        <v>758</v>
      </c>
      <c r="D312" t="s" s="283">
        <v>1459</v>
      </c>
      <c r="E312" s="284"/>
      <c r="F312" s="285"/>
      <c r="G312" s="284">
        <v>1500000</v>
      </c>
      <c r="H312" s="286">
        <v>7500</v>
      </c>
      <c r="I312" s="284" cm="1">
        <f t="array" ref="I312">G312/H312</f>
        <v>200</v>
      </c>
      <c r="J312" s="280"/>
      <c r="K312" s="281"/>
      <c r="L312" s="264"/>
      <c r="M312" s="258"/>
      <c r="N312" s="258"/>
      <c r="O312" s="258"/>
      <c r="P312" s="258"/>
      <c r="Q312" s="258"/>
      <c r="R312" s="258"/>
      <c r="S312" s="258"/>
      <c r="T312" s="258"/>
      <c r="U312" s="258"/>
      <c r="V312" s="258"/>
      <c r="W312" s="258"/>
      <c r="X312" s="258"/>
      <c r="Y312" s="258"/>
      <c r="Z312" s="258"/>
      <c r="AA312" s="258"/>
      <c r="AB312" s="258"/>
    </row>
    <row r="313" ht="12.75" customHeight="1">
      <c r="A313" s="339">
        <v>44672</v>
      </c>
      <c r="B313" s="275"/>
      <c r="C313" t="s" s="274">
        <v>756</v>
      </c>
      <c r="D313" t="s" s="276">
        <v>1469</v>
      </c>
      <c r="E313" s="277">
        <v>114137</v>
      </c>
      <c r="F313" s="278" cm="1">
        <f t="array" ref="F313">E313/200</f>
        <v>570.6849999999999</v>
      </c>
      <c r="G313" s="277"/>
      <c r="H313" s="279"/>
      <c r="I313" s="277"/>
      <c r="J313" s="280"/>
      <c r="K313" s="281"/>
      <c r="L313" s="264"/>
      <c r="M313" s="258"/>
      <c r="N313" s="258"/>
      <c r="O313" s="258"/>
      <c r="P313" s="258"/>
      <c r="Q313" s="258"/>
      <c r="R313" s="258"/>
      <c r="S313" s="258"/>
      <c r="T313" s="258"/>
      <c r="U313" s="258"/>
      <c r="V313" s="258"/>
      <c r="W313" s="258"/>
      <c r="X313" s="258"/>
      <c r="Y313" s="258"/>
      <c r="Z313" s="258"/>
      <c r="AA313" s="258"/>
      <c r="AB313" s="258"/>
    </row>
    <row r="314" ht="12.75" customHeight="1">
      <c r="A314" s="338">
        <v>44678</v>
      </c>
      <c r="B314" s="282"/>
      <c r="C314" t="s" s="259">
        <v>1300</v>
      </c>
      <c r="D314" t="s" s="283">
        <v>1467</v>
      </c>
      <c r="E314" s="284"/>
      <c r="F314" s="285"/>
      <c r="G314" s="284">
        <v>670.35</v>
      </c>
      <c r="H314" s="286">
        <v>3.5</v>
      </c>
      <c r="I314" s="284" cm="1">
        <f t="array" ref="I314">G314/H314</f>
        <v>191.528571428571</v>
      </c>
      <c r="J314" s="280"/>
      <c r="K314" s="281"/>
      <c r="L314" s="264"/>
      <c r="M314" s="258"/>
      <c r="N314" s="258"/>
      <c r="O314" s="258"/>
      <c r="P314" s="258"/>
      <c r="Q314" s="258"/>
      <c r="R314" s="258"/>
      <c r="S314" s="258"/>
      <c r="T314" s="258"/>
      <c r="U314" s="258"/>
      <c r="V314" s="258"/>
      <c r="W314" s="258"/>
      <c r="X314" s="258"/>
      <c r="Y314" s="258"/>
      <c r="Z314" s="258"/>
      <c r="AA314" s="258"/>
      <c r="AB314" s="258"/>
    </row>
    <row r="315" ht="12.75" customHeight="1">
      <c r="A315" s="339">
        <v>44680</v>
      </c>
      <c r="B315" s="275"/>
      <c r="C315" t="s" s="274">
        <v>1300</v>
      </c>
      <c r="D315" t="s" s="276">
        <v>1467</v>
      </c>
      <c r="E315" s="277"/>
      <c r="F315" s="278"/>
      <c r="G315" s="277">
        <v>11800</v>
      </c>
      <c r="H315" s="279">
        <v>60</v>
      </c>
      <c r="I315" s="277" cm="1">
        <f t="array" ref="I315">G315/H315</f>
        <v>196.666666666667</v>
      </c>
      <c r="J315" s="280"/>
      <c r="K315" s="281"/>
      <c r="L315" s="264"/>
      <c r="M315" s="258"/>
      <c r="N315" s="258"/>
      <c r="O315" s="258"/>
      <c r="P315" s="258"/>
      <c r="Q315" s="258"/>
      <c r="R315" s="258"/>
      <c r="S315" s="258"/>
      <c r="T315" s="258"/>
      <c r="U315" s="258"/>
      <c r="V315" s="258"/>
      <c r="W315" s="258"/>
      <c r="X315" s="258"/>
      <c r="Y315" s="258"/>
      <c r="Z315" s="258"/>
      <c r="AA315" s="258"/>
      <c r="AB315" s="258"/>
    </row>
    <row r="316" ht="12.75" customHeight="1">
      <c r="A316" s="338">
        <v>44686</v>
      </c>
      <c r="B316" s="282"/>
      <c r="C316" t="s" s="259">
        <v>1454</v>
      </c>
      <c r="D316" t="s" s="283">
        <v>1470</v>
      </c>
      <c r="E316" s="284"/>
      <c r="F316" s="285"/>
      <c r="G316" s="284">
        <v>65000</v>
      </c>
      <c r="H316" s="286">
        <v>325</v>
      </c>
      <c r="I316" s="284" cm="1">
        <f t="array" ref="I316">G316/H316</f>
        <v>200</v>
      </c>
      <c r="J316" s="280"/>
      <c r="K316" s="281"/>
      <c r="L316" s="264"/>
      <c r="M316" s="258"/>
      <c r="N316" s="258"/>
      <c r="O316" s="258"/>
      <c r="P316" s="258"/>
      <c r="Q316" s="258"/>
      <c r="R316" s="258"/>
      <c r="S316" s="258"/>
      <c r="T316" s="258"/>
      <c r="U316" s="258"/>
      <c r="V316" s="258"/>
      <c r="W316" s="258"/>
      <c r="X316" s="258"/>
      <c r="Y316" s="258"/>
      <c r="Z316" s="258"/>
      <c r="AA316" s="258"/>
      <c r="AB316" s="258"/>
    </row>
    <row r="317" ht="12.75" customHeight="1">
      <c r="A317" s="339">
        <v>44693</v>
      </c>
      <c r="B317" s="275"/>
      <c r="C317" t="s" s="274">
        <v>1300</v>
      </c>
      <c r="D317" t="s" s="276">
        <v>1467</v>
      </c>
      <c r="E317" s="277"/>
      <c r="F317" s="278"/>
      <c r="G317" s="277">
        <v>10000</v>
      </c>
      <c r="H317" s="279">
        <v>50</v>
      </c>
      <c r="I317" s="277" cm="1">
        <f t="array" ref="I317">G317/H317</f>
        <v>200</v>
      </c>
      <c r="J317" s="280"/>
      <c r="K317" s="281"/>
      <c r="L317" s="264"/>
      <c r="M317" s="258"/>
      <c r="N317" s="258"/>
      <c r="O317" s="258"/>
      <c r="P317" s="258"/>
      <c r="Q317" s="258"/>
      <c r="R317" s="258"/>
      <c r="S317" s="258"/>
      <c r="T317" s="258"/>
      <c r="U317" s="258"/>
      <c r="V317" s="258"/>
      <c r="W317" s="258"/>
      <c r="X317" s="258"/>
      <c r="Y317" s="258"/>
      <c r="Z317" s="258"/>
      <c r="AA317" s="258"/>
      <c r="AB317" s="258"/>
    </row>
    <row r="318" ht="12.75" customHeight="1">
      <c r="A318" s="338">
        <v>44789</v>
      </c>
      <c r="B318" s="282"/>
      <c r="C318" t="s" s="259">
        <v>278</v>
      </c>
      <c r="D318" t="s" s="283">
        <v>1471</v>
      </c>
      <c r="E318" s="284"/>
      <c r="F318" s="285"/>
      <c r="G318" s="284">
        <v>2606</v>
      </c>
      <c r="H318" s="286">
        <v>9</v>
      </c>
      <c r="I318" s="284" cm="1">
        <f t="array" ref="I318">G318/H318</f>
        <v>289.555555555556</v>
      </c>
      <c r="J318" s="280"/>
      <c r="K318" s="281"/>
      <c r="L318" s="264"/>
      <c r="M318" s="258"/>
      <c r="N318" s="258"/>
      <c r="O318" s="258"/>
      <c r="P318" s="258"/>
      <c r="Q318" s="258"/>
      <c r="R318" s="258"/>
      <c r="S318" s="258"/>
      <c r="T318" s="258"/>
      <c r="U318" s="258"/>
      <c r="V318" s="258"/>
      <c r="W318" s="258"/>
      <c r="X318" s="258"/>
      <c r="Y318" s="258"/>
      <c r="Z318" s="258"/>
      <c r="AA318" s="258"/>
      <c r="AB318" s="258"/>
    </row>
    <row r="319" ht="12.75" customHeight="1">
      <c r="A319" s="339">
        <v>44698</v>
      </c>
      <c r="B319" s="275"/>
      <c r="C319" t="s" s="274">
        <v>758</v>
      </c>
      <c r="D319" t="s" s="276">
        <v>1459</v>
      </c>
      <c r="E319" s="277"/>
      <c r="F319" s="278"/>
      <c r="G319" s="277">
        <v>2000000</v>
      </c>
      <c r="H319" s="279">
        <v>9665</v>
      </c>
      <c r="I319" s="277" cm="1">
        <f t="array" ref="I319">G319/H319</f>
        <v>206.932229694775</v>
      </c>
      <c r="J319" s="280"/>
      <c r="K319" s="281"/>
      <c r="L319" s="264"/>
      <c r="M319" s="258"/>
      <c r="N319" s="258"/>
      <c r="O319" s="258"/>
      <c r="P319" s="258"/>
      <c r="Q319" s="258"/>
      <c r="R319" s="258"/>
      <c r="S319" s="258"/>
      <c r="T319" s="258"/>
      <c r="U319" s="258"/>
      <c r="V319" s="258"/>
      <c r="W319" s="258"/>
      <c r="X319" s="258"/>
      <c r="Y319" s="258"/>
      <c r="Z319" s="258"/>
      <c r="AA319" s="258"/>
      <c r="AB319" s="258"/>
    </row>
    <row r="320" ht="12.75" customHeight="1">
      <c r="A320" s="338">
        <v>44735</v>
      </c>
      <c r="B320" s="282"/>
      <c r="C320" t="s" s="259">
        <v>758</v>
      </c>
      <c r="D320" t="s" s="283">
        <v>1459</v>
      </c>
      <c r="E320" s="284"/>
      <c r="F320" s="285"/>
      <c r="G320" s="284">
        <v>2000000</v>
      </c>
      <c r="H320" s="286">
        <v>9090</v>
      </c>
      <c r="I320" s="284" cm="1">
        <f t="array" ref="I320">G320/H320</f>
        <v>220.022002200220</v>
      </c>
      <c r="J320" s="280"/>
      <c r="K320" s="281"/>
      <c r="L320" s="264"/>
      <c r="M320" s="258"/>
      <c r="N320" s="258"/>
      <c r="O320" s="258"/>
      <c r="P320" s="258"/>
      <c r="Q320" s="258"/>
      <c r="R320" s="258"/>
      <c r="S320" s="258"/>
      <c r="T320" s="258"/>
      <c r="U320" s="258"/>
      <c r="V320" s="258"/>
      <c r="W320" s="258"/>
      <c r="X320" s="258"/>
      <c r="Y320" s="258"/>
      <c r="Z320" s="258"/>
      <c r="AA320" s="258"/>
      <c r="AB320" s="258"/>
    </row>
    <row r="321" ht="12.75" customHeight="1">
      <c r="A321" s="339">
        <v>44740</v>
      </c>
      <c r="B321" s="275"/>
      <c r="C321" t="s" s="274">
        <v>278</v>
      </c>
      <c r="D321" t="s" s="276">
        <v>1472</v>
      </c>
      <c r="E321" s="277"/>
      <c r="F321" s="278"/>
      <c r="G321" s="277">
        <v>5315.82</v>
      </c>
      <c r="H321" s="279">
        <v>19</v>
      </c>
      <c r="I321" s="277" cm="1">
        <f t="array" ref="I321">G321/H321</f>
        <v>279.78</v>
      </c>
      <c r="J321" s="280"/>
      <c r="K321" s="281"/>
      <c r="L321" s="264"/>
      <c r="M321" s="258"/>
      <c r="N321" s="258"/>
      <c r="O321" s="258"/>
      <c r="P321" s="258"/>
      <c r="Q321" s="258"/>
      <c r="R321" s="258"/>
      <c r="S321" s="258"/>
      <c r="T321" s="258"/>
      <c r="U321" s="258"/>
      <c r="V321" s="258"/>
      <c r="W321" s="258"/>
      <c r="X321" s="258"/>
      <c r="Y321" s="258"/>
      <c r="Z321" s="258"/>
      <c r="AA321" s="258"/>
      <c r="AB321" s="258"/>
    </row>
    <row r="322" ht="12.75" customHeight="1">
      <c r="A322" s="338">
        <v>44752</v>
      </c>
      <c r="B322" s="282"/>
      <c r="C322" t="s" s="259">
        <v>1454</v>
      </c>
      <c r="D322" t="s" s="283">
        <v>1473</v>
      </c>
      <c r="E322" s="284"/>
      <c r="F322" s="285"/>
      <c r="G322" s="284">
        <v>65000</v>
      </c>
      <c r="H322" s="286">
        <v>232</v>
      </c>
      <c r="I322" s="284" cm="1">
        <f t="array" ref="I322">G322/H322</f>
        <v>280.172413793103</v>
      </c>
      <c r="J322" s="280"/>
      <c r="K322" s="281"/>
      <c r="L322" s="264"/>
      <c r="M322" s="258"/>
      <c r="N322" s="258"/>
      <c r="O322" s="258"/>
      <c r="P322" s="258"/>
      <c r="Q322" s="258"/>
      <c r="R322" s="258"/>
      <c r="S322" s="258"/>
      <c r="T322" s="258"/>
      <c r="U322" s="258"/>
      <c r="V322" s="258"/>
      <c r="W322" s="258"/>
      <c r="X322" s="258"/>
      <c r="Y322" s="258"/>
      <c r="Z322" s="258"/>
      <c r="AA322" s="258"/>
      <c r="AB322" s="258"/>
    </row>
    <row r="323" ht="12.75" customHeight="1">
      <c r="A323" s="339">
        <v>44757</v>
      </c>
      <c r="B323" s="275"/>
      <c r="C323" t="s" s="274">
        <v>1451</v>
      </c>
      <c r="D323" t="s" s="276">
        <v>1474</v>
      </c>
      <c r="E323" s="277"/>
      <c r="F323" s="278"/>
      <c r="G323" s="277">
        <v>81000</v>
      </c>
      <c r="H323" s="279">
        <v>279</v>
      </c>
      <c r="I323" s="277" cm="1">
        <f t="array" ref="I323">G323/H323</f>
        <v>290.322580645161</v>
      </c>
      <c r="J323" s="280"/>
      <c r="K323" s="281"/>
      <c r="L323" s="264"/>
      <c r="M323" s="258"/>
      <c r="N323" s="258"/>
      <c r="O323" s="258"/>
      <c r="P323" s="258"/>
      <c r="Q323" s="258"/>
      <c r="R323" s="258"/>
      <c r="S323" s="258"/>
      <c r="T323" s="258"/>
      <c r="U323" s="258"/>
      <c r="V323" s="258"/>
      <c r="W323" s="258"/>
      <c r="X323" s="258"/>
      <c r="Y323" s="258"/>
      <c r="Z323" s="258"/>
      <c r="AA323" s="258"/>
      <c r="AB323" s="258"/>
    </row>
    <row r="324" ht="12.75" customHeight="1">
      <c r="A324" s="338">
        <v>44761</v>
      </c>
      <c r="B324" s="282"/>
      <c r="C324" t="s" s="259">
        <v>758</v>
      </c>
      <c r="D324" t="s" s="283">
        <v>1459</v>
      </c>
      <c r="E324" s="284"/>
      <c r="F324" s="285"/>
      <c r="G324" s="284">
        <v>2093000</v>
      </c>
      <c r="H324" s="286">
        <v>7000</v>
      </c>
      <c r="I324" s="284" cm="1">
        <f t="array" ref="I324">G324/H324</f>
        <v>299</v>
      </c>
      <c r="J324" s="280"/>
      <c r="K324" s="281"/>
      <c r="L324" s="264"/>
      <c r="M324" s="258"/>
      <c r="N324" s="258"/>
      <c r="O324" s="258"/>
      <c r="P324" s="258"/>
      <c r="Q324" s="258"/>
      <c r="R324" s="258"/>
      <c r="S324" s="258"/>
      <c r="T324" s="258"/>
      <c r="U324" s="258"/>
      <c r="V324" s="258"/>
      <c r="W324" s="258"/>
      <c r="X324" s="258"/>
      <c r="Y324" s="258"/>
      <c r="Z324" s="258"/>
      <c r="AA324" s="258"/>
      <c r="AB324" s="258"/>
    </row>
    <row r="325" ht="12.75" customHeight="1">
      <c r="A325" s="339">
        <v>44781</v>
      </c>
      <c r="B325" s="275"/>
      <c r="C325" t="s" s="274">
        <v>571</v>
      </c>
      <c r="D325" t="s" s="276">
        <v>748</v>
      </c>
      <c r="E325" s="277"/>
      <c r="F325" s="278"/>
      <c r="G325" s="277">
        <v>3809000</v>
      </c>
      <c r="H325" s="279">
        <v>13000</v>
      </c>
      <c r="I325" s="277" cm="1">
        <f t="array" ref="I325">G325/H325</f>
        <v>293</v>
      </c>
      <c r="J325" s="280"/>
      <c r="K325" s="281"/>
      <c r="L325" s="264"/>
      <c r="M325" s="258"/>
      <c r="N325" s="258"/>
      <c r="O325" s="258"/>
      <c r="P325" s="258"/>
      <c r="Q325" s="258"/>
      <c r="R325" s="258"/>
      <c r="S325" s="258"/>
      <c r="T325" s="258"/>
      <c r="U325" s="258"/>
      <c r="V325" s="258"/>
      <c r="W325" s="258"/>
      <c r="X325" s="258"/>
      <c r="Y325" s="258"/>
      <c r="Z325" s="258"/>
      <c r="AA325" s="258"/>
      <c r="AB325" s="258"/>
    </row>
    <row r="326" ht="12.75" customHeight="1">
      <c r="A326" s="338">
        <v>44782</v>
      </c>
      <c r="B326" s="282"/>
      <c r="C326" t="s" s="259">
        <v>758</v>
      </c>
      <c r="D326" t="s" s="283">
        <v>1459</v>
      </c>
      <c r="E326" s="284"/>
      <c r="F326" s="285"/>
      <c r="G326" s="284">
        <v>2000000</v>
      </c>
      <c r="H326" s="286">
        <v>6897</v>
      </c>
      <c r="I326" s="284" cm="1">
        <f t="array" ref="I326">G326/H326</f>
        <v>289.981151225170</v>
      </c>
      <c r="J326" s="280"/>
      <c r="K326" s="281"/>
      <c r="L326" s="264"/>
      <c r="M326" s="258"/>
      <c r="N326" s="258"/>
      <c r="O326" s="258"/>
      <c r="P326" s="258"/>
      <c r="Q326" s="258"/>
      <c r="R326" s="258"/>
      <c r="S326" s="258"/>
      <c r="T326" s="258"/>
      <c r="U326" s="258"/>
      <c r="V326" s="258"/>
      <c r="W326" s="258"/>
      <c r="X326" s="258"/>
      <c r="Y326" s="258"/>
      <c r="Z326" s="258"/>
      <c r="AA326" s="258"/>
      <c r="AB326" s="258"/>
    </row>
    <row r="327" ht="12.75" customHeight="1">
      <c r="A327" s="339">
        <v>44783</v>
      </c>
      <c r="B327" s="275"/>
      <c r="C327" t="s" s="274">
        <v>1454</v>
      </c>
      <c r="D327" t="s" s="276">
        <v>1475</v>
      </c>
      <c r="E327" s="277"/>
      <c r="F327" s="278"/>
      <c r="G327" s="277">
        <v>70000</v>
      </c>
      <c r="H327" s="279" cm="1">
        <f t="array" ref="H327">G327/I327</f>
        <v>241.379310344828</v>
      </c>
      <c r="I327" s="277">
        <v>290</v>
      </c>
      <c r="J327" s="280"/>
      <c r="K327" s="281"/>
      <c r="L327" s="264"/>
      <c r="M327" s="258"/>
      <c r="N327" s="258"/>
      <c r="O327" s="258"/>
      <c r="P327" s="258"/>
      <c r="Q327" s="258"/>
      <c r="R327" s="258"/>
      <c r="S327" s="258"/>
      <c r="T327" s="258"/>
      <c r="U327" s="258"/>
      <c r="V327" s="258"/>
      <c r="W327" s="258"/>
      <c r="X327" s="258"/>
      <c r="Y327" s="258"/>
      <c r="Z327" s="258"/>
      <c r="AA327" s="258"/>
      <c r="AB327" s="258"/>
    </row>
    <row r="328" ht="12.75" customHeight="1">
      <c r="A328" s="338">
        <v>44792</v>
      </c>
      <c r="B328" s="282"/>
      <c r="C328" t="s" s="259">
        <v>278</v>
      </c>
      <c r="D328" t="s" s="283">
        <v>1476</v>
      </c>
      <c r="E328" s="284"/>
      <c r="F328" s="285"/>
      <c r="G328" s="284">
        <v>30000</v>
      </c>
      <c r="H328" s="286" cm="1">
        <f t="array" ref="H328">G328/I328</f>
        <v>103.448275862069</v>
      </c>
      <c r="I328" s="284">
        <v>290</v>
      </c>
      <c r="J328" s="280"/>
      <c r="K328" s="281"/>
      <c r="L328" s="264"/>
      <c r="M328" s="258"/>
      <c r="N328" s="258"/>
      <c r="O328" s="258"/>
      <c r="P328" s="258"/>
      <c r="Q328" s="258"/>
      <c r="R328" s="258"/>
      <c r="S328" s="258"/>
      <c r="T328" s="258"/>
      <c r="U328" s="258"/>
      <c r="V328" s="258"/>
      <c r="W328" s="258"/>
      <c r="X328" s="258"/>
      <c r="Y328" s="258"/>
      <c r="Z328" s="258"/>
      <c r="AA328" s="258"/>
      <c r="AB328" s="258"/>
    </row>
    <row r="329" ht="12.75" customHeight="1">
      <c r="A329" s="339">
        <v>44792</v>
      </c>
      <c r="B329" s="340">
        <v>2394</v>
      </c>
      <c r="C329" t="s" s="274">
        <v>206</v>
      </c>
      <c r="D329" t="s" s="276">
        <v>259</v>
      </c>
      <c r="E329" s="277"/>
      <c r="F329" s="278"/>
      <c r="G329" s="277">
        <v>9000</v>
      </c>
      <c r="H329" s="279" cm="1">
        <f t="array" ref="H329">G329/I329</f>
        <v>31.0344827586207</v>
      </c>
      <c r="I329" s="277">
        <v>290</v>
      </c>
      <c r="J329" s="280"/>
      <c r="K329" s="281"/>
      <c r="L329" s="264"/>
      <c r="M329" s="258"/>
      <c r="N329" s="258"/>
      <c r="O329" s="258"/>
      <c r="P329" s="258"/>
      <c r="Q329" s="258"/>
      <c r="R329" s="258"/>
      <c r="S329" s="258"/>
      <c r="T329" s="258"/>
      <c r="U329" s="258"/>
      <c r="V329" s="258"/>
      <c r="W329" s="258"/>
      <c r="X329" s="258"/>
      <c r="Y329" s="258"/>
      <c r="Z329" s="258"/>
      <c r="AA329" s="258"/>
      <c r="AB329" s="258"/>
    </row>
    <row r="330" ht="12.75" customHeight="1">
      <c r="A330" s="338">
        <v>44811</v>
      </c>
      <c r="B330" s="282"/>
      <c r="C330" t="s" s="259">
        <v>1454</v>
      </c>
      <c r="D330" t="s" s="283">
        <v>1477</v>
      </c>
      <c r="E330" s="284"/>
      <c r="F330" s="285"/>
      <c r="G330" s="284">
        <v>70000</v>
      </c>
      <c r="H330" s="286" cm="1">
        <f t="array" ref="H330">G330/I330</f>
        <v>241.379310344828</v>
      </c>
      <c r="I330" s="284">
        <v>290</v>
      </c>
      <c r="J330" s="280"/>
      <c r="K330" s="281"/>
      <c r="L330" s="264"/>
      <c r="M330" s="258"/>
      <c r="N330" s="258"/>
      <c r="O330" s="258"/>
      <c r="P330" s="258"/>
      <c r="Q330" s="258"/>
      <c r="R330" s="258"/>
      <c r="S330" s="258"/>
      <c r="T330" s="258"/>
      <c r="U330" s="258"/>
      <c r="V330" s="258"/>
      <c r="W330" s="258"/>
      <c r="X330" s="258"/>
      <c r="Y330" s="258"/>
      <c r="Z330" s="258"/>
      <c r="AA330" s="258"/>
      <c r="AB330" s="258"/>
    </row>
    <row r="331" ht="12.75" customHeight="1">
      <c r="A331" s="339">
        <v>44817</v>
      </c>
      <c r="B331" s="275"/>
      <c r="C331" t="s" s="274">
        <v>758</v>
      </c>
      <c r="D331" t="s" s="276">
        <v>1459</v>
      </c>
      <c r="E331" s="277"/>
      <c r="F331" s="278"/>
      <c r="G331" s="277">
        <v>2400000</v>
      </c>
      <c r="H331" s="279">
        <v>8800</v>
      </c>
      <c r="I331" s="277">
        <v>273</v>
      </c>
      <c r="J331" s="280"/>
      <c r="K331" s="281"/>
      <c r="L331" s="264"/>
      <c r="M331" s="258"/>
      <c r="N331" s="258"/>
      <c r="O331" s="258"/>
      <c r="P331" s="258"/>
      <c r="Q331" s="258"/>
      <c r="R331" s="258"/>
      <c r="S331" s="258"/>
      <c r="T331" s="258"/>
      <c r="U331" s="258"/>
      <c r="V331" s="258"/>
      <c r="W331" s="258"/>
      <c r="X331" s="258"/>
      <c r="Y331" s="258"/>
      <c r="Z331" s="258"/>
      <c r="AA331" s="258"/>
      <c r="AB331" s="258"/>
    </row>
    <row r="332" ht="12.75" customHeight="1">
      <c r="A332" s="338">
        <v>44826</v>
      </c>
      <c r="B332" s="282"/>
      <c r="C332" t="s" s="259">
        <v>299</v>
      </c>
      <c r="D332" t="s" s="283">
        <v>1478</v>
      </c>
      <c r="E332" s="284"/>
      <c r="F332" s="285"/>
      <c r="G332" s="284">
        <v>131840.8</v>
      </c>
      <c r="H332" s="286">
        <v>455</v>
      </c>
      <c r="I332" s="284" cm="1">
        <f t="array" ref="I332">G332/H332</f>
        <v>289.76</v>
      </c>
      <c r="J332" s="280"/>
      <c r="K332" s="281"/>
      <c r="L332" s="264"/>
      <c r="M332" s="258"/>
      <c r="N332" s="258"/>
      <c r="O332" s="258"/>
      <c r="P332" s="258"/>
      <c r="Q332" s="258"/>
      <c r="R332" s="258"/>
      <c r="S332" s="258"/>
      <c r="T332" s="258"/>
      <c r="U332" s="258"/>
      <c r="V332" s="258"/>
      <c r="W332" s="258"/>
      <c r="X332" s="258"/>
      <c r="Y332" s="258"/>
      <c r="Z332" s="258"/>
      <c r="AA332" s="258"/>
      <c r="AB332" s="258"/>
    </row>
    <row r="333" ht="12.75" customHeight="1">
      <c r="A333" s="339">
        <v>44846</v>
      </c>
      <c r="B333" s="275"/>
      <c r="C333" t="s" s="274">
        <v>758</v>
      </c>
      <c r="D333" t="s" s="276">
        <v>1459</v>
      </c>
      <c r="E333" s="277"/>
      <c r="F333" s="278"/>
      <c r="G333" s="277">
        <v>2600000</v>
      </c>
      <c r="H333" s="279">
        <v>9030</v>
      </c>
      <c r="I333" s="277" cm="1">
        <f t="array" ref="I333">G333/H333</f>
        <v>287.929125138427</v>
      </c>
      <c r="J333" s="280"/>
      <c r="K333" s="281"/>
      <c r="L333" s="264"/>
      <c r="M333" s="258"/>
      <c r="N333" s="258"/>
      <c r="O333" s="258"/>
      <c r="P333" s="258"/>
      <c r="Q333" s="258"/>
      <c r="R333" s="258"/>
      <c r="S333" s="258"/>
      <c r="T333" s="258"/>
      <c r="U333" s="258"/>
      <c r="V333" s="258"/>
      <c r="W333" s="258"/>
      <c r="X333" s="258"/>
      <c r="Y333" s="258"/>
      <c r="Z333" s="258"/>
      <c r="AA333" s="258"/>
      <c r="AB333" s="258"/>
    </row>
    <row r="334" ht="12.75" customHeight="1">
      <c r="A334" s="338">
        <v>44846</v>
      </c>
      <c r="B334" s="282"/>
      <c r="C334" t="s" s="259">
        <v>571</v>
      </c>
      <c r="D334" t="s" s="283">
        <v>748</v>
      </c>
      <c r="E334" s="284"/>
      <c r="F334" s="285"/>
      <c r="G334" s="284">
        <v>1570000</v>
      </c>
      <c r="H334" s="286">
        <v>5452</v>
      </c>
      <c r="I334" s="284" cm="1">
        <f t="array" ref="I334">G334/H334</f>
        <v>287.967718268525</v>
      </c>
      <c r="J334" s="280">
        <v>10000</v>
      </c>
      <c r="K334" s="281"/>
      <c r="L334" s="264"/>
      <c r="M334" s="258"/>
      <c r="N334" s="258"/>
      <c r="O334" s="258"/>
      <c r="P334" s="258"/>
      <c r="Q334" s="258"/>
      <c r="R334" s="258"/>
      <c r="S334" s="258"/>
      <c r="T334" s="258"/>
      <c r="U334" s="258"/>
      <c r="V334" s="258"/>
      <c r="W334" s="258"/>
      <c r="X334" s="258"/>
      <c r="Y334" s="258"/>
      <c r="Z334" s="258"/>
      <c r="AA334" s="258"/>
      <c r="AB334" s="258"/>
    </row>
    <row r="335" ht="12.75" customHeight="1">
      <c r="A335" s="341">
        <v>44846</v>
      </c>
      <c r="B335" s="275"/>
      <c r="C335" t="s" s="274">
        <v>1454</v>
      </c>
      <c r="D335" t="s" s="276">
        <v>1479</v>
      </c>
      <c r="E335" s="277"/>
      <c r="F335" s="278"/>
      <c r="G335" s="277">
        <v>70000</v>
      </c>
      <c r="H335" s="279" cm="1">
        <f t="array" ref="H335">G335/I335</f>
        <v>243.055555555556</v>
      </c>
      <c r="I335" s="277">
        <v>288</v>
      </c>
      <c r="J335" s="280"/>
      <c r="K335" s="281"/>
      <c r="L335" s="264"/>
      <c r="M335" s="258"/>
      <c r="N335" s="258"/>
      <c r="O335" s="258"/>
      <c r="P335" s="258"/>
      <c r="Q335" s="258"/>
      <c r="R335" s="258"/>
      <c r="S335" s="258"/>
      <c r="T335" s="258"/>
      <c r="U335" s="258"/>
      <c r="V335" s="258"/>
      <c r="W335" s="258"/>
      <c r="X335" s="258"/>
      <c r="Y335" s="258"/>
      <c r="Z335" s="258"/>
      <c r="AA335" s="258"/>
      <c r="AB335" s="258"/>
    </row>
    <row r="336" ht="12.75" customHeight="1">
      <c r="A336" s="338">
        <v>44862</v>
      </c>
      <c r="B336" s="342">
        <v>2551</v>
      </c>
      <c r="C336" t="s" s="259">
        <v>206</v>
      </c>
      <c r="D336" t="s" s="283">
        <v>1442</v>
      </c>
      <c r="E336" s="284"/>
      <c r="F336" s="285"/>
      <c r="G336" s="284">
        <v>6300</v>
      </c>
      <c r="H336" s="286" cm="1">
        <f t="array" ref="H336">G336/I336</f>
        <v>21.7241379310345</v>
      </c>
      <c r="I336" s="284">
        <v>290</v>
      </c>
      <c r="J336" s="280"/>
      <c r="K336" s="281"/>
      <c r="L336" s="264"/>
      <c r="M336" s="258"/>
      <c r="N336" s="258"/>
      <c r="O336" s="258"/>
      <c r="P336" s="258"/>
      <c r="Q336" s="258"/>
      <c r="R336" s="258"/>
      <c r="S336" s="258"/>
      <c r="T336" s="258"/>
      <c r="U336" s="258"/>
      <c r="V336" s="258"/>
      <c r="W336" s="258"/>
      <c r="X336" s="258"/>
      <c r="Y336" s="258"/>
      <c r="Z336" s="258"/>
      <c r="AA336" s="258"/>
      <c r="AB336" s="258"/>
    </row>
    <row r="337" ht="12.75" customHeight="1">
      <c r="A337" s="339">
        <v>44874</v>
      </c>
      <c r="B337" s="275"/>
      <c r="C337" t="s" s="274">
        <v>1454</v>
      </c>
      <c r="D337" t="s" s="276">
        <v>1480</v>
      </c>
      <c r="E337" s="277"/>
      <c r="F337" s="278"/>
      <c r="G337" s="277">
        <v>70000</v>
      </c>
      <c r="H337" s="279" cm="1">
        <f t="array" ref="H337">G337/I337</f>
        <v>241.379310344828</v>
      </c>
      <c r="I337" s="277">
        <v>290</v>
      </c>
      <c r="J337" s="280"/>
      <c r="K337" s="281"/>
      <c r="L337" s="264"/>
      <c r="M337" s="258"/>
      <c r="N337" s="258"/>
      <c r="O337" s="258"/>
      <c r="P337" s="258"/>
      <c r="Q337" s="258"/>
      <c r="R337" s="258"/>
      <c r="S337" s="258"/>
      <c r="T337" s="258"/>
      <c r="U337" s="258"/>
      <c r="V337" s="258"/>
      <c r="W337" s="258"/>
      <c r="X337" s="258"/>
      <c r="Y337" s="258"/>
      <c r="Z337" s="258"/>
      <c r="AA337" s="258"/>
      <c r="AB337" s="258"/>
    </row>
    <row r="338" ht="12.75" customHeight="1">
      <c r="A338" s="343">
        <v>44883</v>
      </c>
      <c r="B338" s="282"/>
      <c r="C338" t="s" s="259">
        <v>758</v>
      </c>
      <c r="D338" t="s" s="283">
        <v>1459</v>
      </c>
      <c r="E338" s="284"/>
      <c r="F338" s="285"/>
      <c r="G338" s="284">
        <v>2500000</v>
      </c>
      <c r="H338" s="286">
        <v>7860</v>
      </c>
      <c r="I338" s="284" cm="1">
        <f t="array" ref="I338">G338/H338</f>
        <v>318.066157760814</v>
      </c>
      <c r="J338" s="280"/>
      <c r="K338" s="281"/>
      <c r="L338" s="264"/>
      <c r="M338" s="258"/>
      <c r="N338" s="258"/>
      <c r="O338" s="258"/>
      <c r="P338" s="258"/>
      <c r="Q338" s="258"/>
      <c r="R338" s="258"/>
      <c r="S338" s="258"/>
      <c r="T338" s="258"/>
      <c r="U338" s="258"/>
      <c r="V338" s="258"/>
      <c r="W338" s="258"/>
      <c r="X338" s="258"/>
      <c r="Y338" s="258"/>
      <c r="Z338" s="258"/>
      <c r="AA338" s="258"/>
      <c r="AB338" s="258"/>
    </row>
    <row r="339" ht="12.75" customHeight="1">
      <c r="A339" s="339">
        <v>44890</v>
      </c>
      <c r="B339" s="275"/>
      <c r="C339" t="s" s="274">
        <v>571</v>
      </c>
      <c r="D339" t="s" s="276">
        <v>748</v>
      </c>
      <c r="E339" s="277"/>
      <c r="F339" s="278"/>
      <c r="G339" s="277">
        <v>1700000</v>
      </c>
      <c r="H339" s="279">
        <v>5400</v>
      </c>
      <c r="I339" s="277" cm="1">
        <f t="array" ref="I339">G339/H339</f>
        <v>314.814814814815</v>
      </c>
      <c r="J339" s="280"/>
      <c r="K339" s="281"/>
      <c r="L339" s="264"/>
      <c r="M339" s="258"/>
      <c r="N339" s="258"/>
      <c r="O339" s="258"/>
      <c r="P339" s="258"/>
      <c r="Q339" s="258"/>
      <c r="R339" s="258"/>
      <c r="S339" s="258"/>
      <c r="T339" s="258"/>
      <c r="U339" s="258"/>
      <c r="V339" s="258"/>
      <c r="W339" s="258"/>
      <c r="X339" s="258"/>
      <c r="Y339" s="258"/>
      <c r="Z339" s="258"/>
      <c r="AA339" s="258"/>
      <c r="AB339" s="258"/>
    </row>
    <row r="340" ht="12.75" customHeight="1">
      <c r="A340" s="338">
        <v>44893</v>
      </c>
      <c r="B340" s="282"/>
      <c r="C340" t="s" s="259">
        <v>299</v>
      </c>
      <c r="D340" t="s" s="283">
        <v>1481</v>
      </c>
      <c r="E340" s="284"/>
      <c r="F340" s="285"/>
      <c r="G340" s="284">
        <v>432600</v>
      </c>
      <c r="H340" s="286">
        <v>1400</v>
      </c>
      <c r="I340" s="284" cm="1">
        <f t="array" ref="I340">G340/H340</f>
        <v>309</v>
      </c>
      <c r="J340" s="280"/>
      <c r="K340" s="281"/>
      <c r="L340" s="264"/>
      <c r="M340" s="258"/>
      <c r="N340" s="258"/>
      <c r="O340" s="258"/>
      <c r="P340" s="258"/>
      <c r="Q340" s="258"/>
      <c r="R340" s="258"/>
      <c r="S340" s="258"/>
      <c r="T340" s="258"/>
      <c r="U340" s="258"/>
      <c r="V340" s="258"/>
      <c r="W340" s="258"/>
      <c r="X340" s="258"/>
      <c r="Y340" s="258"/>
      <c r="Z340" s="258"/>
      <c r="AA340" s="258"/>
      <c r="AB340" s="258"/>
    </row>
    <row r="341" ht="12.75" customHeight="1">
      <c r="A341" s="339">
        <v>44902</v>
      </c>
      <c r="B341" s="275"/>
      <c r="C341" t="s" s="274">
        <v>1454</v>
      </c>
      <c r="D341" t="s" s="276">
        <v>1482</v>
      </c>
      <c r="E341" s="277"/>
      <c r="F341" s="278"/>
      <c r="G341" s="277">
        <v>70000</v>
      </c>
      <c r="H341" s="279" cm="1">
        <f t="array" ref="H341">G341/I341</f>
        <v>222.222222222222</v>
      </c>
      <c r="I341" s="277">
        <v>315</v>
      </c>
      <c r="J341" s="280"/>
      <c r="K341" s="281"/>
      <c r="L341" s="264"/>
      <c r="M341" s="258"/>
      <c r="N341" s="258"/>
      <c r="O341" s="258"/>
      <c r="P341" s="258"/>
      <c r="Q341" s="258"/>
      <c r="R341" s="258"/>
      <c r="S341" s="258"/>
      <c r="T341" s="258"/>
      <c r="U341" s="258"/>
      <c r="V341" s="258"/>
      <c r="W341" s="258"/>
      <c r="X341" s="258"/>
      <c r="Y341" s="258"/>
      <c r="Z341" s="258"/>
      <c r="AA341" s="258"/>
      <c r="AB341" s="258"/>
    </row>
    <row r="342" ht="12.75" customHeight="1">
      <c r="A342" s="338">
        <v>44932</v>
      </c>
      <c r="B342" s="282"/>
      <c r="C342" t="s" s="259">
        <v>1454</v>
      </c>
      <c r="D342" t="s" s="283">
        <v>1483</v>
      </c>
      <c r="E342" s="284"/>
      <c r="F342" s="285"/>
      <c r="G342" s="284">
        <v>70000</v>
      </c>
      <c r="H342" s="286" cm="1">
        <f t="array" ref="H342">G342/I342</f>
        <v>200</v>
      </c>
      <c r="I342" s="284">
        <v>350</v>
      </c>
      <c r="J342" s="280"/>
      <c r="K342" s="281"/>
      <c r="L342" s="264"/>
      <c r="M342" s="258"/>
      <c r="N342" s="258"/>
      <c r="O342" s="258"/>
      <c r="P342" s="258"/>
      <c r="Q342" s="258"/>
      <c r="R342" s="258"/>
      <c r="S342" s="258"/>
      <c r="T342" s="258"/>
      <c r="U342" s="258"/>
      <c r="V342" s="258"/>
      <c r="W342" s="258"/>
      <c r="X342" s="258"/>
      <c r="Y342" s="258"/>
      <c r="Z342" s="258"/>
      <c r="AA342" s="258"/>
      <c r="AB342" s="258"/>
    </row>
    <row r="343" ht="12.75" customHeight="1">
      <c r="A343" s="339">
        <v>44957</v>
      </c>
      <c r="B343" s="275"/>
      <c r="C343" t="s" s="274">
        <v>571</v>
      </c>
      <c r="D343" t="s" s="276">
        <v>748</v>
      </c>
      <c r="E343" s="277"/>
      <c r="F343" s="278"/>
      <c r="G343" s="277">
        <v>1930000</v>
      </c>
      <c r="H343" s="279" cm="1">
        <f t="array" ref="H343">G343/I343</f>
        <v>5078.947368421050</v>
      </c>
      <c r="I343" s="277">
        <v>380</v>
      </c>
      <c r="J343" s="280"/>
      <c r="K343" s="281"/>
      <c r="L343" s="264"/>
      <c r="M343" s="258"/>
      <c r="N343" s="258"/>
      <c r="O343" s="258"/>
      <c r="P343" s="258"/>
      <c r="Q343" s="258"/>
      <c r="R343" s="258"/>
      <c r="S343" s="258"/>
      <c r="T343" s="258"/>
      <c r="U343" s="258"/>
      <c r="V343" s="258"/>
      <c r="W343" s="258"/>
      <c r="X343" s="258"/>
      <c r="Y343" s="258"/>
      <c r="Z343" s="258"/>
      <c r="AA343" s="258"/>
      <c r="AB343" s="258"/>
    </row>
    <row r="344" ht="12.75" customHeight="1">
      <c r="A344" s="338">
        <v>44967</v>
      </c>
      <c r="B344" s="282"/>
      <c r="C344" t="s" s="259">
        <v>1454</v>
      </c>
      <c r="D344" t="s" s="283">
        <v>1484</v>
      </c>
      <c r="E344" s="284"/>
      <c r="F344" s="285"/>
      <c r="G344" s="284">
        <v>120000</v>
      </c>
      <c r="H344" s="286" cm="1">
        <f t="array" ref="H344">G344/I344</f>
        <v>315.789473684211</v>
      </c>
      <c r="I344" s="284" cm="1">
        <f t="array" ref="I344">I343</f>
        <v>380</v>
      </c>
      <c r="J344" s="280"/>
      <c r="K344" s="281"/>
      <c r="L344" s="264"/>
      <c r="M344" s="258"/>
      <c r="N344" s="258"/>
      <c r="O344" s="258"/>
      <c r="P344" s="258"/>
      <c r="Q344" s="258"/>
      <c r="R344" s="258"/>
      <c r="S344" s="258"/>
      <c r="T344" s="258"/>
      <c r="U344" s="258"/>
      <c r="V344" s="258"/>
      <c r="W344" s="258"/>
      <c r="X344" s="258"/>
      <c r="Y344" s="258"/>
      <c r="Z344" s="258"/>
      <c r="AA344" s="258"/>
      <c r="AB344" s="258"/>
    </row>
    <row r="345" ht="12.75" customHeight="1">
      <c r="A345" s="339">
        <v>44967</v>
      </c>
      <c r="B345" s="275"/>
      <c r="C345" t="s" s="274">
        <v>278</v>
      </c>
      <c r="D345" t="s" s="276">
        <v>247</v>
      </c>
      <c r="E345" s="277"/>
      <c r="F345" s="278"/>
      <c r="G345" s="277">
        <v>6000</v>
      </c>
      <c r="H345" s="279" cm="1">
        <f t="array" ref="H345">G345/I345</f>
        <v>15.7894736842105</v>
      </c>
      <c r="I345" s="277">
        <v>380</v>
      </c>
      <c r="J345" s="280"/>
      <c r="K345" s="281"/>
      <c r="L345" s="264"/>
      <c r="M345" s="258"/>
      <c r="N345" s="258"/>
      <c r="O345" s="258"/>
      <c r="P345" s="258"/>
      <c r="Q345" s="258"/>
      <c r="R345" s="258"/>
      <c r="S345" s="258"/>
      <c r="T345" s="258"/>
      <c r="U345" s="258"/>
      <c r="V345" s="258"/>
      <c r="W345" s="258"/>
      <c r="X345" s="258"/>
      <c r="Y345" s="258"/>
      <c r="Z345" s="258"/>
      <c r="AA345" s="258"/>
      <c r="AB345" s="258"/>
    </row>
    <row r="346" ht="12.75" customHeight="1">
      <c r="A346" s="338">
        <v>45009</v>
      </c>
      <c r="B346" s="282"/>
      <c r="C346" t="s" s="259">
        <v>756</v>
      </c>
      <c r="D346" t="s" s="283">
        <v>1485</v>
      </c>
      <c r="E346" s="284">
        <v>200000</v>
      </c>
      <c r="F346" s="285" cm="1">
        <f t="array" ref="F346">E346/I346</f>
        <v>516.795865633075</v>
      </c>
      <c r="G346" s="284"/>
      <c r="H346" s="286"/>
      <c r="I346" s="284">
        <v>387</v>
      </c>
      <c r="J346" s="280"/>
      <c r="K346" s="281"/>
      <c r="L346" s="264"/>
      <c r="M346" s="258"/>
      <c r="N346" s="258"/>
      <c r="O346" s="258"/>
      <c r="P346" s="258"/>
      <c r="Q346" s="258"/>
      <c r="R346" s="258"/>
      <c r="S346" s="258"/>
      <c r="T346" s="258"/>
      <c r="U346" s="258"/>
      <c r="V346" s="258"/>
      <c r="W346" s="258"/>
      <c r="X346" s="258"/>
      <c r="Y346" s="258"/>
      <c r="Z346" s="258"/>
      <c r="AA346" s="258"/>
      <c r="AB346" s="258"/>
    </row>
    <row r="347" ht="12.75" customHeight="1">
      <c r="A347" s="339">
        <v>45009</v>
      </c>
      <c r="B347" s="275"/>
      <c r="C347" t="s" s="274">
        <v>1486</v>
      </c>
      <c r="D347" t="s" s="276">
        <v>1487</v>
      </c>
      <c r="E347" s="277"/>
      <c r="F347" s="278"/>
      <c r="G347" s="277">
        <v>25000</v>
      </c>
      <c r="H347" s="279" cm="1">
        <f t="array" ref="H347">G347/I347</f>
        <v>64.5994832041344</v>
      </c>
      <c r="I347" s="277">
        <v>387</v>
      </c>
      <c r="J347" s="280"/>
      <c r="K347" s="281"/>
      <c r="L347" s="264"/>
      <c r="M347" s="258"/>
      <c r="N347" s="258"/>
      <c r="O347" s="258"/>
      <c r="P347" s="258"/>
      <c r="Q347" s="258"/>
      <c r="R347" s="258"/>
      <c r="S347" s="258"/>
      <c r="T347" s="258"/>
      <c r="U347" s="258"/>
      <c r="V347" s="258"/>
      <c r="W347" s="258"/>
      <c r="X347" s="258"/>
      <c r="Y347" s="258"/>
      <c r="Z347" s="258"/>
      <c r="AA347" s="258"/>
      <c r="AB347" s="258"/>
    </row>
    <row r="348" ht="12.75" customHeight="1">
      <c r="A348" s="338">
        <v>45020</v>
      </c>
      <c r="B348" s="282"/>
      <c r="C348" t="s" s="259">
        <v>1454</v>
      </c>
      <c r="D348" t="s" s="283">
        <v>834</v>
      </c>
      <c r="E348" s="284"/>
      <c r="F348" s="285"/>
      <c r="G348" s="284">
        <v>120000</v>
      </c>
      <c r="H348" s="286" cm="1">
        <f t="array" ref="H348">G348/I348</f>
        <v>307.692307692308</v>
      </c>
      <c r="I348" s="284">
        <v>390</v>
      </c>
      <c r="J348" s="280"/>
      <c r="K348" s="281"/>
      <c r="L348" s="264"/>
      <c r="M348" s="258"/>
      <c r="N348" s="258"/>
      <c r="O348" s="258"/>
      <c r="P348" s="258"/>
      <c r="Q348" s="258"/>
      <c r="R348" s="258"/>
      <c r="S348" s="258"/>
      <c r="T348" s="258"/>
      <c r="U348" s="258"/>
      <c r="V348" s="258"/>
      <c r="W348" s="258"/>
      <c r="X348" s="258"/>
      <c r="Y348" s="258"/>
      <c r="Z348" s="258"/>
      <c r="AA348" s="258"/>
      <c r="AB348" s="258"/>
    </row>
    <row r="349" ht="12.75" customHeight="1">
      <c r="A349" s="339">
        <v>45055</v>
      </c>
      <c r="B349" s="275"/>
      <c r="C349" t="s" s="274">
        <v>278</v>
      </c>
      <c r="D349" t="s" s="276">
        <v>247</v>
      </c>
      <c r="E349" s="277"/>
      <c r="F349" s="278"/>
      <c r="G349" s="277">
        <v>16000</v>
      </c>
      <c r="H349" s="279" cm="1">
        <f t="array" ref="H349">G349/I349</f>
        <v>34.2612419700214</v>
      </c>
      <c r="I349" s="277">
        <v>467</v>
      </c>
      <c r="J349" s="280"/>
      <c r="K349" s="281"/>
      <c r="L349" s="264"/>
      <c r="M349" s="258"/>
      <c r="N349" s="258"/>
      <c r="O349" s="258"/>
      <c r="P349" s="258"/>
      <c r="Q349" s="258"/>
      <c r="R349" s="258"/>
      <c r="S349" s="258"/>
      <c r="T349" s="258"/>
      <c r="U349" s="258"/>
      <c r="V349" s="258"/>
      <c r="W349" s="258"/>
      <c r="X349" s="258"/>
      <c r="Y349" s="258"/>
      <c r="Z349" s="258"/>
      <c r="AA349" s="258"/>
      <c r="AB349" s="258"/>
    </row>
    <row r="350" ht="12.75" customHeight="1">
      <c r="A350" s="338">
        <v>45055</v>
      </c>
      <c r="B350" s="282"/>
      <c r="C350" t="s" s="259">
        <v>1454</v>
      </c>
      <c r="D350" t="s" s="283">
        <v>1488</v>
      </c>
      <c r="E350" s="284"/>
      <c r="F350" s="285"/>
      <c r="G350" s="284">
        <v>140000</v>
      </c>
      <c r="H350" s="286" cm="1">
        <f t="array" ref="H350">G350/I350</f>
        <v>299.785867237687</v>
      </c>
      <c r="I350" s="284">
        <v>467</v>
      </c>
      <c r="J350" s="280"/>
      <c r="K350" s="281"/>
      <c r="L350" s="264"/>
      <c r="M350" s="258"/>
      <c r="N350" s="258"/>
      <c r="O350" s="258"/>
      <c r="P350" s="258"/>
      <c r="Q350" s="258"/>
      <c r="R350" s="258"/>
      <c r="S350" s="258"/>
      <c r="T350" s="258"/>
      <c r="U350" s="258"/>
      <c r="V350" s="258"/>
      <c r="W350" s="258"/>
      <c r="X350" s="258"/>
      <c r="Y350" s="258"/>
      <c r="Z350" s="258"/>
      <c r="AA350" s="258"/>
      <c r="AB350" s="258"/>
    </row>
    <row r="351" ht="12.75" customHeight="1">
      <c r="A351" s="339">
        <v>45064</v>
      </c>
      <c r="B351" s="275"/>
      <c r="C351" t="s" s="274">
        <v>1146</v>
      </c>
      <c r="D351" t="s" s="276">
        <v>1489</v>
      </c>
      <c r="E351" s="277"/>
      <c r="F351" s="278"/>
      <c r="G351" s="277">
        <v>1738800</v>
      </c>
      <c r="H351" s="279">
        <v>3600</v>
      </c>
      <c r="I351" s="277">
        <v>483</v>
      </c>
      <c r="J351" s="280"/>
      <c r="K351" s="281"/>
      <c r="L351" s="264"/>
      <c r="M351" s="258"/>
      <c r="N351" s="258"/>
      <c r="O351" s="258"/>
      <c r="P351" s="258"/>
      <c r="Q351" s="258"/>
      <c r="R351" s="258"/>
      <c r="S351" s="258"/>
      <c r="T351" s="258"/>
      <c r="U351" s="258"/>
      <c r="V351" s="258"/>
      <c r="W351" s="258"/>
      <c r="X351" s="258"/>
      <c r="Y351" s="258"/>
      <c r="Z351" s="258"/>
      <c r="AA351" s="258"/>
      <c r="AB351" s="258"/>
    </row>
    <row r="352" ht="12.75" customHeight="1">
      <c r="A352" s="338">
        <v>45065</v>
      </c>
      <c r="B352" s="282"/>
      <c r="C352" t="s" s="259">
        <v>849</v>
      </c>
      <c r="D352" t="s" s="283">
        <v>1490</v>
      </c>
      <c r="E352" s="284"/>
      <c r="F352" s="285"/>
      <c r="G352" s="284">
        <v>18887700</v>
      </c>
      <c r="H352" s="286">
        <v>38900</v>
      </c>
      <c r="I352" s="284">
        <v>485</v>
      </c>
      <c r="J352" s="280"/>
      <c r="K352" s="281"/>
      <c r="L352" s="264"/>
      <c r="M352" s="258"/>
      <c r="N352" s="258"/>
      <c r="O352" s="258"/>
      <c r="P352" s="258"/>
      <c r="Q352" s="258"/>
      <c r="R352" s="258"/>
      <c r="S352" s="258"/>
      <c r="T352" s="258"/>
      <c r="U352" s="258"/>
      <c r="V352" s="258"/>
      <c r="W352" s="258"/>
      <c r="X352" s="258"/>
      <c r="Y352" s="258"/>
      <c r="Z352" s="258"/>
      <c r="AA352" s="258"/>
      <c r="AB352" s="258"/>
    </row>
    <row r="353" ht="12.75" customHeight="1">
      <c r="A353" s="339">
        <v>45072</v>
      </c>
      <c r="B353" s="275"/>
      <c r="C353" s="295"/>
      <c r="D353" t="s" s="276">
        <v>1491</v>
      </c>
      <c r="E353" s="277"/>
      <c r="F353" s="278"/>
      <c r="G353" s="277">
        <v>12540</v>
      </c>
      <c r="H353" s="279" cm="1">
        <f t="array" ref="H353">G353/I353</f>
        <v>25.5918367346939</v>
      </c>
      <c r="I353" s="277">
        <v>490</v>
      </c>
      <c r="J353" s="280"/>
      <c r="K353" s="281"/>
      <c r="L353" s="264"/>
      <c r="M353" s="258"/>
      <c r="N353" s="258"/>
      <c r="O353" s="258"/>
      <c r="P353" s="258"/>
      <c r="Q353" s="258"/>
      <c r="R353" s="258"/>
      <c r="S353" s="258"/>
      <c r="T353" s="258"/>
      <c r="U353" s="258"/>
      <c r="V353" s="258"/>
      <c r="W353" s="258"/>
      <c r="X353" s="258"/>
      <c r="Y353" s="258"/>
      <c r="Z353" s="258"/>
      <c r="AA353" s="258"/>
      <c r="AB353" s="258"/>
    </row>
    <row r="354" ht="12.75" customHeight="1">
      <c r="A354" s="338">
        <v>45085</v>
      </c>
      <c r="B354" s="282"/>
      <c r="C354" t="s" s="259">
        <v>1454</v>
      </c>
      <c r="D354" t="s" s="283">
        <v>1492</v>
      </c>
      <c r="E354" s="284"/>
      <c r="F354" s="285"/>
      <c r="G354" s="284">
        <v>150000</v>
      </c>
      <c r="H354" s="286" cm="1">
        <f t="array" ref="H354">G354/I354</f>
        <v>312.5</v>
      </c>
      <c r="I354" s="284">
        <v>480</v>
      </c>
      <c r="J354" s="280"/>
      <c r="K354" s="281"/>
      <c r="L354" s="264"/>
      <c r="M354" s="258"/>
      <c r="N354" s="258"/>
      <c r="O354" s="258"/>
      <c r="P354" s="258"/>
      <c r="Q354" s="258"/>
      <c r="R354" s="258"/>
      <c r="S354" s="258"/>
      <c r="T354" s="258"/>
      <c r="U354" s="258"/>
      <c r="V354" s="258"/>
      <c r="W354" s="258"/>
      <c r="X354" s="258"/>
      <c r="Y354" s="258"/>
      <c r="Z354" s="258"/>
      <c r="AA354" s="258"/>
      <c r="AB354" s="258"/>
    </row>
    <row r="355" ht="12.75" customHeight="1">
      <c r="A355" s="339">
        <v>45092</v>
      </c>
      <c r="B355" s="275"/>
      <c r="C355" s="295"/>
      <c r="D355" t="s" s="276">
        <v>1493</v>
      </c>
      <c r="E355" s="277"/>
      <c r="F355" s="278"/>
      <c r="G355" s="277">
        <v>35000</v>
      </c>
      <c r="H355" s="279" cm="1">
        <f t="array" ref="H355">G355/I355</f>
        <v>72.1649484536082</v>
      </c>
      <c r="I355" s="277">
        <v>485</v>
      </c>
      <c r="J355" s="280"/>
      <c r="K355" s="281"/>
      <c r="L355" s="264"/>
      <c r="M355" s="258"/>
      <c r="N355" s="258"/>
      <c r="O355" s="258"/>
      <c r="P355" s="258"/>
      <c r="Q355" s="258"/>
      <c r="R355" s="258"/>
      <c r="S355" s="258"/>
      <c r="T355" s="258"/>
      <c r="U355" s="258"/>
      <c r="V355" s="258"/>
      <c r="W355" s="258"/>
      <c r="X355" s="258"/>
      <c r="Y355" s="258"/>
      <c r="Z355" s="258"/>
      <c r="AA355" s="258"/>
      <c r="AB355" s="258"/>
    </row>
    <row r="356" ht="12.75" customHeight="1">
      <c r="A356" s="338">
        <v>45113</v>
      </c>
      <c r="B356" s="282"/>
      <c r="C356" t="s" s="259">
        <v>1454</v>
      </c>
      <c r="D356" t="s" s="283">
        <v>1494</v>
      </c>
      <c r="E356" s="284"/>
      <c r="F356" s="285"/>
      <c r="G356" s="284">
        <v>225000</v>
      </c>
      <c r="H356" s="286" cm="1">
        <f t="array" ref="H356">G356/I356</f>
        <v>459.183673469388</v>
      </c>
      <c r="I356" s="284">
        <v>490</v>
      </c>
      <c r="J356" s="280"/>
      <c r="K356" s="281"/>
      <c r="L356" s="264"/>
      <c r="M356" s="258"/>
      <c r="N356" s="258"/>
      <c r="O356" s="258"/>
      <c r="P356" s="258"/>
      <c r="Q356" s="258"/>
      <c r="R356" s="258"/>
      <c r="S356" s="258"/>
      <c r="T356" s="258"/>
      <c r="U356" s="258"/>
      <c r="V356" s="258"/>
      <c r="W356" s="258"/>
      <c r="X356" s="258"/>
      <c r="Y356" s="258"/>
      <c r="Z356" s="258"/>
      <c r="AA356" s="258"/>
      <c r="AB356" s="258"/>
    </row>
    <row r="357" ht="12.75" customHeight="1">
      <c r="A357" s="339">
        <v>45121</v>
      </c>
      <c r="B357" s="275"/>
      <c r="C357" t="s" s="274">
        <v>1495</v>
      </c>
      <c r="D357" t="s" s="276">
        <v>1496</v>
      </c>
      <c r="E357" s="277"/>
      <c r="F357" s="278"/>
      <c r="G357" s="277">
        <v>36800</v>
      </c>
      <c r="H357" s="279" cm="1">
        <f t="array" ref="H357">G357/I357</f>
        <v>73.59999999999999</v>
      </c>
      <c r="I357" s="277">
        <v>500</v>
      </c>
      <c r="J357" s="280"/>
      <c r="K357" s="281"/>
      <c r="L357" s="264"/>
      <c r="M357" s="258"/>
      <c r="N357" s="258"/>
      <c r="O357" s="258"/>
      <c r="P357" s="258"/>
      <c r="Q357" s="258"/>
      <c r="R357" s="258"/>
      <c r="S357" s="258"/>
      <c r="T357" s="258"/>
      <c r="U357" s="258"/>
      <c r="V357" s="258"/>
      <c r="W357" s="258"/>
      <c r="X357" s="258"/>
      <c r="Y357" s="258"/>
      <c r="Z357" s="258"/>
      <c r="AA357" s="258"/>
      <c r="AB357" s="258"/>
    </row>
    <row r="358" ht="12.75" customHeight="1">
      <c r="A358" s="338">
        <v>45127</v>
      </c>
      <c r="B358" s="282"/>
      <c r="C358" t="s" s="259">
        <v>1495</v>
      </c>
      <c r="D358" t="s" s="283">
        <v>1497</v>
      </c>
      <c r="E358" s="284"/>
      <c r="F358" s="285"/>
      <c r="G358" s="284">
        <v>8000</v>
      </c>
      <c r="H358" s="286" cm="1">
        <f t="array" ref="H358">G358/I358</f>
        <v>15.3846153846154</v>
      </c>
      <c r="I358" s="284">
        <v>520</v>
      </c>
      <c r="J358" s="280"/>
      <c r="K358" s="281"/>
      <c r="L358" s="264"/>
      <c r="M358" s="258"/>
      <c r="N358" s="258"/>
      <c r="O358" s="258"/>
      <c r="P358" s="258"/>
      <c r="Q358" s="258"/>
      <c r="R358" s="258"/>
      <c r="S358" s="258"/>
      <c r="T358" s="258"/>
      <c r="U358" s="258"/>
      <c r="V358" s="258"/>
      <c r="W358" s="258"/>
      <c r="X358" s="258"/>
      <c r="Y358" s="258"/>
      <c r="Z358" s="258"/>
      <c r="AA358" s="258"/>
      <c r="AB358" s="258"/>
    </row>
    <row r="359" ht="12.75" customHeight="1">
      <c r="A359" s="339">
        <v>45128</v>
      </c>
      <c r="B359" s="275"/>
      <c r="C359" t="s" s="274">
        <v>1498</v>
      </c>
      <c r="D359" t="s" s="276">
        <v>1499</v>
      </c>
      <c r="E359" s="277"/>
      <c r="F359" s="278"/>
      <c r="G359" s="277">
        <v>41200</v>
      </c>
      <c r="H359" s="279">
        <v>78</v>
      </c>
      <c r="I359" s="277">
        <v>529</v>
      </c>
      <c r="J359" s="280"/>
      <c r="K359" s="281"/>
      <c r="L359" s="264"/>
      <c r="M359" s="258"/>
      <c r="N359" s="258"/>
      <c r="O359" s="258"/>
      <c r="P359" s="258"/>
      <c r="Q359" s="258"/>
      <c r="R359" s="258"/>
      <c r="S359" s="258"/>
      <c r="T359" s="258"/>
      <c r="U359" s="258"/>
      <c r="V359" s="258"/>
      <c r="W359" s="258"/>
      <c r="X359" s="258"/>
      <c r="Y359" s="258"/>
      <c r="Z359" s="258"/>
      <c r="AA359" s="258"/>
      <c r="AB359" s="258"/>
    </row>
    <row r="360" ht="12.75" customHeight="1">
      <c r="A360" s="338">
        <v>45140</v>
      </c>
      <c r="B360" s="282"/>
      <c r="C360" t="s" s="259">
        <v>1500</v>
      </c>
      <c r="D360" t="s" s="283">
        <v>1501</v>
      </c>
      <c r="E360" s="284"/>
      <c r="F360" s="285"/>
      <c r="G360" s="284">
        <v>38700</v>
      </c>
      <c r="H360" s="286" cm="1">
        <f t="array" ref="H360">G360/I360</f>
        <v>69.1071428571429</v>
      </c>
      <c r="I360" s="284">
        <v>560</v>
      </c>
      <c r="J360" s="280"/>
      <c r="K360" s="281"/>
      <c r="L360" s="264"/>
      <c r="M360" s="258"/>
      <c r="N360" s="258"/>
      <c r="O360" s="258"/>
      <c r="P360" s="258"/>
      <c r="Q360" s="258"/>
      <c r="R360" s="258"/>
      <c r="S360" s="258"/>
      <c r="T360" s="258"/>
      <c r="U360" s="258"/>
      <c r="V360" s="258"/>
      <c r="W360" s="258"/>
      <c r="X360" s="258"/>
      <c r="Y360" s="258"/>
      <c r="Z360" s="258"/>
      <c r="AA360" s="258"/>
      <c r="AB360" s="258"/>
    </row>
    <row r="361" ht="12.75" customHeight="1">
      <c r="A361" s="339">
        <v>45141</v>
      </c>
      <c r="B361" s="275"/>
      <c r="C361" t="s" s="274">
        <v>1454</v>
      </c>
      <c r="D361" t="s" s="276">
        <v>1502</v>
      </c>
      <c r="E361" s="277"/>
      <c r="F361" s="278"/>
      <c r="G361" s="277">
        <v>160000</v>
      </c>
      <c r="H361" s="279" cm="1">
        <f t="array" ref="H361">G361/I361</f>
        <v>285.714285714286</v>
      </c>
      <c r="I361" s="277">
        <v>560</v>
      </c>
      <c r="J361" s="280"/>
      <c r="K361" s="281"/>
      <c r="L361" s="264"/>
      <c r="M361" s="258"/>
      <c r="N361" s="258"/>
      <c r="O361" s="258"/>
      <c r="P361" s="258"/>
      <c r="Q361" s="258"/>
      <c r="R361" s="258"/>
      <c r="S361" s="258"/>
      <c r="T361" s="258"/>
      <c r="U361" s="258"/>
      <c r="V361" s="258"/>
      <c r="W361" s="258"/>
      <c r="X361" s="258"/>
      <c r="Y361" s="258"/>
      <c r="Z361" s="258"/>
      <c r="AA361" s="258"/>
      <c r="AB361" s="258"/>
    </row>
    <row r="362" ht="12.75" customHeight="1">
      <c r="A362" s="338">
        <v>45147</v>
      </c>
      <c r="B362" s="282"/>
      <c r="C362" t="s" s="259">
        <v>1503</v>
      </c>
      <c r="D362" t="s" s="283">
        <v>1504</v>
      </c>
      <c r="E362" s="284"/>
      <c r="F362" s="285"/>
      <c r="G362" s="284">
        <v>11500</v>
      </c>
      <c r="H362" s="286" cm="1">
        <f t="array" ref="H362">G362/I362</f>
        <v>19.1666666666667</v>
      </c>
      <c r="I362" s="284">
        <v>600</v>
      </c>
      <c r="J362" s="280"/>
      <c r="K362" s="281"/>
      <c r="L362" s="264"/>
      <c r="M362" s="258"/>
      <c r="N362" s="258"/>
      <c r="O362" s="258"/>
      <c r="P362" s="258"/>
      <c r="Q362" s="258"/>
      <c r="R362" s="258"/>
      <c r="S362" s="258"/>
      <c r="T362" s="258"/>
      <c r="U362" s="258"/>
      <c r="V362" s="258"/>
      <c r="W362" s="258"/>
      <c r="X362" s="258"/>
      <c r="Y362" s="258"/>
      <c r="Z362" s="258"/>
      <c r="AA362" s="258"/>
      <c r="AB362" s="258"/>
    </row>
    <row r="363" ht="12.75" customHeight="1">
      <c r="A363" s="339">
        <v>45149</v>
      </c>
      <c r="B363" s="275"/>
      <c r="C363" s="295"/>
      <c r="D363" t="s" s="276">
        <v>1505</v>
      </c>
      <c r="E363" s="277"/>
      <c r="F363" s="278"/>
      <c r="G363" s="277">
        <v>115000</v>
      </c>
      <c r="H363" s="279" cm="1">
        <f t="array" ref="H363">G363/I363</f>
        <v>190.082644628099</v>
      </c>
      <c r="I363" s="277">
        <v>605</v>
      </c>
      <c r="J363" s="280"/>
      <c r="K363" s="281"/>
      <c r="L363" s="264"/>
      <c r="M363" s="258"/>
      <c r="N363" s="258"/>
      <c r="O363" s="258"/>
      <c r="P363" s="258"/>
      <c r="Q363" s="258"/>
      <c r="R363" s="258"/>
      <c r="S363" s="258"/>
      <c r="T363" s="258"/>
      <c r="U363" s="258"/>
      <c r="V363" s="258"/>
      <c r="W363" s="258"/>
      <c r="X363" s="258"/>
      <c r="Y363" s="258"/>
      <c r="Z363" s="258"/>
      <c r="AA363" s="258"/>
      <c r="AB363" s="258"/>
    </row>
    <row r="364" ht="12.75" customHeight="1">
      <c r="A364" s="338">
        <v>45167</v>
      </c>
      <c r="B364" s="282"/>
      <c r="C364" t="s" s="259">
        <v>1506</v>
      </c>
      <c r="D364" t="s" s="283">
        <v>1507</v>
      </c>
      <c r="E364" s="284"/>
      <c r="F364" s="285"/>
      <c r="G364" s="284">
        <v>2242710</v>
      </c>
      <c r="H364" s="286">
        <v>3030</v>
      </c>
      <c r="I364" s="284">
        <v>740</v>
      </c>
      <c r="J364" s="280"/>
      <c r="K364" s="281"/>
      <c r="L364" s="264"/>
      <c r="M364" s="258"/>
      <c r="N364" s="258"/>
      <c r="O364" s="258"/>
      <c r="P364" s="258"/>
      <c r="Q364" s="258"/>
      <c r="R364" s="258"/>
      <c r="S364" s="258"/>
      <c r="T364" s="258"/>
      <c r="U364" s="258"/>
      <c r="V364" s="258"/>
      <c r="W364" s="258"/>
      <c r="X364" s="258"/>
      <c r="Y364" s="258"/>
      <c r="Z364" s="258"/>
      <c r="AA364" s="258"/>
      <c r="AB364" s="258"/>
    </row>
    <row r="365" ht="12.75" customHeight="1">
      <c r="A365" s="339">
        <v>45169</v>
      </c>
      <c r="B365" s="275"/>
      <c r="C365" t="s" s="274">
        <v>1508</v>
      </c>
      <c r="D365" t="s" s="276">
        <v>1509</v>
      </c>
      <c r="E365" s="277"/>
      <c r="F365" s="278"/>
      <c r="G365" s="277">
        <v>18934470</v>
      </c>
      <c r="H365" s="279" cm="1">
        <f t="array" ref="H365">G365/I365</f>
        <v>25937.6301369863</v>
      </c>
      <c r="I365" s="277">
        <v>730</v>
      </c>
      <c r="J365" s="280"/>
      <c r="K365" s="281"/>
      <c r="L365" s="264"/>
      <c r="M365" s="258"/>
      <c r="N365" s="258"/>
      <c r="O365" s="258"/>
      <c r="P365" s="258"/>
      <c r="Q365" s="258"/>
      <c r="R365" s="258"/>
      <c r="S365" s="258"/>
      <c r="T365" s="258"/>
      <c r="U365" s="258"/>
      <c r="V365" s="258"/>
      <c r="W365" s="258"/>
      <c r="X365" s="258"/>
      <c r="Y365" s="258"/>
      <c r="Z365" s="258"/>
      <c r="AA365" s="258"/>
      <c r="AB365" s="258"/>
    </row>
    <row r="366" ht="12.75" customHeight="1">
      <c r="A366" s="338">
        <v>45170</v>
      </c>
      <c r="B366" s="282"/>
      <c r="C366" t="s" s="259">
        <v>207</v>
      </c>
      <c r="D366" t="s" s="283">
        <v>925</v>
      </c>
      <c r="E366" s="284"/>
      <c r="F366" s="285"/>
      <c r="G366" s="284">
        <v>10000</v>
      </c>
      <c r="H366" s="286" cm="1">
        <f t="array" ref="H366">G366/I366</f>
        <v>13.7931034482759</v>
      </c>
      <c r="I366" s="284">
        <v>725</v>
      </c>
      <c r="J366" s="280"/>
      <c r="K366" s="281"/>
      <c r="L366" s="264"/>
      <c r="M366" s="258"/>
      <c r="N366" s="258"/>
      <c r="O366" s="258"/>
      <c r="P366" s="258"/>
      <c r="Q366" s="258"/>
      <c r="R366" s="258"/>
      <c r="S366" s="258"/>
      <c r="T366" s="258"/>
      <c r="U366" s="258"/>
      <c r="V366" s="258"/>
      <c r="W366" s="258"/>
      <c r="X366" s="258"/>
      <c r="Y366" s="258"/>
      <c r="Z366" s="258"/>
      <c r="AA366" s="258"/>
      <c r="AB366" s="258"/>
    </row>
    <row r="367" ht="12.75" customHeight="1">
      <c r="A367" s="339">
        <v>45196</v>
      </c>
      <c r="B367" s="275"/>
      <c r="C367" t="s" s="274">
        <v>1510</v>
      </c>
      <c r="D367" t="s" s="276">
        <v>1511</v>
      </c>
      <c r="E367" s="277"/>
      <c r="F367" s="278"/>
      <c r="G367" s="277">
        <v>8000</v>
      </c>
      <c r="H367" s="279" cm="1">
        <f t="array" ref="H367">G367/I367</f>
        <v>10.3492884864166</v>
      </c>
      <c r="I367" s="277">
        <v>773</v>
      </c>
      <c r="J367" s="280"/>
      <c r="K367" s="281"/>
      <c r="L367" s="264"/>
      <c r="M367" s="258"/>
      <c r="N367" s="258"/>
      <c r="O367" s="258"/>
      <c r="P367" s="258"/>
      <c r="Q367" s="258"/>
      <c r="R367" s="258"/>
      <c r="S367" s="258"/>
      <c r="T367" s="258"/>
      <c r="U367" s="258"/>
      <c r="V367" s="258"/>
      <c r="W367" s="258"/>
      <c r="X367" s="258"/>
      <c r="Y367" s="258"/>
      <c r="Z367" s="258"/>
      <c r="AA367" s="258"/>
      <c r="AB367" s="258"/>
    </row>
    <row r="368" ht="12.75" customHeight="1">
      <c r="A368" s="338">
        <v>45216</v>
      </c>
      <c r="B368" s="282"/>
      <c r="C368" t="s" s="259">
        <v>756</v>
      </c>
      <c r="D368" t="s" s="283">
        <v>1512</v>
      </c>
      <c r="E368" s="284">
        <v>250000</v>
      </c>
      <c r="F368" s="285" cm="1">
        <f t="array" ref="F368">E368/I368</f>
        <v>259.067357512953</v>
      </c>
      <c r="G368" s="284"/>
      <c r="H368" s="286"/>
      <c r="I368" s="284">
        <v>965</v>
      </c>
      <c r="J368" s="280"/>
      <c r="K368" s="281"/>
      <c r="L368" s="344"/>
      <c r="M368" s="326"/>
      <c r="N368" s="326"/>
      <c r="O368" s="326"/>
      <c r="P368" s="326"/>
      <c r="Q368" s="326"/>
      <c r="R368" s="326"/>
      <c r="S368" s="326"/>
      <c r="T368" s="326"/>
      <c r="U368" s="326"/>
      <c r="V368" s="326"/>
      <c r="W368" s="326"/>
      <c r="X368" s="326"/>
      <c r="Y368" s="326"/>
      <c r="Z368" s="326"/>
      <c r="AA368" s="326"/>
      <c r="AB368" s="326"/>
    </row>
    <row r="369" ht="12.75" customHeight="1">
      <c r="A369" s="339">
        <v>45219</v>
      </c>
      <c r="B369" s="275"/>
      <c r="C369" t="s" s="274">
        <v>571</v>
      </c>
      <c r="D369" t="s" s="276">
        <v>1513</v>
      </c>
      <c r="E369" s="277"/>
      <c r="F369" s="278"/>
      <c r="G369" s="277">
        <v>257000</v>
      </c>
      <c r="H369" s="279" cm="1">
        <f t="array" ref="H369">G369/I369</f>
        <v>269.957983193277</v>
      </c>
      <c r="I369" s="277">
        <v>952</v>
      </c>
      <c r="J369" s="280"/>
      <c r="K369" s="281"/>
      <c r="L369" s="345"/>
      <c r="M369" s="346"/>
      <c r="N369" s="346"/>
      <c r="O369" s="346"/>
      <c r="P369" s="346"/>
      <c r="Q369" s="346"/>
      <c r="R369" s="346"/>
      <c r="S369" s="346"/>
      <c r="T369" s="346"/>
      <c r="U369" s="346"/>
      <c r="V369" s="346"/>
      <c r="W369" s="346"/>
      <c r="X369" s="346"/>
      <c r="Y369" s="346"/>
      <c r="Z369" s="346"/>
      <c r="AA369" s="346"/>
      <c r="AB369" s="347"/>
    </row>
    <row r="370" ht="12.75" customHeight="1">
      <c r="A370" s="338">
        <v>45219</v>
      </c>
      <c r="B370" s="282"/>
      <c r="C370" t="s" s="259">
        <v>571</v>
      </c>
      <c r="D370" t="s" s="283">
        <v>1514</v>
      </c>
      <c r="E370" s="284"/>
      <c r="F370" s="285"/>
      <c r="G370" s="284">
        <v>2316864</v>
      </c>
      <c r="H370" s="286" cm="1">
        <f t="array" ref="H370">G370/I370</f>
        <v>6338.889192886460</v>
      </c>
      <c r="I370" s="284">
        <v>365.5</v>
      </c>
      <c r="J370" s="280"/>
      <c r="K370" s="281"/>
      <c r="L370" s="348"/>
      <c r="M370" s="349"/>
      <c r="N370" s="349"/>
      <c r="O370" s="349"/>
      <c r="P370" s="349"/>
      <c r="Q370" s="349"/>
      <c r="R370" s="349"/>
      <c r="S370" s="349"/>
      <c r="T370" s="349"/>
      <c r="U370" s="349"/>
      <c r="V370" s="349"/>
      <c r="W370" s="349"/>
      <c r="X370" s="349"/>
      <c r="Y370" s="349"/>
      <c r="Z370" s="349"/>
      <c r="AA370" s="349"/>
      <c r="AB370" s="349"/>
    </row>
    <row r="371" ht="12.75" customHeight="1">
      <c r="A371" s="339">
        <v>45233</v>
      </c>
      <c r="B371" s="275"/>
      <c r="C371" t="s" s="274">
        <v>207</v>
      </c>
      <c r="D371" t="s" s="276">
        <v>925</v>
      </c>
      <c r="E371" s="277"/>
      <c r="F371" s="278"/>
      <c r="G371" s="277">
        <v>15000</v>
      </c>
      <c r="H371" s="279" cm="1">
        <f t="array" ref="H371">G371/I371</f>
        <v>16.2162162162162</v>
      </c>
      <c r="I371" s="277">
        <v>925</v>
      </c>
      <c r="J371" s="280"/>
      <c r="K371" s="281"/>
      <c r="L371" s="264"/>
      <c r="M371" s="258"/>
      <c r="N371" s="258"/>
      <c r="O371" s="258"/>
      <c r="P371" s="258"/>
      <c r="Q371" s="258"/>
      <c r="R371" s="258"/>
      <c r="S371" s="258"/>
      <c r="T371" s="258"/>
      <c r="U371" s="258"/>
      <c r="V371" s="258"/>
      <c r="W371" s="258"/>
      <c r="X371" s="258"/>
      <c r="Y371" s="258"/>
      <c r="Z371" s="258"/>
      <c r="AA371" s="258"/>
      <c r="AB371" s="258"/>
    </row>
    <row r="372" ht="12.75" customHeight="1">
      <c r="A372" s="338">
        <v>45339</v>
      </c>
      <c r="B372" s="282"/>
      <c r="C372" t="s" s="259">
        <v>1506</v>
      </c>
      <c r="D372" t="s" s="283">
        <v>1515</v>
      </c>
      <c r="E372" s="284"/>
      <c r="F372" s="285"/>
      <c r="G372" s="284">
        <v>5246000</v>
      </c>
      <c r="H372" s="286" cm="1">
        <f t="array" ref="H372">G372/I372</f>
        <v>5598.719316969050</v>
      </c>
      <c r="I372" s="284">
        <v>937</v>
      </c>
      <c r="J372" s="280"/>
      <c r="K372" s="281"/>
      <c r="L372" s="264"/>
      <c r="M372" s="258"/>
      <c r="N372" s="258"/>
      <c r="O372" s="258"/>
      <c r="P372" s="258"/>
      <c r="Q372" s="258"/>
      <c r="R372" s="258"/>
      <c r="S372" s="258"/>
      <c r="T372" s="258"/>
      <c r="U372" s="258"/>
      <c r="V372" s="258"/>
      <c r="W372" s="258"/>
      <c r="X372" s="258"/>
      <c r="Y372" s="258"/>
      <c r="Z372" s="258"/>
      <c r="AA372" s="258"/>
      <c r="AB372" s="258"/>
    </row>
    <row r="373" ht="12.75" customHeight="1">
      <c r="A373" s="339">
        <v>45390</v>
      </c>
      <c r="B373" s="275"/>
      <c r="C373" t="s" s="274">
        <v>756</v>
      </c>
      <c r="D373" t="s" s="276">
        <v>1516</v>
      </c>
      <c r="E373" s="277">
        <v>718000</v>
      </c>
      <c r="F373" s="278" cm="1">
        <f t="array" ref="F373">E373/I373</f>
        <v>740.206185567010</v>
      </c>
      <c r="G373" s="277"/>
      <c r="H373" s="279"/>
      <c r="I373" s="277">
        <v>970</v>
      </c>
      <c r="J373" s="280"/>
      <c r="K373" s="281"/>
      <c r="L373" s="264"/>
      <c r="M373" s="258"/>
      <c r="N373" s="258"/>
      <c r="O373" s="258"/>
      <c r="P373" s="258"/>
      <c r="Q373" s="258"/>
      <c r="R373" s="258"/>
      <c r="S373" s="258"/>
      <c r="T373" s="258"/>
      <c r="U373" s="258"/>
      <c r="V373" s="258"/>
      <c r="W373" s="258"/>
      <c r="X373" s="258"/>
      <c r="Y373" s="258"/>
      <c r="Z373" s="258"/>
      <c r="AA373" s="258"/>
      <c r="AB373" s="258"/>
    </row>
    <row r="374" ht="12.75" customHeight="1">
      <c r="A374" s="338">
        <v>45427</v>
      </c>
      <c r="B374" s="282"/>
      <c r="C374" t="s" s="259">
        <v>1498</v>
      </c>
      <c r="D374" t="s" s="283">
        <v>1517</v>
      </c>
      <c r="E374" s="284"/>
      <c r="F374" s="285"/>
      <c r="G374" s="284">
        <v>12000</v>
      </c>
      <c r="H374" s="286" cm="1">
        <f t="array" ref="H374">G374/I374</f>
        <v>10.1694915254237</v>
      </c>
      <c r="I374" s="284">
        <v>1180</v>
      </c>
      <c r="J374" s="280"/>
      <c r="K374" s="281"/>
      <c r="L374" s="264"/>
      <c r="M374" s="258"/>
      <c r="N374" s="258"/>
      <c r="O374" s="258"/>
      <c r="P374" s="258"/>
      <c r="Q374" s="258"/>
      <c r="R374" s="258"/>
      <c r="S374" s="258"/>
      <c r="T374" s="258"/>
      <c r="U374" s="258"/>
      <c r="V374" s="258"/>
      <c r="W374" s="258"/>
      <c r="X374" s="258"/>
      <c r="Y374" s="258"/>
      <c r="Z374" s="258"/>
      <c r="AA374" s="258"/>
      <c r="AB374" s="258"/>
    </row>
    <row r="375" ht="12.75" customHeight="1">
      <c r="A375" s="339">
        <v>45518</v>
      </c>
      <c r="B375" s="275"/>
      <c r="C375" t="s" s="274">
        <v>1518</v>
      </c>
      <c r="D375" t="s" s="276">
        <v>1519</v>
      </c>
      <c r="E375" s="277"/>
      <c r="F375" s="278"/>
      <c r="G375" s="277">
        <v>2650000</v>
      </c>
      <c r="H375" s="279">
        <v>2000</v>
      </c>
      <c r="I375" s="277">
        <v>1325</v>
      </c>
      <c r="J375" s="280"/>
      <c r="K375" s="281"/>
      <c r="L375" s="264"/>
      <c r="M375" s="258"/>
      <c r="N375" s="258"/>
      <c r="O375" s="258"/>
      <c r="P375" s="258"/>
      <c r="Q375" s="258"/>
      <c r="R375" s="258"/>
      <c r="S375" s="258"/>
      <c r="T375" s="258"/>
      <c r="U375" s="258"/>
      <c r="V375" s="258"/>
      <c r="W375" s="258"/>
      <c r="X375" s="258"/>
      <c r="Y375" s="258"/>
      <c r="Z375" s="258"/>
      <c r="AA375" s="258"/>
      <c r="AB375" s="258"/>
    </row>
    <row r="376" ht="12.75" customHeight="1">
      <c r="A376" s="338">
        <v>45528</v>
      </c>
      <c r="B376" s="282"/>
      <c r="C376" t="s" s="259">
        <v>1520</v>
      </c>
      <c r="D376" t="s" s="283">
        <v>1521</v>
      </c>
      <c r="E376" s="284"/>
      <c r="F376" s="285"/>
      <c r="G376" s="284">
        <v>40000</v>
      </c>
      <c r="H376" s="286" cm="1">
        <f t="array" ref="H376">G376/I376</f>
        <v>29.9625468164794</v>
      </c>
      <c r="I376" s="284">
        <v>1335</v>
      </c>
      <c r="J376" s="280"/>
      <c r="K376" s="281"/>
      <c r="L376" s="264"/>
      <c r="M376" s="258"/>
      <c r="N376" s="258"/>
      <c r="O376" s="258"/>
      <c r="P376" s="258"/>
      <c r="Q376" s="258"/>
      <c r="R376" s="258"/>
      <c r="S376" s="258"/>
      <c r="T376" s="258"/>
      <c r="U376" s="258"/>
      <c r="V376" s="258"/>
      <c r="W376" s="258"/>
      <c r="X376" s="258"/>
      <c r="Y376" s="258"/>
      <c r="Z376" s="258"/>
      <c r="AA376" s="258"/>
      <c r="AB376" s="258"/>
    </row>
    <row r="377" ht="12.75" customHeight="1">
      <c r="A377" s="339">
        <v>45677</v>
      </c>
      <c r="B377" s="275"/>
      <c r="C377" t="s" s="274">
        <v>1146</v>
      </c>
      <c r="D377" t="s" s="276">
        <v>1522</v>
      </c>
      <c r="E377" s="277"/>
      <c r="F377" s="278"/>
      <c r="G377" s="277">
        <v>5312500</v>
      </c>
      <c r="H377" s="279">
        <v>4250</v>
      </c>
      <c r="I377" s="277">
        <v>1250</v>
      </c>
      <c r="J377" s="280"/>
      <c r="K377" s="281"/>
      <c r="L377" s="264"/>
      <c r="M377" s="258"/>
      <c r="N377" s="258"/>
      <c r="O377" s="258"/>
      <c r="P377" s="258"/>
      <c r="Q377" s="258"/>
      <c r="R377" s="258"/>
      <c r="S377" s="258"/>
      <c r="T377" s="258"/>
      <c r="U377" s="258"/>
      <c r="V377" s="258"/>
      <c r="W377" s="258"/>
      <c r="X377" s="258"/>
      <c r="Y377" s="258"/>
      <c r="Z377" s="258"/>
      <c r="AA377" s="258"/>
      <c r="AB377" s="258"/>
    </row>
    <row r="378" ht="12.75" customHeight="1">
      <c r="A378" s="338">
        <v>45688</v>
      </c>
      <c r="B378" s="282"/>
      <c r="C378" t="s" s="259">
        <v>1523</v>
      </c>
      <c r="D378" t="s" s="283">
        <v>1524</v>
      </c>
      <c r="E378" s="284">
        <v>1302958.34</v>
      </c>
      <c r="F378" s="285" cm="1">
        <f t="array" ref="F378">E378/I378</f>
        <v>1076.825074380170</v>
      </c>
      <c r="G378" s="284"/>
      <c r="H378" s="286"/>
      <c r="I378" s="284">
        <v>1210</v>
      </c>
      <c r="J378" s="280"/>
      <c r="K378" s="281"/>
      <c r="L378" s="264"/>
      <c r="M378" s="258"/>
      <c r="N378" s="258"/>
      <c r="O378" s="258"/>
      <c r="P378" s="258"/>
      <c r="Q378" s="258"/>
      <c r="R378" s="258"/>
      <c r="S378" s="258"/>
      <c r="T378" s="258"/>
      <c r="U378" s="258"/>
      <c r="V378" s="258"/>
      <c r="W378" s="258"/>
      <c r="X378" s="258"/>
      <c r="Y378" s="258"/>
      <c r="Z378" s="258"/>
      <c r="AA378" s="258"/>
      <c r="AB378" s="258"/>
    </row>
    <row r="379" ht="12.75" customHeight="1">
      <c r="A379" s="339">
        <v>45693</v>
      </c>
      <c r="B379" s="275"/>
      <c r="C379" t="s" s="274">
        <v>207</v>
      </c>
      <c r="D379" t="s" s="276">
        <v>1525</v>
      </c>
      <c r="E379" s="277"/>
      <c r="F379" s="278"/>
      <c r="G379" s="277">
        <v>50000</v>
      </c>
      <c r="H379" s="279" cm="1">
        <f t="array" ref="H379">G379/I379</f>
        <v>45.2488687782805</v>
      </c>
      <c r="I379" s="277">
        <v>1105</v>
      </c>
      <c r="J379" s="280"/>
      <c r="K379" s="281"/>
      <c r="L379" s="264"/>
      <c r="M379" s="258"/>
      <c r="N379" s="258"/>
      <c r="O379" s="258"/>
      <c r="P379" s="258"/>
      <c r="Q379" s="258"/>
      <c r="R379" s="258"/>
      <c r="S379" s="258"/>
      <c r="T379" s="258"/>
      <c r="U379" s="258"/>
      <c r="V379" s="258"/>
      <c r="W379" s="258"/>
      <c r="X379" s="258"/>
      <c r="Y379" s="258"/>
      <c r="Z379" s="258"/>
      <c r="AA379" s="258"/>
      <c r="AB379" s="258"/>
    </row>
    <row r="380" ht="12.75" customHeight="1">
      <c r="A380" s="338">
        <v>45698</v>
      </c>
      <c r="B380" s="282"/>
      <c r="C380" t="s" s="259">
        <v>1454</v>
      </c>
      <c r="D380" t="s" s="283">
        <v>1526</v>
      </c>
      <c r="E380" s="284"/>
      <c r="F380" s="285"/>
      <c r="G380" s="284">
        <v>6740000</v>
      </c>
      <c r="H380" s="286">
        <v>8425</v>
      </c>
      <c r="I380" s="284">
        <v>800</v>
      </c>
      <c r="J380" s="280"/>
      <c r="K380" s="281"/>
      <c r="L380" s="264"/>
      <c r="M380" s="258"/>
      <c r="N380" s="258"/>
      <c r="O380" s="258"/>
      <c r="P380" s="258"/>
      <c r="Q380" s="258"/>
      <c r="R380" s="258"/>
      <c r="S380" s="258"/>
      <c r="T380" s="258"/>
      <c r="U380" s="258"/>
      <c r="V380" s="258"/>
      <c r="W380" s="258"/>
      <c r="X380" s="258"/>
      <c r="Y380" s="258"/>
      <c r="Z380" s="258"/>
      <c r="AA380" s="258"/>
      <c r="AB380" s="258"/>
    </row>
    <row r="381" ht="12.75" customHeight="1">
      <c r="A381" s="339">
        <v>45736</v>
      </c>
      <c r="B381" s="275"/>
      <c r="C381" t="s" s="274">
        <v>1527</v>
      </c>
      <c r="D381" t="s" s="276">
        <v>1528</v>
      </c>
      <c r="E381" s="277"/>
      <c r="F381" s="278"/>
      <c r="G381" s="277"/>
      <c r="H381" s="279">
        <v>3500</v>
      </c>
      <c r="I381" s="277"/>
      <c r="J381" s="280"/>
      <c r="K381" s="281"/>
      <c r="L381" s="264"/>
      <c r="M381" s="258"/>
      <c r="N381" s="258"/>
      <c r="O381" s="258"/>
      <c r="P381" s="258"/>
      <c r="Q381" s="258"/>
      <c r="R381" s="258"/>
      <c r="S381" s="258"/>
      <c r="T381" s="258"/>
      <c r="U381" s="258"/>
      <c r="V381" s="258"/>
      <c r="W381" s="258"/>
      <c r="X381" s="258"/>
      <c r="Y381" s="258"/>
      <c r="Z381" s="258"/>
      <c r="AA381" s="258"/>
      <c r="AB381" s="258"/>
    </row>
    <row r="382" ht="12.75" customHeight="1">
      <c r="A382" s="339">
        <v>45744</v>
      </c>
      <c r="B382" s="275"/>
      <c r="C382" t="s" s="274">
        <v>1529</v>
      </c>
      <c r="D382" t="s" s="276">
        <v>1524</v>
      </c>
      <c r="E382" s="277">
        <v>1920000</v>
      </c>
      <c r="F382" s="278" cm="1">
        <f t="array" ref="F382">E382/I382</f>
        <v>1488.372093023260</v>
      </c>
      <c r="G382" s="277"/>
      <c r="H382" s="279"/>
      <c r="I382" s="277">
        <v>1290</v>
      </c>
      <c r="J382" s="280"/>
      <c r="K382" s="281"/>
      <c r="L382" s="264"/>
      <c r="M382" s="258"/>
      <c r="N382" s="258"/>
      <c r="O382" s="258"/>
      <c r="P382" s="258"/>
      <c r="Q382" s="258"/>
      <c r="R382" s="258"/>
      <c r="S382" s="258"/>
      <c r="T382" s="258"/>
      <c r="U382" s="258"/>
      <c r="V382" s="258"/>
      <c r="W382" s="258"/>
      <c r="X382" s="258"/>
      <c r="Y382" s="258"/>
      <c r="Z382" s="258"/>
      <c r="AA382" s="258"/>
      <c r="AB382" s="258"/>
    </row>
    <row r="383" ht="12.75" customHeight="1">
      <c r="A383" s="338">
        <v>45744</v>
      </c>
      <c r="B383" s="282"/>
      <c r="C383" t="s" s="259">
        <v>1506</v>
      </c>
      <c r="D383" t="s" s="283">
        <v>1530</v>
      </c>
      <c r="E383" s="284"/>
      <c r="F383" s="285"/>
      <c r="G383" s="284">
        <v>11450000</v>
      </c>
      <c r="H383" s="286" cm="1">
        <f t="array" ref="H383">G383/I383</f>
        <v>8875.968992248059</v>
      </c>
      <c r="I383" s="284">
        <v>1290</v>
      </c>
      <c r="J383" s="280"/>
      <c r="K383" s="281"/>
      <c r="L383" s="264"/>
      <c r="M383" s="258"/>
      <c r="N383" s="258"/>
      <c r="O383" s="258"/>
      <c r="P383" s="258"/>
      <c r="Q383" s="258"/>
      <c r="R383" s="258"/>
      <c r="S383" s="258"/>
      <c r="T383" s="258"/>
      <c r="U383" s="258"/>
      <c r="V383" s="258"/>
      <c r="W383" s="258"/>
      <c r="X383" s="258"/>
      <c r="Y383" s="258"/>
      <c r="Z383" s="258"/>
      <c r="AA383" s="258"/>
      <c r="AB383" s="258"/>
    </row>
    <row r="384" ht="12.75" customHeight="1">
      <c r="A384" s="339">
        <v>45765</v>
      </c>
      <c r="B384" s="275"/>
      <c r="C384" t="s" s="274">
        <v>228</v>
      </c>
      <c r="D384" t="s" s="276">
        <v>1531</v>
      </c>
      <c r="E384" s="277"/>
      <c r="F384" s="278"/>
      <c r="G384" s="277">
        <v>500000</v>
      </c>
      <c r="H384" s="279" cm="1">
        <f t="array" ref="H384">G384/I384</f>
        <v>438.596491228070</v>
      </c>
      <c r="I384" s="277">
        <v>1140</v>
      </c>
      <c r="J384" s="280"/>
      <c r="K384" s="281"/>
      <c r="L384" s="264"/>
      <c r="M384" s="258"/>
      <c r="N384" s="258"/>
      <c r="O384" s="258"/>
      <c r="P384" s="258"/>
      <c r="Q384" s="258"/>
      <c r="R384" s="258"/>
      <c r="S384" s="258"/>
      <c r="T384" s="258"/>
      <c r="U384" s="258"/>
      <c r="V384" s="258"/>
      <c r="W384" s="258"/>
      <c r="X384" s="258"/>
      <c r="Y384" s="258"/>
      <c r="Z384" s="258"/>
      <c r="AA384" s="258"/>
      <c r="AB384" s="258"/>
    </row>
    <row r="385" ht="12.75" customHeight="1">
      <c r="A385" s="338">
        <v>45703</v>
      </c>
      <c r="B385" s="294"/>
      <c r="C385" t="s" s="259">
        <v>1532</v>
      </c>
      <c r="D385" t="s" s="283">
        <v>1533</v>
      </c>
      <c r="E385" s="284"/>
      <c r="F385" s="285"/>
      <c r="G385" s="284">
        <v>3450000</v>
      </c>
      <c r="H385" s="279" cm="1">
        <f t="array" ref="H385">G385/I385</f>
        <v>2987.012987012990</v>
      </c>
      <c r="I385" s="284">
        <v>1155</v>
      </c>
      <c r="J385" s="280"/>
      <c r="K385" s="281"/>
      <c r="L385" s="264"/>
      <c r="M385" s="258"/>
      <c r="N385" s="258"/>
      <c r="O385" s="258"/>
      <c r="P385" s="258"/>
      <c r="Q385" s="258"/>
      <c r="R385" s="258"/>
      <c r="S385" s="258"/>
      <c r="T385" s="258"/>
      <c r="U385" s="258"/>
      <c r="V385" s="258"/>
      <c r="W385" s="258"/>
      <c r="X385" s="258"/>
      <c r="Y385" s="258"/>
      <c r="Z385" s="258"/>
      <c r="AA385" s="258"/>
      <c r="AB385" s="258"/>
    </row>
    <row r="386" ht="12.75" customHeight="1">
      <c r="A386" s="338">
        <v>45825</v>
      </c>
      <c r="B386" s="294"/>
      <c r="C386" s="350">
        <v>45748</v>
      </c>
      <c r="D386" t="s" s="283">
        <v>1534</v>
      </c>
      <c r="E386" s="284">
        <v>570000</v>
      </c>
      <c r="F386" s="285" cm="1">
        <f t="array" ref="F386">E386/I386</f>
        <v>483.050847457627</v>
      </c>
      <c r="G386" s="284"/>
      <c r="H386" t="s" s="351">
        <v>1065</v>
      </c>
      <c r="I386" s="284">
        <v>1180</v>
      </c>
      <c r="J386" s="280"/>
      <c r="K386" s="281"/>
      <c r="L386" s="264"/>
      <c r="M386" s="258"/>
      <c r="N386" s="258"/>
      <c r="O386" s="258"/>
      <c r="P386" s="258"/>
      <c r="Q386" s="258"/>
      <c r="R386" s="258"/>
      <c r="S386" s="258"/>
      <c r="T386" s="258"/>
      <c r="U386" s="258"/>
      <c r="V386" s="258"/>
      <c r="W386" s="258"/>
      <c r="X386" s="258"/>
      <c r="Y386" s="258"/>
      <c r="Z386" s="258"/>
      <c r="AA386" s="258"/>
      <c r="AB386" s="258"/>
    </row>
    <row r="387" ht="12.75" customHeight="1">
      <c r="A387" s="352">
        <v>45874</v>
      </c>
      <c r="B387" s="295"/>
      <c r="C387" t="s" s="274">
        <v>1506</v>
      </c>
      <c r="D387" t="s" s="276">
        <v>1535</v>
      </c>
      <c r="E387" s="277"/>
      <c r="F387" s="278"/>
      <c r="G387" s="277">
        <v>3500000</v>
      </c>
      <c r="H387" s="279" cm="1">
        <f t="array" ref="H387">G387/I387</f>
        <v>2651.515151515150</v>
      </c>
      <c r="I387" s="277">
        <v>1320</v>
      </c>
      <c r="J387" s="280"/>
      <c r="K387" s="281"/>
      <c r="L387" s="264"/>
      <c r="M387" s="258"/>
      <c r="N387" s="258"/>
      <c r="O387" s="258"/>
      <c r="P387" s="258"/>
      <c r="Q387" s="258"/>
      <c r="R387" s="258"/>
      <c r="S387" s="258"/>
      <c r="T387" s="258"/>
      <c r="U387" s="258"/>
      <c r="V387" s="258"/>
      <c r="W387" s="258"/>
      <c r="X387" s="258"/>
      <c r="Y387" s="258"/>
      <c r="Z387" s="258"/>
      <c r="AA387" s="258"/>
      <c r="AB387" s="258"/>
    </row>
    <row r="388" ht="12.75" customHeight="1">
      <c r="A388" s="339">
        <v>45887</v>
      </c>
      <c r="B388" s="295"/>
      <c r="C388" t="s" s="274">
        <v>1536</v>
      </c>
      <c r="D388" t="s" s="276">
        <v>1537</v>
      </c>
      <c r="E388" s="277"/>
      <c r="F388" s="278"/>
      <c r="G388" s="277">
        <v>350000</v>
      </c>
      <c r="H388" s="279" cm="1">
        <f t="array" ref="H388">G388/I388</f>
        <v>266.159695817490</v>
      </c>
      <c r="I388" s="277">
        <v>1315</v>
      </c>
      <c r="J388" s="280"/>
      <c r="K388" s="281"/>
      <c r="L388" s="264"/>
      <c r="M388" s="258"/>
      <c r="N388" s="258"/>
      <c r="O388" s="258"/>
      <c r="P388" s="258"/>
      <c r="Q388" s="258"/>
      <c r="R388" s="258"/>
      <c r="S388" s="258"/>
      <c r="T388" s="258"/>
      <c r="U388" s="258"/>
      <c r="V388" s="258"/>
      <c r="W388" s="258"/>
      <c r="X388" s="258"/>
      <c r="Y388" s="258"/>
      <c r="Z388" s="258"/>
      <c r="AA388" s="258"/>
      <c r="AB388" s="258"/>
    </row>
    <row r="389" ht="12.75" customHeight="1">
      <c r="A389" s="338">
        <v>45917</v>
      </c>
      <c r="B389" s="294"/>
      <c r="C389" t="s" s="259">
        <v>1538</v>
      </c>
      <c r="D389" t="s" s="283">
        <v>1539</v>
      </c>
      <c r="E389" s="284"/>
      <c r="F389" s="285"/>
      <c r="G389" s="284">
        <v>190000</v>
      </c>
      <c r="H389" s="279" cm="1">
        <f t="array" ref="H389">G389/I389</f>
        <v>130.584192439863</v>
      </c>
      <c r="I389" s="284">
        <v>1455</v>
      </c>
      <c r="J389" s="280"/>
      <c r="K389" s="281"/>
      <c r="L389" s="264"/>
      <c r="M389" s="258"/>
      <c r="N389" s="258"/>
      <c r="O389" s="258"/>
      <c r="P389" s="258"/>
      <c r="Q389" s="258"/>
      <c r="R389" s="258"/>
      <c r="S389" s="258"/>
      <c r="T389" s="258"/>
      <c r="U389" s="258"/>
      <c r="V389" s="258"/>
      <c r="W389" s="258"/>
      <c r="X389" s="258"/>
      <c r="Y389" s="258"/>
      <c r="Z389" s="258"/>
      <c r="AA389" s="258"/>
      <c r="AB389" s="258"/>
    </row>
    <row r="390" ht="12.75" customHeight="1">
      <c r="A390" s="338">
        <v>45917</v>
      </c>
      <c r="B390" s="294"/>
      <c r="C390" t="s" s="259">
        <v>1538</v>
      </c>
      <c r="D390" t="s" s="283">
        <v>1540</v>
      </c>
      <c r="E390" s="284"/>
      <c r="F390" s="285"/>
      <c r="G390" s="284">
        <v>1815000</v>
      </c>
      <c r="H390" s="279" cm="1">
        <f t="array" ref="H390">G390/I390</f>
        <v>1247.422680412370</v>
      </c>
      <c r="I390" s="284">
        <v>1455</v>
      </c>
      <c r="J390" s="280"/>
      <c r="K390" s="281"/>
      <c r="L390" s="264"/>
      <c r="M390" s="258"/>
      <c r="N390" s="258"/>
      <c r="O390" s="258"/>
      <c r="P390" s="258"/>
      <c r="Q390" s="258"/>
      <c r="R390" s="258"/>
      <c r="S390" s="258"/>
      <c r="T390" s="258"/>
      <c r="U390" s="258"/>
      <c r="V390" s="258"/>
      <c r="W390" s="258"/>
      <c r="X390" s="258"/>
      <c r="Y390" s="258"/>
      <c r="Z390" s="258"/>
      <c r="AA390" s="258"/>
      <c r="AB390" s="258"/>
    </row>
    <row r="391" ht="12.75" customHeight="1">
      <c r="A391" s="353">
        <v>45996</v>
      </c>
      <c r="B391" s="294"/>
      <c r="C391" t="s" s="259">
        <v>1541</v>
      </c>
      <c r="D391" t="s" s="283">
        <v>1542</v>
      </c>
      <c r="E391" s="284"/>
      <c r="F391" s="285"/>
      <c r="G391" s="284">
        <v>250000</v>
      </c>
      <c r="H391" s="279" cm="1">
        <f t="array" ref="H391">G391/I391</f>
        <v>176.056338028169</v>
      </c>
      <c r="I391" s="284">
        <v>1420</v>
      </c>
      <c r="J391" s="280"/>
      <c r="K391" s="281"/>
      <c r="L391" s="264"/>
      <c r="M391" s="258"/>
      <c r="N391" s="258"/>
      <c r="O391" s="258"/>
      <c r="P391" s="258"/>
      <c r="Q391" s="258"/>
      <c r="R391" s="258"/>
      <c r="S391" s="258"/>
      <c r="T391" s="258"/>
      <c r="U391" s="258"/>
      <c r="V391" s="258"/>
      <c r="W391" s="258"/>
      <c r="X391" s="258"/>
      <c r="Y391" s="258"/>
      <c r="Z391" s="258"/>
      <c r="AA391" s="258"/>
      <c r="AB391" s="258"/>
    </row>
    <row r="392" ht="12.75" customHeight="1">
      <c r="A392" s="338">
        <v>46006</v>
      </c>
      <c r="B392" s="294"/>
      <c r="C392" t="s" s="259">
        <v>1543</v>
      </c>
      <c r="D392" t="s" s="283">
        <v>1544</v>
      </c>
      <c r="E392" t="s" s="354">
        <v>1065</v>
      </c>
      <c r="F392" s="285"/>
      <c r="G392" s="284">
        <v>7350000</v>
      </c>
      <c r="H392" s="279" cm="1">
        <f t="array" ref="H392">G392/I392</f>
        <v>5017.064846416380</v>
      </c>
      <c r="I392" s="284">
        <v>1465</v>
      </c>
      <c r="J392" s="280"/>
      <c r="K392" s="281"/>
      <c r="L392" s="264"/>
      <c r="M392" s="258"/>
      <c r="N392" s="258"/>
      <c r="O392" s="258"/>
      <c r="P392" s="258"/>
      <c r="Q392" s="258"/>
      <c r="R392" s="258"/>
      <c r="S392" s="258"/>
      <c r="T392" s="258"/>
      <c r="U392" s="258"/>
      <c r="V392" s="258"/>
      <c r="W392" s="258"/>
      <c r="X392" s="258"/>
      <c r="Y392" s="258"/>
      <c r="Z392" s="258"/>
      <c r="AA392" s="258"/>
      <c r="AB392" s="258"/>
    </row>
    <row r="393" ht="12.75" customHeight="1">
      <c r="A393" s="338">
        <v>46021</v>
      </c>
      <c r="B393" s="294"/>
      <c r="C393" t="s" s="259">
        <v>1545</v>
      </c>
      <c r="D393" t="s" s="283">
        <v>1546</v>
      </c>
      <c r="E393" s="284">
        <v>11100000</v>
      </c>
      <c r="F393" s="285">
        <v>12000</v>
      </c>
      <c r="G393" s="284"/>
      <c r="H393" s="279">
        <v>0</v>
      </c>
      <c r="I393" s="284"/>
      <c r="J393" s="280"/>
      <c r="K393" s="281"/>
      <c r="L393" s="264"/>
      <c r="M393" s="258"/>
      <c r="N393" s="258"/>
      <c r="O393" s="258"/>
      <c r="P393" s="258"/>
      <c r="Q393" s="258"/>
      <c r="R393" s="258"/>
      <c r="S393" s="258"/>
      <c r="T393" s="258"/>
      <c r="U393" s="258"/>
      <c r="V393" s="258"/>
      <c r="W393" s="258"/>
      <c r="X393" s="258"/>
      <c r="Y393" s="258"/>
      <c r="Z393" s="258"/>
      <c r="AA393" s="258"/>
      <c r="AB393" s="258"/>
    </row>
    <row r="394" ht="12.75" customHeight="1">
      <c r="A394" s="338">
        <v>46021</v>
      </c>
      <c r="B394" s="294"/>
      <c r="C394" t="s" s="259">
        <v>1547</v>
      </c>
      <c r="D394" t="s" s="283">
        <v>1548</v>
      </c>
      <c r="E394" s="284">
        <v>18750000</v>
      </c>
      <c r="F394" s="285">
        <v>15000</v>
      </c>
      <c r="G394" s="284"/>
      <c r="H394" s="279">
        <v>0</v>
      </c>
      <c r="I394" s="284"/>
      <c r="J394" s="280"/>
      <c r="K394" s="281"/>
      <c r="L394" s="264"/>
      <c r="M394" s="258"/>
      <c r="N394" s="258"/>
      <c r="O394" s="258"/>
      <c r="P394" s="258"/>
      <c r="Q394" s="258"/>
      <c r="R394" s="258"/>
      <c r="S394" s="258"/>
      <c r="T394" s="258"/>
      <c r="U394" s="258"/>
      <c r="V394" s="258"/>
      <c r="W394" s="258"/>
      <c r="X394" s="258"/>
      <c r="Y394" s="258"/>
      <c r="Z394" s="258"/>
      <c r="AA394" s="258"/>
      <c r="AB394" s="258"/>
    </row>
    <row r="395" ht="12.75" customHeight="1">
      <c r="A395" s="338">
        <v>46021</v>
      </c>
      <c r="B395" s="294"/>
      <c r="C395" t="s" s="259">
        <v>1547</v>
      </c>
      <c r="D395" t="s" s="283">
        <v>1549</v>
      </c>
      <c r="E395" s="284">
        <v>26370000</v>
      </c>
      <c r="F395" s="285">
        <v>18000</v>
      </c>
      <c r="G395" s="284"/>
      <c r="H395" s="279">
        <v>0</v>
      </c>
      <c r="I395" s="284"/>
      <c r="J395" s="280"/>
      <c r="K395" s="281"/>
      <c r="L395" s="264"/>
      <c r="M395" s="258"/>
      <c r="N395" s="258"/>
      <c r="O395" s="258"/>
      <c r="P395" s="258"/>
      <c r="Q395" s="258"/>
      <c r="R395" s="258"/>
      <c r="S395" s="258"/>
      <c r="T395" s="258"/>
      <c r="U395" s="258"/>
      <c r="V395" s="258"/>
      <c r="W395" s="258"/>
      <c r="X395" s="258"/>
      <c r="Y395" s="258"/>
      <c r="Z395" s="258"/>
      <c r="AA395" s="258"/>
      <c r="AB395" s="258"/>
    </row>
    <row r="396" ht="12.75" customHeight="1">
      <c r="A396" s="338">
        <v>46387</v>
      </c>
      <c r="B396" s="294"/>
      <c r="C396" t="s" s="259">
        <v>1506</v>
      </c>
      <c r="D396" t="s" s="283">
        <v>1550</v>
      </c>
      <c r="E396" s="284"/>
      <c r="F396" s="285"/>
      <c r="G396" s="284">
        <v>18000000</v>
      </c>
      <c r="H396" s="279">
        <v>12000</v>
      </c>
      <c r="I396" s="284"/>
      <c r="J396" s="280"/>
      <c r="K396" s="281"/>
      <c r="L396" s="264"/>
      <c r="M396" s="258"/>
      <c r="N396" s="258"/>
      <c r="O396" s="258"/>
      <c r="P396" s="258"/>
      <c r="Q396" s="258"/>
      <c r="R396" s="258"/>
      <c r="S396" s="258"/>
      <c r="T396" s="258"/>
      <c r="U396" s="258"/>
      <c r="V396" s="258"/>
      <c r="W396" s="258"/>
      <c r="X396" s="258"/>
      <c r="Y396" s="258"/>
      <c r="Z396" s="258"/>
      <c r="AA396" s="258"/>
      <c r="AB396" s="258"/>
    </row>
    <row r="397" ht="12.75" customHeight="1">
      <c r="A397" s="338">
        <v>46032</v>
      </c>
      <c r="B397" s="294"/>
      <c r="C397" t="s" s="259">
        <v>1543</v>
      </c>
      <c r="D397" t="s" s="283">
        <v>1551</v>
      </c>
      <c r="E397" s="284"/>
      <c r="F397" s="285"/>
      <c r="G397" s="284">
        <v>1125000</v>
      </c>
      <c r="H397" s="279" cm="1">
        <f t="array" ref="H397">(G397/I397)</f>
        <v>752.508361204013</v>
      </c>
      <c r="I397" s="284">
        <v>1495</v>
      </c>
      <c r="J397" s="280"/>
      <c r="K397" s="281"/>
      <c r="L397" s="264"/>
      <c r="M397" s="258"/>
      <c r="N397" s="258"/>
      <c r="O397" s="258"/>
      <c r="P397" s="258"/>
      <c r="Q397" s="258"/>
      <c r="R397" s="258"/>
      <c r="S397" s="258"/>
      <c r="T397" s="258"/>
      <c r="U397" s="258"/>
      <c r="V397" s="258"/>
      <c r="W397" s="258"/>
      <c r="X397" s="258"/>
      <c r="Y397" s="258"/>
      <c r="Z397" s="258"/>
      <c r="AA397" s="258"/>
      <c r="AB397" s="258"/>
    </row>
    <row r="398" ht="12.75" customHeight="1">
      <c r="A398" s="338">
        <v>46049</v>
      </c>
      <c r="B398" s="294"/>
      <c r="C398" t="s" s="259">
        <v>1552</v>
      </c>
      <c r="D398" t="s" s="283">
        <v>1553</v>
      </c>
      <c r="E398" s="284">
        <v>1245860</v>
      </c>
      <c r="F398" s="285" cm="1">
        <f t="array" ref="F398">(E398/I398)</f>
        <v>841.797297297297</v>
      </c>
      <c r="G398" s="284"/>
      <c r="H398" s="279"/>
      <c r="I398" s="284">
        <v>1480</v>
      </c>
      <c r="J398" s="280"/>
      <c r="K398" s="281"/>
      <c r="L398" s="264"/>
      <c r="M398" s="258"/>
      <c r="N398" s="258"/>
      <c r="O398" s="258"/>
      <c r="P398" s="258"/>
      <c r="Q398" s="258"/>
      <c r="R398" s="258"/>
      <c r="S398" s="258"/>
      <c r="T398" s="258"/>
      <c r="U398" s="258"/>
      <c r="V398" s="258"/>
      <c r="W398" s="258"/>
      <c r="X398" s="258"/>
      <c r="Y398" s="258"/>
      <c r="Z398" s="258"/>
      <c r="AA398" s="258"/>
      <c r="AB398" s="258"/>
    </row>
    <row r="399" ht="12.75" customHeight="1">
      <c r="A399" s="338">
        <v>46058</v>
      </c>
      <c r="B399" s="294"/>
      <c r="C399" t="s" s="259">
        <v>1543</v>
      </c>
      <c r="D399" t="s" s="283">
        <v>1554</v>
      </c>
      <c r="E399" s="284"/>
      <c r="F399" s="285"/>
      <c r="G399" s="284">
        <v>750000</v>
      </c>
      <c r="H399" s="279" cm="1">
        <f t="array" ref="H399">(G399/I399)</f>
        <v>524.475524475524</v>
      </c>
      <c r="I399" s="284">
        <v>1430</v>
      </c>
      <c r="J399" s="280"/>
      <c r="K399" s="281"/>
      <c r="L399" s="264"/>
      <c r="M399" s="258"/>
      <c r="N399" s="258"/>
      <c r="O399" s="258"/>
      <c r="P399" s="258"/>
      <c r="Q399" s="258"/>
      <c r="R399" s="258"/>
      <c r="S399" s="258"/>
      <c r="T399" s="258"/>
      <c r="U399" s="258"/>
      <c r="V399" s="258"/>
      <c r="W399" s="258"/>
      <c r="X399" s="258"/>
      <c r="Y399" s="258"/>
      <c r="Z399" s="258"/>
      <c r="AA399" s="258"/>
      <c r="AB399" s="258"/>
    </row>
    <row r="400" ht="12.75" customHeight="1">
      <c r="A400" s="338">
        <v>46077</v>
      </c>
      <c r="B400" s="294"/>
      <c r="C400" t="s" s="259">
        <v>1555</v>
      </c>
      <c r="D400" t="s" s="283">
        <v>1556</v>
      </c>
      <c r="E400" s="284">
        <v>1338000</v>
      </c>
      <c r="F400" s="285">
        <v>942.25</v>
      </c>
      <c r="G400" s="284"/>
      <c r="H400" s="279">
        <v>0</v>
      </c>
      <c r="I400" s="284"/>
      <c r="J400" s="280"/>
      <c r="K400" s="281"/>
      <c r="L400" s="264"/>
      <c r="M400" s="258"/>
      <c r="N400" s="258"/>
      <c r="O400" s="258"/>
      <c r="P400" s="258"/>
      <c r="Q400" s="258"/>
      <c r="R400" s="258"/>
      <c r="S400" s="258"/>
      <c r="T400" s="258"/>
      <c r="U400" s="258"/>
      <c r="V400" s="258"/>
      <c r="W400" s="258"/>
      <c r="X400" s="258"/>
      <c r="Y400" s="258"/>
      <c r="Z400" s="258"/>
      <c r="AA400" s="258"/>
      <c r="AB400" s="258"/>
    </row>
    <row r="401" ht="12.75" customHeight="1">
      <c r="A401" s="338">
        <v>46086</v>
      </c>
      <c r="B401" s="294"/>
      <c r="C401" t="s" s="259">
        <v>1543</v>
      </c>
      <c r="D401" t="s" s="283">
        <v>1557</v>
      </c>
      <c r="E401" s="284"/>
      <c r="F401" s="285"/>
      <c r="G401" s="284">
        <v>750000</v>
      </c>
      <c r="H401" s="279" cm="1">
        <f t="array" ref="H401">(G401/I401)</f>
        <v>539.568345323741</v>
      </c>
      <c r="I401" s="284">
        <v>1390</v>
      </c>
      <c r="J401" s="280"/>
      <c r="K401" s="281"/>
      <c r="L401" s="264"/>
      <c r="M401" s="258"/>
      <c r="N401" s="258"/>
      <c r="O401" s="258"/>
      <c r="P401" s="258"/>
      <c r="Q401" s="258"/>
      <c r="R401" s="258"/>
      <c r="S401" s="258"/>
      <c r="T401" s="258"/>
      <c r="U401" s="258"/>
      <c r="V401" s="258"/>
      <c r="W401" s="258"/>
      <c r="X401" s="258"/>
      <c r="Y401" s="258"/>
      <c r="Z401" s="258"/>
      <c r="AA401" s="258"/>
      <c r="AB401" s="258"/>
    </row>
    <row r="402" ht="12.75" customHeight="1">
      <c r="A402" s="338">
        <v>46092</v>
      </c>
      <c r="B402" s="294"/>
      <c r="C402" t="s" s="259">
        <v>932</v>
      </c>
      <c r="D402" t="s" s="283">
        <v>1558</v>
      </c>
      <c r="E402" s="284"/>
      <c r="F402" s="285"/>
      <c r="G402" s="284">
        <v>558540</v>
      </c>
      <c r="H402" s="279" cm="1">
        <f t="array" ref="H402">(G402/I402)</f>
        <v>401.827338129496</v>
      </c>
      <c r="I402" s="284">
        <v>1390</v>
      </c>
      <c r="J402" s="280"/>
      <c r="K402" s="281"/>
      <c r="L402" s="264"/>
      <c r="M402" s="258"/>
      <c r="N402" s="258"/>
      <c r="O402" s="258"/>
      <c r="P402" s="258"/>
      <c r="Q402" s="258"/>
      <c r="R402" s="258"/>
      <c r="S402" s="258"/>
      <c r="T402" s="258"/>
      <c r="U402" s="258"/>
      <c r="V402" s="258"/>
      <c r="W402" s="258"/>
      <c r="X402" s="258"/>
      <c r="Y402" s="258"/>
      <c r="Z402" s="258"/>
      <c r="AA402" s="258"/>
      <c r="AB402" s="258"/>
    </row>
    <row r="403" ht="12.75" customHeight="1">
      <c r="A403" s="353">
        <v>46106</v>
      </c>
      <c r="B403" s="294"/>
      <c r="C403" t="s" s="259">
        <v>1555</v>
      </c>
      <c r="D403" t="s" s="283">
        <v>1559</v>
      </c>
      <c r="E403" s="284">
        <v>1323013.3</v>
      </c>
      <c r="F403" s="285">
        <v>958.7</v>
      </c>
      <c r="G403" s="284"/>
      <c r="H403" t="s" s="351">
        <v>1065</v>
      </c>
      <c r="I403" s="284"/>
      <c r="J403" s="280"/>
      <c r="K403" s="281"/>
      <c r="L403" s="264"/>
      <c r="M403" s="258"/>
      <c r="N403" s="258"/>
      <c r="O403" s="258"/>
      <c r="P403" s="258"/>
      <c r="Q403" s="258"/>
      <c r="R403" s="258"/>
      <c r="S403" s="258"/>
      <c r="T403" s="258"/>
      <c r="U403" s="258"/>
      <c r="V403" s="258"/>
      <c r="W403" s="258"/>
      <c r="X403" s="258"/>
      <c r="Y403" s="258"/>
      <c r="Z403" s="258"/>
      <c r="AA403" s="258"/>
      <c r="AB403" s="258"/>
    </row>
    <row r="404" ht="12.75" customHeight="1">
      <c r="A404" s="338">
        <v>46118</v>
      </c>
      <c r="B404" s="294"/>
      <c r="C404" t="s" s="259">
        <v>1543</v>
      </c>
      <c r="D404" t="s" s="283">
        <v>1560</v>
      </c>
      <c r="E404" s="284"/>
      <c r="F404" s="285"/>
      <c r="G404" s="284">
        <v>750000</v>
      </c>
      <c r="H404" s="279" cm="1">
        <f t="array" ref="H404">(G404/I404)</f>
        <v>539.568345323741</v>
      </c>
      <c r="I404" s="284">
        <v>1390</v>
      </c>
      <c r="J404" s="280"/>
      <c r="K404" s="281"/>
      <c r="L404" s="264"/>
      <c r="M404" s="258"/>
      <c r="N404" s="258"/>
      <c r="O404" s="258"/>
      <c r="P404" s="258"/>
      <c r="Q404" s="258"/>
      <c r="R404" s="258"/>
      <c r="S404" s="258"/>
      <c r="T404" s="258"/>
      <c r="U404" s="258"/>
      <c r="V404" s="258"/>
      <c r="W404" s="258"/>
      <c r="X404" s="258"/>
      <c r="Y404" s="258"/>
      <c r="Z404" s="258"/>
      <c r="AA404" s="258"/>
      <c r="AB404" s="258"/>
    </row>
    <row r="405" ht="12.75" customHeight="1">
      <c r="A405" s="338">
        <v>46141</v>
      </c>
      <c r="B405" s="294"/>
      <c r="C405" t="s" s="259">
        <v>1561</v>
      </c>
      <c r="D405" t="s" s="283">
        <v>1562</v>
      </c>
      <c r="E405" s="284"/>
      <c r="F405" s="285"/>
      <c r="G405" s="284">
        <v>120000</v>
      </c>
      <c r="H405" s="279" cm="1">
        <f t="array" ref="H405">(G405/I405)</f>
        <v>85.40925266903911</v>
      </c>
      <c r="I405" s="284">
        <v>1405</v>
      </c>
      <c r="J405" s="280"/>
      <c r="K405" s="281"/>
      <c r="L405" s="264"/>
      <c r="M405" s="258"/>
      <c r="N405" s="258"/>
      <c r="O405" s="258"/>
      <c r="P405" s="258"/>
      <c r="Q405" s="258"/>
      <c r="R405" s="258"/>
      <c r="S405" s="258"/>
      <c r="T405" s="258"/>
      <c r="U405" s="258"/>
      <c r="V405" s="258"/>
      <c r="W405" s="258"/>
      <c r="X405" s="258"/>
      <c r="Y405" s="258"/>
      <c r="Z405" s="258"/>
      <c r="AA405" s="258"/>
      <c r="AB405" s="258"/>
    </row>
    <row r="406" ht="12.75" customHeight="1">
      <c r="A406" s="338">
        <v>46147</v>
      </c>
      <c r="B406" s="294"/>
      <c r="C406" t="s" s="259">
        <v>1543</v>
      </c>
      <c r="D406" t="s" s="283">
        <v>1563</v>
      </c>
      <c r="E406" s="284"/>
      <c r="F406" s="285"/>
      <c r="G406" s="284">
        <v>750000</v>
      </c>
      <c r="H406" s="279" cm="1">
        <f t="array" ref="H406">(G406/I406)</f>
        <v>533.807829181495</v>
      </c>
      <c r="I406" s="284">
        <v>1405</v>
      </c>
      <c r="J406" s="280"/>
      <c r="K406" s="281"/>
      <c r="L406" s="264"/>
      <c r="M406" s="258"/>
      <c r="N406" s="258"/>
      <c r="O406" s="258"/>
      <c r="P406" s="258"/>
      <c r="Q406" s="258"/>
      <c r="R406" s="258"/>
      <c r="S406" s="258"/>
      <c r="T406" s="258"/>
      <c r="U406" s="258"/>
      <c r="V406" s="258"/>
      <c r="W406" s="258"/>
      <c r="X406" s="258"/>
      <c r="Y406" s="258"/>
      <c r="Z406" s="258"/>
      <c r="AA406" s="258"/>
      <c r="AB406" s="258"/>
    </row>
    <row r="407" ht="12.75" customHeight="1">
      <c r="A407" s="338">
        <v>46150</v>
      </c>
      <c r="B407" s="294"/>
      <c r="C407" t="s" s="259">
        <v>1564</v>
      </c>
      <c r="D407" t="s" s="283">
        <v>1565</v>
      </c>
      <c r="E407" s="284"/>
      <c r="F407" s="285"/>
      <c r="G407" s="284">
        <v>200000</v>
      </c>
      <c r="H407" s="279" cm="1">
        <f t="array" ref="H407">(G407/I407)</f>
        <v>142.857142857143</v>
      </c>
      <c r="I407" s="284">
        <v>1400</v>
      </c>
      <c r="J407" s="280"/>
      <c r="K407" s="281"/>
      <c r="L407" s="264"/>
      <c r="M407" s="258"/>
      <c r="N407" s="258"/>
      <c r="O407" s="258"/>
      <c r="P407" s="258"/>
      <c r="Q407" s="258"/>
      <c r="R407" s="258"/>
      <c r="S407" s="258"/>
      <c r="T407" s="258"/>
      <c r="U407" s="258"/>
      <c r="V407" s="258"/>
      <c r="W407" s="258"/>
      <c r="X407" s="258"/>
      <c r="Y407" s="258"/>
      <c r="Z407" s="258"/>
      <c r="AA407" s="258"/>
      <c r="AB407" s="258"/>
    </row>
    <row r="408" ht="12.75" customHeight="1">
      <c r="A408" s="338">
        <v>46157</v>
      </c>
      <c r="B408" s="294"/>
      <c r="C408" t="s" s="259">
        <v>1561</v>
      </c>
      <c r="D408" t="s" s="283">
        <v>1566</v>
      </c>
      <c r="E408" s="284"/>
      <c r="F408" s="285"/>
      <c r="G408" s="284">
        <v>200000</v>
      </c>
      <c r="H408" s="279" cm="1">
        <f t="array" ref="H408">(G408/I408)</f>
        <v>140.845070422535</v>
      </c>
      <c r="I408" s="284">
        <v>1420</v>
      </c>
      <c r="J408" s="280"/>
      <c r="K408" s="281"/>
      <c r="L408" s="264"/>
      <c r="M408" s="258"/>
      <c r="N408" s="258"/>
      <c r="O408" s="258"/>
      <c r="P408" s="258"/>
      <c r="Q408" s="258"/>
      <c r="R408" s="258"/>
      <c r="S408" s="258"/>
      <c r="T408" s="258"/>
      <c r="U408" s="258"/>
      <c r="V408" s="258"/>
      <c r="W408" s="258"/>
      <c r="X408" s="258"/>
      <c r="Y408" s="258"/>
      <c r="Z408" s="258"/>
      <c r="AA408" s="258"/>
      <c r="AB408" s="258"/>
    </row>
    <row r="409" ht="12.75" customHeight="1">
      <c r="A409" s="338">
        <v>46164</v>
      </c>
      <c r="B409" s="294"/>
      <c r="C409" t="s" s="259">
        <v>1561</v>
      </c>
      <c r="D409" t="s" s="283">
        <v>1565</v>
      </c>
      <c r="E409" s="284"/>
      <c r="F409" s="285"/>
      <c r="G409" s="284">
        <v>200000</v>
      </c>
      <c r="H409" s="279" cm="1">
        <f t="array" ref="H409">(G409/I409)</f>
        <v>141.342756183746</v>
      </c>
      <c r="I409" s="284">
        <v>1415</v>
      </c>
      <c r="J409" s="280"/>
      <c r="K409" s="281"/>
      <c r="L409" s="264"/>
      <c r="M409" s="258"/>
      <c r="N409" s="258"/>
      <c r="O409" s="258"/>
      <c r="P409" s="258"/>
      <c r="Q409" s="258"/>
      <c r="R409" s="258"/>
      <c r="S409" s="258"/>
      <c r="T409" s="258"/>
      <c r="U409" s="258"/>
      <c r="V409" s="258"/>
      <c r="W409" s="258"/>
      <c r="X409" s="258"/>
      <c r="Y409" s="258"/>
      <c r="Z409" s="258"/>
      <c r="AA409" s="258"/>
      <c r="AB409" s="258"/>
    </row>
    <row r="410" ht="12.75" customHeight="1">
      <c r="A410" s="338">
        <v>46171</v>
      </c>
      <c r="B410" s="294"/>
      <c r="C410" t="s" s="259">
        <v>1567</v>
      </c>
      <c r="D410" t="s" s="283">
        <v>1568</v>
      </c>
      <c r="E410" s="284"/>
      <c r="F410" s="285"/>
      <c r="G410" s="284">
        <v>160000</v>
      </c>
      <c r="H410" s="279" cm="1">
        <f t="array" ref="H410">(G410/I410)</f>
        <v>112.676056338028</v>
      </c>
      <c r="I410" s="284">
        <v>1420</v>
      </c>
      <c r="J410" s="280"/>
      <c r="K410" s="281"/>
      <c r="L410" s="264"/>
      <c r="M410" s="258"/>
      <c r="N410" s="258"/>
      <c r="O410" s="258"/>
      <c r="P410" s="258"/>
      <c r="Q410" s="258"/>
      <c r="R410" s="258"/>
      <c r="S410" s="258"/>
      <c r="T410" s="258"/>
      <c r="U410" s="258"/>
      <c r="V410" s="258"/>
      <c r="W410" s="258"/>
      <c r="X410" s="258"/>
      <c r="Y410" s="258"/>
      <c r="Z410" s="258"/>
      <c r="AA410" s="258"/>
      <c r="AB410" s="258"/>
    </row>
    <row r="411" ht="12.75" customHeight="1">
      <c r="A411" s="338">
        <v>46171</v>
      </c>
      <c r="B411" s="294"/>
      <c r="C411" t="s" s="259">
        <v>1086</v>
      </c>
      <c r="D411" t="s" s="283">
        <v>1569</v>
      </c>
      <c r="E411" s="284"/>
      <c r="F411" s="285"/>
      <c r="G411" s="284">
        <v>20000000</v>
      </c>
      <c r="H411" s="286">
        <v>14300</v>
      </c>
      <c r="I411" s="284">
        <v>1398</v>
      </c>
      <c r="J411" s="280"/>
      <c r="K411" s="281"/>
      <c r="L411" s="264"/>
      <c r="M411" s="258"/>
      <c r="N411" s="258"/>
      <c r="O411" s="258"/>
      <c r="P411" s="258"/>
      <c r="Q411" s="258"/>
      <c r="R411" s="258"/>
      <c r="S411" s="258"/>
      <c r="T411" s="258"/>
      <c r="U411" s="258"/>
      <c r="V411" s="258"/>
      <c r="W411" s="258"/>
      <c r="X411" s="258"/>
      <c r="Y411" s="258"/>
      <c r="Z411" s="258"/>
      <c r="AA411" s="258"/>
      <c r="AB411" s="258"/>
    </row>
    <row r="412" ht="12.75" customHeight="1">
      <c r="A412" s="338">
        <v>46171</v>
      </c>
      <c r="B412" s="294"/>
      <c r="C412" t="s" s="259">
        <v>1555</v>
      </c>
      <c r="D412" t="s" s="283">
        <v>1570</v>
      </c>
      <c r="E412" s="284">
        <v>500000</v>
      </c>
      <c r="F412" s="285">
        <v>357.65</v>
      </c>
      <c r="G412" s="284"/>
      <c r="H412" s="286"/>
      <c r="I412" s="284"/>
      <c r="J412" s="280"/>
      <c r="K412" s="281"/>
      <c r="L412" s="264"/>
      <c r="M412" s="258"/>
      <c r="N412" s="258"/>
      <c r="O412" s="258"/>
      <c r="P412" s="258"/>
      <c r="Q412" s="258"/>
      <c r="R412" s="258"/>
      <c r="S412" s="258"/>
      <c r="T412" s="258"/>
      <c r="U412" s="258"/>
      <c r="V412" s="258"/>
      <c r="W412" s="258"/>
      <c r="X412" s="258"/>
      <c r="Y412" s="258"/>
      <c r="Z412" s="258"/>
      <c r="AA412" s="258"/>
      <c r="AB412" s="258"/>
    </row>
    <row r="413" ht="12.75" customHeight="1">
      <c r="A413" s="338">
        <v>46178</v>
      </c>
      <c r="B413" s="294"/>
      <c r="C413" t="s" s="259">
        <v>1561</v>
      </c>
      <c r="D413" t="s" s="283">
        <v>1565</v>
      </c>
      <c r="E413" s="284"/>
      <c r="F413" s="285"/>
      <c r="G413" s="284">
        <v>200000</v>
      </c>
      <c r="H413" s="286" cm="1">
        <f t="array" ref="H413">(G413/I413)</f>
        <v>139.178844815588</v>
      </c>
      <c r="I413" s="284">
        <v>1437</v>
      </c>
      <c r="J413" s="280"/>
      <c r="K413" s="281"/>
      <c r="L413" s="264"/>
      <c r="M413" s="258"/>
      <c r="N413" s="258"/>
      <c r="O413" s="258"/>
      <c r="P413" s="258"/>
      <c r="Q413" s="258"/>
      <c r="R413" s="258"/>
      <c r="S413" s="258"/>
      <c r="T413" s="258"/>
      <c r="U413" s="258"/>
      <c r="V413" s="258"/>
      <c r="W413" s="258"/>
      <c r="X413" s="258"/>
      <c r="Y413" s="258"/>
      <c r="Z413" s="258"/>
      <c r="AA413" s="258"/>
      <c r="AB413" s="258"/>
    </row>
    <row r="414" ht="12.75" customHeight="1">
      <c r="A414" s="338">
        <v>46178</v>
      </c>
      <c r="B414" s="294"/>
      <c r="C414" t="s" s="259">
        <v>1543</v>
      </c>
      <c r="D414" t="s" s="283">
        <v>1571</v>
      </c>
      <c r="E414" s="284"/>
      <c r="F414" s="285"/>
      <c r="G414" s="284">
        <v>750000</v>
      </c>
      <c r="H414" s="286" cm="1">
        <f t="array" ref="H414">(G414/I414)</f>
        <v>521.920668058455</v>
      </c>
      <c r="I414" s="284">
        <v>1437</v>
      </c>
      <c r="J414" s="280"/>
      <c r="K414" s="281"/>
      <c r="L414" s="264"/>
      <c r="M414" s="258"/>
      <c r="N414" s="258"/>
      <c r="O414" s="258"/>
      <c r="P414" s="258"/>
      <c r="Q414" s="258"/>
      <c r="R414" s="258"/>
      <c r="S414" s="258"/>
      <c r="T414" s="258"/>
      <c r="U414" s="258"/>
      <c r="V414" s="258"/>
      <c r="W414" s="258"/>
      <c r="X414" s="258"/>
      <c r="Y414" s="258"/>
      <c r="Z414" s="258"/>
      <c r="AA414" s="258"/>
      <c r="AB414" s="258"/>
    </row>
    <row r="415" ht="12.75" customHeight="1">
      <c r="A415" s="353">
        <v>46184</v>
      </c>
      <c r="B415" s="294"/>
      <c r="C415" t="s" s="259">
        <v>1567</v>
      </c>
      <c r="D415" t="s" s="283">
        <v>1565</v>
      </c>
      <c r="E415" s="284"/>
      <c r="F415" s="285"/>
      <c r="G415" s="284">
        <v>200000</v>
      </c>
      <c r="H415" s="286" cm="1">
        <f t="array" ref="H415">(G415/I415)</f>
        <v>134.589502018843</v>
      </c>
      <c r="I415" s="284">
        <v>1486</v>
      </c>
      <c r="J415" s="280"/>
      <c r="K415" s="281"/>
      <c r="L415" s="264"/>
      <c r="M415" s="258"/>
      <c r="N415" s="258"/>
      <c r="O415" s="258"/>
      <c r="P415" s="258"/>
      <c r="Q415" s="258"/>
      <c r="R415" s="258"/>
      <c r="S415" s="258"/>
      <c r="T415" s="258"/>
      <c r="U415" s="258"/>
      <c r="V415" s="258"/>
      <c r="W415" s="258"/>
      <c r="X415" s="258"/>
      <c r="Y415" s="258"/>
      <c r="Z415" s="258"/>
      <c r="AA415" s="258"/>
      <c r="AB415" s="258"/>
    </row>
    <row r="416" ht="12.75" customHeight="1">
      <c r="A416" s="338">
        <v>46192</v>
      </c>
      <c r="B416" s="294"/>
      <c r="C416" t="s" s="259">
        <v>1567</v>
      </c>
      <c r="D416" t="s" s="283">
        <v>1568</v>
      </c>
      <c r="E416" s="284"/>
      <c r="F416" s="285"/>
      <c r="G416" s="284">
        <v>160000</v>
      </c>
      <c r="H416" s="286" cm="1">
        <f t="array" ref="H416">(G416/I416)</f>
        <v>109.965635738832</v>
      </c>
      <c r="I416" s="284">
        <v>1455</v>
      </c>
      <c r="J416" s="280"/>
      <c r="K416" s="281"/>
      <c r="L416" s="264"/>
      <c r="M416" s="258"/>
      <c r="N416" s="258"/>
      <c r="O416" s="258"/>
      <c r="P416" s="258"/>
      <c r="Q416" s="258"/>
      <c r="R416" s="258"/>
      <c r="S416" s="258"/>
      <c r="T416" s="258"/>
      <c r="U416" s="258"/>
      <c r="V416" s="258"/>
      <c r="W416" s="258"/>
      <c r="X416" s="258"/>
      <c r="Y416" s="258"/>
      <c r="Z416" s="258"/>
      <c r="AA416" s="258"/>
      <c r="AB416" s="258"/>
    </row>
    <row r="417" ht="12.75" customHeight="1">
      <c r="A417" s="338">
        <v>46199</v>
      </c>
      <c r="B417" s="294"/>
      <c r="C417" t="s" s="259">
        <v>1567</v>
      </c>
      <c r="D417" t="s" s="283">
        <v>1568</v>
      </c>
      <c r="E417" s="284"/>
      <c r="F417" s="285"/>
      <c r="G417" s="284">
        <v>160000</v>
      </c>
      <c r="H417" s="286" cm="1">
        <f t="array" ref="H417">(G417/I417)</f>
        <v>109.965635738832</v>
      </c>
      <c r="I417" s="284">
        <v>1455</v>
      </c>
      <c r="J417" s="280"/>
      <c r="K417" s="281"/>
      <c r="L417" s="264"/>
      <c r="M417" s="258"/>
      <c r="N417" s="258"/>
      <c r="O417" s="258"/>
      <c r="P417" s="258"/>
      <c r="Q417" s="258"/>
      <c r="R417" s="258"/>
      <c r="S417" s="258"/>
      <c r="T417" s="258"/>
      <c r="U417" s="258"/>
      <c r="V417" s="258"/>
      <c r="W417" s="258"/>
      <c r="X417" s="258"/>
      <c r="Y417" s="258"/>
      <c r="Z417" s="258"/>
      <c r="AA417" s="258"/>
      <c r="AB417" s="258"/>
    </row>
    <row r="418" ht="12.75" customHeight="1">
      <c r="A418" s="338">
        <v>46213</v>
      </c>
      <c r="B418" s="294"/>
      <c r="C418" t="s" s="259">
        <v>1543</v>
      </c>
      <c r="D418" t="s" s="283">
        <v>1572</v>
      </c>
      <c r="E418" s="284"/>
      <c r="F418" s="285"/>
      <c r="G418" s="284">
        <v>1200000</v>
      </c>
      <c r="H418" s="286" cm="1">
        <f t="array" ref="H418">(G418/I418)</f>
        <v>808.080808080808</v>
      </c>
      <c r="I418" s="284">
        <v>1485</v>
      </c>
      <c r="J418" s="280"/>
      <c r="K418" s="281"/>
      <c r="L418" s="264"/>
      <c r="M418" s="258"/>
      <c r="N418" s="258"/>
      <c r="O418" s="258"/>
      <c r="P418" s="258"/>
      <c r="Q418" s="258"/>
      <c r="R418" s="258"/>
      <c r="S418" s="258"/>
      <c r="T418" s="258"/>
      <c r="U418" s="258"/>
      <c r="V418" s="258"/>
      <c r="W418" s="258"/>
      <c r="X418" s="258"/>
      <c r="Y418" s="258"/>
      <c r="Z418" s="258"/>
      <c r="AA418" s="258"/>
      <c r="AB418" s="258"/>
    </row>
    <row r="419" ht="12.75" customHeight="1">
      <c r="A419" s="338">
        <v>46220</v>
      </c>
      <c r="B419" s="294"/>
      <c r="C419" t="s" s="259">
        <v>1573</v>
      </c>
      <c r="D419" t="s" s="283">
        <v>1574</v>
      </c>
      <c r="E419" s="284"/>
      <c r="F419" s="285"/>
      <c r="G419" s="284">
        <v>800000</v>
      </c>
      <c r="H419" s="286" cm="1">
        <f t="array" ref="H419">(G419/I419)</f>
        <v>542.372881355932</v>
      </c>
      <c r="I419" s="284">
        <v>1475</v>
      </c>
      <c r="J419" s="280"/>
      <c r="K419" s="281"/>
      <c r="L419" s="264"/>
      <c r="M419" s="258"/>
      <c r="N419" s="258"/>
      <c r="O419" s="258"/>
      <c r="P419" s="258"/>
      <c r="Q419" s="258"/>
      <c r="R419" s="258"/>
      <c r="S419" s="258"/>
      <c r="T419" s="258"/>
      <c r="U419" s="258"/>
      <c r="V419" s="258"/>
      <c r="W419" s="258"/>
      <c r="X419" s="258"/>
      <c r="Y419" s="258"/>
      <c r="Z419" s="258"/>
      <c r="AA419" s="258"/>
      <c r="AB419" s="258"/>
    </row>
    <row r="420" ht="12.75" customHeight="1">
      <c r="A420" s="338">
        <v>46244</v>
      </c>
      <c r="B420" s="294"/>
      <c r="C420" t="s" s="259">
        <v>1575</v>
      </c>
      <c r="D420" t="s" s="283">
        <v>1576</v>
      </c>
      <c r="E420" s="284"/>
      <c r="F420" s="285"/>
      <c r="G420" s="284">
        <v>800000</v>
      </c>
      <c r="H420" s="286" cm="1">
        <f t="array" ref="H420">(G420/I420)</f>
        <v>524.590163934426</v>
      </c>
      <c r="I420" s="284">
        <v>1525</v>
      </c>
      <c r="J420" s="280"/>
      <c r="K420" s="281"/>
      <c r="L420" s="264"/>
      <c r="M420" s="258"/>
      <c r="N420" s="258"/>
      <c r="O420" s="258"/>
      <c r="P420" s="258"/>
      <c r="Q420" s="258"/>
      <c r="R420" s="258"/>
      <c r="S420" s="258"/>
      <c r="T420" s="258"/>
      <c r="U420" s="258"/>
      <c r="V420" s="258"/>
      <c r="W420" s="258"/>
      <c r="X420" s="258"/>
      <c r="Y420" s="258"/>
      <c r="Z420" s="258"/>
      <c r="AA420" s="258"/>
      <c r="AB420" s="258"/>
    </row>
    <row r="421" ht="12.75" customHeight="1">
      <c r="A421" s="338">
        <v>46260</v>
      </c>
      <c r="B421" s="294"/>
      <c r="C421" t="s" s="259">
        <v>1364</v>
      </c>
      <c r="D421" t="s" s="283">
        <v>1577</v>
      </c>
      <c r="E421" s="284"/>
      <c r="F421" s="285"/>
      <c r="G421" s="284">
        <v>185000</v>
      </c>
      <c r="H421" s="286" cm="1">
        <f t="array" ref="H421">(G421/I421)</f>
        <v>119.741100323625</v>
      </c>
      <c r="I421" s="284">
        <v>1545</v>
      </c>
      <c r="J421" s="280"/>
      <c r="K421" s="281"/>
      <c r="L421" s="264"/>
      <c r="M421" s="258"/>
      <c r="N421" s="258"/>
      <c r="O421" s="258"/>
      <c r="P421" s="258"/>
      <c r="Q421" s="258"/>
      <c r="R421" s="258"/>
      <c r="S421" s="258"/>
      <c r="T421" s="258"/>
      <c r="U421" s="258"/>
      <c r="V421" s="258"/>
      <c r="W421" s="258"/>
      <c r="X421" s="258"/>
      <c r="Y421" s="258"/>
      <c r="Z421" s="258"/>
      <c r="AA421" s="258"/>
      <c r="AB421" s="258"/>
    </row>
    <row r="422" ht="12.75" customHeight="1">
      <c r="A422" s="338"/>
      <c r="B422" s="294"/>
      <c r="C422" s="294"/>
      <c r="D422" s="321"/>
      <c r="E422" s="284"/>
      <c r="F422" s="285"/>
      <c r="G422" s="284"/>
      <c r="H422" s="286"/>
      <c r="I422" s="284"/>
      <c r="J422" s="280"/>
      <c r="K422" s="281"/>
      <c r="L422" s="264"/>
      <c r="M422" s="258"/>
      <c r="N422" s="258"/>
      <c r="O422" s="258"/>
      <c r="P422" s="258"/>
      <c r="Q422" s="258"/>
      <c r="R422" s="258"/>
      <c r="S422" s="258"/>
      <c r="T422" s="258"/>
      <c r="U422" s="258"/>
      <c r="V422" s="258"/>
      <c r="W422" s="258"/>
      <c r="X422" s="258"/>
      <c r="Y422" s="258"/>
      <c r="Z422" s="258"/>
      <c r="AA422" s="258"/>
      <c r="AB422" s="258"/>
    </row>
    <row r="423" ht="12.75" customHeight="1">
      <c r="A423" s="338"/>
      <c r="B423" s="294"/>
      <c r="C423" s="294"/>
      <c r="D423" s="321"/>
      <c r="E423" s="284"/>
      <c r="F423" s="285"/>
      <c r="G423" s="284"/>
      <c r="H423" s="286"/>
      <c r="I423" s="284"/>
      <c r="J423" s="280"/>
      <c r="K423" s="281"/>
      <c r="L423" s="264"/>
      <c r="M423" s="258"/>
      <c r="N423" s="258"/>
      <c r="O423" s="258"/>
      <c r="P423" s="258"/>
      <c r="Q423" s="258"/>
      <c r="R423" s="258"/>
      <c r="S423" s="258"/>
      <c r="T423" s="258"/>
      <c r="U423" s="258"/>
      <c r="V423" s="258"/>
      <c r="W423" s="258"/>
      <c r="X423" s="258"/>
      <c r="Y423" s="258"/>
      <c r="Z423" s="258"/>
      <c r="AA423" s="258"/>
      <c r="AB423" s="258"/>
    </row>
    <row r="424" ht="12.75" customHeight="1">
      <c r="A424" s="338"/>
      <c r="B424" s="294"/>
      <c r="C424" s="294"/>
      <c r="D424" s="321"/>
      <c r="E424" s="284"/>
      <c r="F424" s="285"/>
      <c r="G424" s="284"/>
      <c r="H424" s="286"/>
      <c r="I424" s="284"/>
      <c r="J424" s="280"/>
      <c r="K424" s="281"/>
      <c r="L424" s="264"/>
      <c r="M424" s="258"/>
      <c r="N424" s="258"/>
      <c r="O424" s="258"/>
      <c r="P424" s="258"/>
      <c r="Q424" s="258"/>
      <c r="R424" s="258"/>
      <c r="S424" s="258"/>
      <c r="T424" s="258"/>
      <c r="U424" s="258"/>
      <c r="V424" s="258"/>
      <c r="W424" s="258"/>
      <c r="X424" s="258"/>
      <c r="Y424" s="258"/>
      <c r="Z424" s="258"/>
      <c r="AA424" s="258"/>
      <c r="AB424" s="258"/>
    </row>
    <row r="425" ht="12.75" customHeight="1">
      <c r="A425" s="338"/>
      <c r="B425" s="294"/>
      <c r="C425" s="294"/>
      <c r="D425" s="321"/>
      <c r="E425" s="284"/>
      <c r="F425" s="285"/>
      <c r="G425" s="284"/>
      <c r="H425" s="286"/>
      <c r="I425" s="284"/>
      <c r="J425" s="280"/>
      <c r="K425" s="281"/>
      <c r="L425" s="264"/>
      <c r="M425" s="258"/>
      <c r="N425" s="258"/>
      <c r="O425" s="258"/>
      <c r="P425" s="258"/>
      <c r="Q425" s="258"/>
      <c r="R425" s="258"/>
      <c r="S425" s="258"/>
      <c r="T425" s="258"/>
      <c r="U425" s="258"/>
      <c r="V425" s="258"/>
      <c r="W425" s="258"/>
      <c r="X425" s="258"/>
      <c r="Y425" s="258"/>
      <c r="Z425" s="258"/>
      <c r="AA425" s="258"/>
      <c r="AB425" s="258"/>
    </row>
    <row r="426" ht="12.75" customHeight="1">
      <c r="A426" s="338"/>
      <c r="B426" s="294"/>
      <c r="C426" s="294"/>
      <c r="D426" s="321"/>
      <c r="E426" s="284"/>
      <c r="F426" s="285"/>
      <c r="G426" s="284"/>
      <c r="H426" s="286"/>
      <c r="I426" s="284"/>
      <c r="J426" s="280"/>
      <c r="K426" s="281"/>
      <c r="L426" s="264"/>
      <c r="M426" s="258"/>
      <c r="N426" s="258"/>
      <c r="O426" s="258"/>
      <c r="P426" s="258"/>
      <c r="Q426" s="258"/>
      <c r="R426" s="258"/>
      <c r="S426" s="258"/>
      <c r="T426" s="258"/>
      <c r="U426" s="258"/>
      <c r="V426" s="258"/>
      <c r="W426" s="258"/>
      <c r="X426" s="258"/>
      <c r="Y426" s="258"/>
      <c r="Z426" s="258"/>
      <c r="AA426" s="258"/>
      <c r="AB426" s="258"/>
    </row>
    <row r="427" ht="12.75" customHeight="1">
      <c r="A427" s="338"/>
      <c r="B427" s="294"/>
      <c r="C427" s="294"/>
      <c r="D427" s="321"/>
      <c r="E427" s="284"/>
      <c r="F427" s="285"/>
      <c r="G427" s="284"/>
      <c r="H427" s="286"/>
      <c r="I427" s="284"/>
      <c r="J427" s="280"/>
      <c r="K427" s="281"/>
      <c r="L427" s="264"/>
      <c r="M427" s="258"/>
      <c r="N427" s="258"/>
      <c r="O427" s="258"/>
      <c r="P427" s="258"/>
      <c r="Q427" s="258"/>
      <c r="R427" s="258"/>
      <c r="S427" s="258"/>
      <c r="T427" s="258"/>
      <c r="U427" s="258"/>
      <c r="V427" s="258"/>
      <c r="W427" s="258"/>
      <c r="X427" s="258"/>
      <c r="Y427" s="258"/>
      <c r="Z427" s="258"/>
      <c r="AA427" s="258"/>
      <c r="AB427" s="258"/>
    </row>
    <row r="428" ht="12.75" customHeight="1">
      <c r="A428" s="338"/>
      <c r="B428" s="294"/>
      <c r="C428" s="294"/>
      <c r="D428" s="321"/>
      <c r="E428" s="284"/>
      <c r="F428" s="285"/>
      <c r="G428" s="284"/>
      <c r="H428" s="286"/>
      <c r="I428" s="284"/>
      <c r="J428" s="280"/>
      <c r="K428" s="281"/>
      <c r="L428" s="264"/>
      <c r="M428" s="258"/>
      <c r="N428" s="258"/>
      <c r="O428" s="258"/>
      <c r="P428" s="258"/>
      <c r="Q428" s="258"/>
      <c r="R428" s="258"/>
      <c r="S428" s="258"/>
      <c r="T428" s="258"/>
      <c r="U428" s="258"/>
      <c r="V428" s="258"/>
      <c r="W428" s="258"/>
      <c r="X428" s="258"/>
      <c r="Y428" s="258"/>
      <c r="Z428" s="258"/>
      <c r="AA428" s="258"/>
      <c r="AB428" s="258"/>
    </row>
    <row r="429" ht="12.75" customHeight="1">
      <c r="A429" s="338"/>
      <c r="B429" s="294"/>
      <c r="C429" s="294"/>
      <c r="D429" s="321"/>
      <c r="E429" s="284"/>
      <c r="F429" s="285"/>
      <c r="G429" s="284"/>
      <c r="H429" s="286"/>
      <c r="I429" s="284"/>
      <c r="J429" s="280"/>
      <c r="K429" s="281"/>
      <c r="L429" s="264"/>
      <c r="M429" s="258"/>
      <c r="N429" s="258"/>
      <c r="O429" s="258"/>
      <c r="P429" s="258"/>
      <c r="Q429" s="258"/>
      <c r="R429" s="258"/>
      <c r="S429" s="258"/>
      <c r="T429" s="258"/>
      <c r="U429" s="258"/>
      <c r="V429" s="258"/>
      <c r="W429" s="258"/>
      <c r="X429" s="258"/>
      <c r="Y429" s="258"/>
      <c r="Z429" s="258"/>
      <c r="AA429" s="258"/>
      <c r="AB429" s="258"/>
    </row>
    <row r="430" ht="12.75" customHeight="1">
      <c r="A430" s="338"/>
      <c r="B430" s="294"/>
      <c r="C430" s="294"/>
      <c r="D430" s="321"/>
      <c r="E430" s="284"/>
      <c r="F430" s="285"/>
      <c r="G430" s="284"/>
      <c r="H430" s="286"/>
      <c r="I430" s="284"/>
      <c r="J430" s="280"/>
      <c r="K430" s="281"/>
      <c r="L430" s="264"/>
      <c r="M430" s="258"/>
      <c r="N430" s="258"/>
      <c r="O430" s="258"/>
      <c r="P430" s="258"/>
      <c r="Q430" s="258"/>
      <c r="R430" s="258"/>
      <c r="S430" s="258"/>
      <c r="T430" s="258"/>
      <c r="U430" s="258"/>
      <c r="V430" s="258"/>
      <c r="W430" s="258"/>
      <c r="X430" s="258"/>
      <c r="Y430" s="258"/>
      <c r="Z430" s="258"/>
      <c r="AA430" s="258"/>
      <c r="AB430" s="258"/>
    </row>
    <row r="431" ht="12.75" customHeight="1">
      <c r="A431" s="338"/>
      <c r="B431" s="294"/>
      <c r="C431" s="294"/>
      <c r="D431" s="321"/>
      <c r="E431" s="284"/>
      <c r="F431" s="285"/>
      <c r="G431" s="284"/>
      <c r="H431" s="286"/>
      <c r="I431" s="284"/>
      <c r="J431" s="280"/>
      <c r="K431" s="281"/>
      <c r="L431" s="264"/>
      <c r="M431" s="258"/>
      <c r="N431" s="258"/>
      <c r="O431" s="258"/>
      <c r="P431" s="258"/>
      <c r="Q431" s="258"/>
      <c r="R431" s="258"/>
      <c r="S431" s="258"/>
      <c r="T431" s="258"/>
      <c r="U431" s="258"/>
      <c r="V431" s="258"/>
      <c r="W431" s="258"/>
      <c r="X431" s="258"/>
      <c r="Y431" s="258"/>
      <c r="Z431" s="258"/>
      <c r="AA431" s="258"/>
      <c r="AB431" s="258"/>
    </row>
    <row r="432" ht="12.75" customHeight="1">
      <c r="A432" s="338"/>
      <c r="B432" s="294"/>
      <c r="C432" s="294"/>
      <c r="D432" s="321"/>
      <c r="E432" s="284"/>
      <c r="F432" s="285"/>
      <c r="G432" s="284"/>
      <c r="H432" s="286"/>
      <c r="I432" s="284"/>
      <c r="J432" s="280"/>
      <c r="K432" s="281"/>
      <c r="L432" s="264"/>
      <c r="M432" s="258"/>
      <c r="N432" s="258"/>
      <c r="O432" s="258"/>
      <c r="P432" s="258"/>
      <c r="Q432" s="258"/>
      <c r="R432" s="258"/>
      <c r="S432" s="258"/>
      <c r="T432" s="258"/>
      <c r="U432" s="258"/>
      <c r="V432" s="258"/>
      <c r="W432" s="258"/>
      <c r="X432" s="258"/>
      <c r="Y432" s="258"/>
      <c r="Z432" s="258"/>
      <c r="AA432" s="258"/>
      <c r="AB432" s="258"/>
    </row>
    <row r="433" ht="12.75" customHeight="1">
      <c r="A433" s="338"/>
      <c r="B433" s="294"/>
      <c r="C433" s="294"/>
      <c r="D433" s="321"/>
      <c r="E433" s="284"/>
      <c r="F433" s="285"/>
      <c r="G433" s="284"/>
      <c r="H433" s="286"/>
      <c r="I433" s="284"/>
      <c r="J433" s="280"/>
      <c r="K433" s="281"/>
      <c r="L433" s="264"/>
      <c r="M433" s="258"/>
      <c r="N433" s="258"/>
      <c r="O433" s="258"/>
      <c r="P433" s="258"/>
      <c r="Q433" s="258"/>
      <c r="R433" s="258"/>
      <c r="S433" s="258"/>
      <c r="T433" s="258"/>
      <c r="U433" s="258"/>
      <c r="V433" s="258"/>
      <c r="W433" s="258"/>
      <c r="X433" s="258"/>
      <c r="Y433" s="258"/>
      <c r="Z433" s="258"/>
      <c r="AA433" s="258"/>
      <c r="AB433" s="258"/>
    </row>
    <row r="434" ht="12.75" customHeight="1">
      <c r="A434" s="338"/>
      <c r="B434" s="294"/>
      <c r="C434" s="294"/>
      <c r="D434" s="321"/>
      <c r="E434" s="284"/>
      <c r="F434" s="285"/>
      <c r="G434" s="284"/>
      <c r="H434" s="286"/>
      <c r="I434" s="284"/>
      <c r="J434" s="280"/>
      <c r="K434" s="281"/>
      <c r="L434" s="264"/>
      <c r="M434" s="258"/>
      <c r="N434" s="258"/>
      <c r="O434" s="258"/>
      <c r="P434" s="258"/>
      <c r="Q434" s="258"/>
      <c r="R434" s="258"/>
      <c r="S434" s="258"/>
      <c r="T434" s="258"/>
      <c r="U434" s="258"/>
      <c r="V434" s="258"/>
      <c r="W434" s="258"/>
      <c r="X434" s="258"/>
      <c r="Y434" s="258"/>
      <c r="Z434" s="258"/>
      <c r="AA434" s="258"/>
      <c r="AB434" s="258"/>
    </row>
    <row r="435" ht="12.75" customHeight="1">
      <c r="A435" s="338"/>
      <c r="B435" s="294"/>
      <c r="C435" s="294"/>
      <c r="D435" s="321"/>
      <c r="E435" s="284"/>
      <c r="F435" s="285"/>
      <c r="G435" s="284"/>
      <c r="H435" s="286"/>
      <c r="I435" s="284"/>
      <c r="J435" s="280"/>
      <c r="K435" s="281"/>
      <c r="L435" s="264"/>
      <c r="M435" s="258"/>
      <c r="N435" s="258"/>
      <c r="O435" s="258"/>
      <c r="P435" s="258"/>
      <c r="Q435" s="258"/>
      <c r="R435" s="258"/>
      <c r="S435" s="258"/>
      <c r="T435" s="258"/>
      <c r="U435" s="258"/>
      <c r="V435" s="258"/>
      <c r="W435" s="258"/>
      <c r="X435" s="258"/>
      <c r="Y435" s="258"/>
      <c r="Z435" s="258"/>
      <c r="AA435" s="258"/>
      <c r="AB435" s="258"/>
    </row>
    <row r="436" ht="12.75" customHeight="1">
      <c r="A436" s="338"/>
      <c r="B436" s="294"/>
      <c r="C436" s="294"/>
      <c r="D436" s="321"/>
      <c r="E436" s="284"/>
      <c r="F436" s="285"/>
      <c r="G436" s="284"/>
      <c r="H436" s="286"/>
      <c r="I436" s="284"/>
      <c r="J436" s="280"/>
      <c r="K436" s="281"/>
      <c r="L436" s="264"/>
      <c r="M436" s="258"/>
      <c r="N436" s="258"/>
      <c r="O436" s="258"/>
      <c r="P436" s="258"/>
      <c r="Q436" s="258"/>
      <c r="R436" s="258"/>
      <c r="S436" s="258"/>
      <c r="T436" s="258"/>
      <c r="U436" s="258"/>
      <c r="V436" s="258"/>
      <c r="W436" s="258"/>
      <c r="X436" s="258"/>
      <c r="Y436" s="258"/>
      <c r="Z436" s="258"/>
      <c r="AA436" s="258"/>
      <c r="AB436" s="258"/>
    </row>
    <row r="437" ht="12.75" customHeight="1">
      <c r="A437" s="338"/>
      <c r="B437" s="294"/>
      <c r="C437" s="294"/>
      <c r="D437" s="321"/>
      <c r="E437" s="284"/>
      <c r="F437" s="285"/>
      <c r="G437" s="284"/>
      <c r="H437" s="286"/>
      <c r="I437" s="284"/>
      <c r="J437" s="280"/>
      <c r="K437" s="281"/>
      <c r="L437" s="264"/>
      <c r="M437" s="258"/>
      <c r="N437" s="258"/>
      <c r="O437" s="258"/>
      <c r="P437" s="258"/>
      <c r="Q437" s="258"/>
      <c r="R437" s="258"/>
      <c r="S437" s="258"/>
      <c r="T437" s="258"/>
      <c r="U437" s="258"/>
      <c r="V437" s="258"/>
      <c r="W437" s="258"/>
      <c r="X437" s="258"/>
      <c r="Y437" s="258"/>
      <c r="Z437" s="258"/>
      <c r="AA437" s="258"/>
      <c r="AB437" s="258"/>
    </row>
    <row r="438" ht="12.75" customHeight="1">
      <c r="A438" s="338"/>
      <c r="B438" s="294"/>
      <c r="C438" s="294"/>
      <c r="D438" s="321"/>
      <c r="E438" s="284"/>
      <c r="F438" s="285"/>
      <c r="G438" s="284"/>
      <c r="H438" s="286"/>
      <c r="I438" s="284"/>
      <c r="J438" s="280"/>
      <c r="K438" s="281"/>
      <c r="L438" s="264"/>
      <c r="M438" s="258"/>
      <c r="N438" s="258"/>
      <c r="O438" s="258"/>
      <c r="P438" s="258"/>
      <c r="Q438" s="258"/>
      <c r="R438" s="258"/>
      <c r="S438" s="258"/>
      <c r="T438" s="258"/>
      <c r="U438" s="258"/>
      <c r="V438" s="258"/>
      <c r="W438" s="258"/>
      <c r="X438" s="258"/>
      <c r="Y438" s="258"/>
      <c r="Z438" s="258"/>
      <c r="AA438" s="258"/>
      <c r="AB438" s="258"/>
    </row>
    <row r="439" ht="12.75" customHeight="1">
      <c r="A439" s="338"/>
      <c r="B439" s="294"/>
      <c r="C439" s="294"/>
      <c r="D439" s="321"/>
      <c r="E439" s="284"/>
      <c r="F439" s="285"/>
      <c r="G439" s="284"/>
      <c r="H439" s="286"/>
      <c r="I439" s="284"/>
      <c r="J439" s="280"/>
      <c r="K439" s="281"/>
      <c r="L439" s="264"/>
      <c r="M439" s="258"/>
      <c r="N439" s="258"/>
      <c r="O439" s="258"/>
      <c r="P439" s="258"/>
      <c r="Q439" s="258"/>
      <c r="R439" s="258"/>
      <c r="S439" s="258"/>
      <c r="T439" s="258"/>
      <c r="U439" s="258"/>
      <c r="V439" s="258"/>
      <c r="W439" s="258"/>
      <c r="X439" s="258"/>
      <c r="Y439" s="258"/>
      <c r="Z439" s="258"/>
      <c r="AA439" s="258"/>
      <c r="AB439" s="258"/>
    </row>
    <row r="440" ht="12.75" customHeight="1">
      <c r="A440" s="338"/>
      <c r="B440" s="294"/>
      <c r="C440" s="294"/>
      <c r="D440" s="321"/>
      <c r="E440" s="284"/>
      <c r="F440" s="285"/>
      <c r="G440" s="284"/>
      <c r="H440" s="286"/>
      <c r="I440" s="284"/>
      <c r="J440" s="280"/>
      <c r="K440" s="281"/>
      <c r="L440" s="264"/>
      <c r="M440" s="258"/>
      <c r="N440" s="258"/>
      <c r="O440" s="258"/>
      <c r="P440" s="258"/>
      <c r="Q440" s="258"/>
      <c r="R440" s="258"/>
      <c r="S440" s="258"/>
      <c r="T440" s="258"/>
      <c r="U440" s="258"/>
      <c r="V440" s="258"/>
      <c r="W440" s="258"/>
      <c r="X440" s="258"/>
      <c r="Y440" s="258"/>
      <c r="Z440" s="258"/>
      <c r="AA440" s="258"/>
      <c r="AB440" s="258"/>
    </row>
    <row r="441" ht="12.75" customHeight="1">
      <c r="A441" s="338"/>
      <c r="B441" s="294"/>
      <c r="C441" s="294"/>
      <c r="D441" s="321"/>
      <c r="E441" s="284"/>
      <c r="F441" s="285"/>
      <c r="G441" s="284"/>
      <c r="H441" s="286"/>
      <c r="I441" s="284"/>
      <c r="J441" s="280"/>
      <c r="K441" s="281"/>
      <c r="L441" s="264"/>
      <c r="M441" s="258"/>
      <c r="N441" s="258"/>
      <c r="O441" s="258"/>
      <c r="P441" s="258"/>
      <c r="Q441" s="258"/>
      <c r="R441" s="258"/>
      <c r="S441" s="258"/>
      <c r="T441" s="258"/>
      <c r="U441" s="258"/>
      <c r="V441" s="258"/>
      <c r="W441" s="258"/>
      <c r="X441" s="258"/>
      <c r="Y441" s="258"/>
      <c r="Z441" s="258"/>
      <c r="AA441" s="258"/>
      <c r="AB441" s="258"/>
    </row>
    <row r="442" ht="12.75" customHeight="1">
      <c r="A442" s="338"/>
      <c r="B442" s="294"/>
      <c r="C442" s="294"/>
      <c r="D442" s="321"/>
      <c r="E442" s="284"/>
      <c r="F442" s="285"/>
      <c r="G442" s="284"/>
      <c r="H442" s="286"/>
      <c r="I442" s="284"/>
      <c r="J442" s="280"/>
      <c r="K442" s="281"/>
      <c r="L442" s="264"/>
      <c r="M442" s="258"/>
      <c r="N442" s="258"/>
      <c r="O442" s="258"/>
      <c r="P442" s="258"/>
      <c r="Q442" s="258"/>
      <c r="R442" s="258"/>
      <c r="S442" s="258"/>
      <c r="T442" s="258"/>
      <c r="U442" s="258"/>
      <c r="V442" s="258"/>
      <c r="W442" s="258"/>
      <c r="X442" s="258"/>
      <c r="Y442" s="258"/>
      <c r="Z442" s="258"/>
      <c r="AA442" s="258"/>
      <c r="AB442" s="258"/>
    </row>
    <row r="443" ht="12.75" customHeight="1">
      <c r="A443" s="287"/>
      <c r="B443" s="294"/>
      <c r="C443" s="294"/>
      <c r="D443" s="321"/>
      <c r="E443" s="284"/>
      <c r="F443" s="285"/>
      <c r="G443" s="284"/>
      <c r="H443" s="286"/>
      <c r="I443" s="284"/>
      <c r="J443" s="280"/>
      <c r="K443" s="281"/>
      <c r="L443" s="264"/>
      <c r="M443" s="258"/>
      <c r="N443" s="258"/>
      <c r="O443" s="258"/>
      <c r="P443" s="258"/>
      <c r="Q443" s="258"/>
      <c r="R443" s="258"/>
      <c r="S443" s="258"/>
      <c r="T443" s="258"/>
      <c r="U443" s="258"/>
      <c r="V443" s="258"/>
      <c r="W443" s="258"/>
      <c r="X443" s="258"/>
      <c r="Y443" s="258"/>
      <c r="Z443" s="258"/>
      <c r="AA443" s="258"/>
      <c r="AB443" s="258"/>
    </row>
    <row r="444" ht="12.75" customHeight="1">
      <c r="A444" s="355"/>
      <c r="B444" s="282"/>
      <c r="C444" s="282"/>
      <c r="D444" s="321"/>
      <c r="E444" s="284"/>
      <c r="F444" s="285"/>
      <c r="G444" s="284"/>
      <c r="H444" s="286"/>
      <c r="I444" s="284"/>
      <c r="J444" s="280"/>
      <c r="K444" s="281"/>
      <c r="L444" s="264"/>
      <c r="M444" s="258"/>
      <c r="N444" s="258"/>
      <c r="O444" s="258"/>
      <c r="P444" s="258"/>
      <c r="Q444" s="258"/>
      <c r="R444" s="258"/>
      <c r="S444" s="258"/>
      <c r="T444" s="258"/>
      <c r="U444" s="258"/>
      <c r="V444" s="258"/>
      <c r="W444" s="258"/>
      <c r="X444" s="258"/>
      <c r="Y444" s="258"/>
      <c r="Z444" s="258"/>
      <c r="AA444" s="258"/>
      <c r="AB444" s="258"/>
    </row>
    <row r="445" ht="12.75" customHeight="1">
      <c r="A445" s="355"/>
      <c r="B445" s="282"/>
      <c r="C445" s="282"/>
      <c r="D445" s="321"/>
      <c r="E445" s="284"/>
      <c r="F445" s="285"/>
      <c r="G445" s="284"/>
      <c r="H445" s="286"/>
      <c r="I445" s="284"/>
      <c r="J445" s="280"/>
      <c r="K445" s="281"/>
      <c r="L445" s="264"/>
      <c r="M445" s="258"/>
      <c r="N445" s="258"/>
      <c r="O445" s="258"/>
      <c r="P445" s="258"/>
      <c r="Q445" s="258"/>
      <c r="R445" s="258"/>
      <c r="S445" s="258"/>
      <c r="T445" s="258"/>
      <c r="U445" s="258"/>
      <c r="V445" s="258"/>
      <c r="W445" s="258"/>
      <c r="X445" s="258"/>
      <c r="Y445" s="258"/>
      <c r="Z445" s="258"/>
      <c r="AA445" s="258"/>
      <c r="AB445" s="258"/>
    </row>
    <row r="446" ht="12.75" customHeight="1">
      <c r="A446" s="355"/>
      <c r="B446" s="282"/>
      <c r="C446" s="282"/>
      <c r="D446" s="321"/>
      <c r="E446" s="284"/>
      <c r="F446" s="285"/>
      <c r="G446" s="284"/>
      <c r="H446" s="286"/>
      <c r="I446" s="284"/>
      <c r="J446" s="280"/>
      <c r="K446" s="281"/>
      <c r="L446" s="264"/>
      <c r="M446" s="258"/>
      <c r="N446" s="258"/>
      <c r="O446" s="258"/>
      <c r="P446" s="258"/>
      <c r="Q446" s="258"/>
      <c r="R446" s="258"/>
      <c r="S446" s="258"/>
      <c r="T446" s="258"/>
      <c r="U446" s="258"/>
      <c r="V446" s="258"/>
      <c r="W446" s="258"/>
      <c r="X446" s="258"/>
      <c r="Y446" s="258"/>
      <c r="Z446" s="258"/>
      <c r="AA446" s="258"/>
      <c r="AB446" s="258"/>
    </row>
    <row r="447" ht="12.75" customHeight="1">
      <c r="A447" s="355"/>
      <c r="B447" s="282"/>
      <c r="C447" s="282"/>
      <c r="D447" s="321"/>
      <c r="E447" s="284"/>
      <c r="F447" s="285"/>
      <c r="G447" s="284"/>
      <c r="H447" s="286"/>
      <c r="I447" s="284"/>
      <c r="J447" s="280"/>
      <c r="K447" s="281"/>
      <c r="L447" s="264"/>
      <c r="M447" s="258"/>
      <c r="N447" s="258"/>
      <c r="O447" s="258"/>
      <c r="P447" s="258"/>
      <c r="Q447" s="258"/>
      <c r="R447" s="258"/>
      <c r="S447" s="258"/>
      <c r="T447" s="258"/>
      <c r="U447" s="258"/>
      <c r="V447" s="258"/>
      <c r="W447" s="258"/>
      <c r="X447" s="258"/>
      <c r="Y447" s="258"/>
      <c r="Z447" s="258"/>
      <c r="AA447" s="258"/>
      <c r="AB447" s="258"/>
    </row>
    <row r="448" ht="12.75" customHeight="1">
      <c r="A448" s="355"/>
      <c r="B448" s="282"/>
      <c r="C448" s="282"/>
      <c r="D448" s="321"/>
      <c r="E448" s="284"/>
      <c r="F448" s="285"/>
      <c r="G448" s="284"/>
      <c r="H448" s="286"/>
      <c r="I448" s="284"/>
      <c r="J448" s="280"/>
      <c r="K448" s="281"/>
      <c r="L448" s="264"/>
      <c r="M448" s="258"/>
      <c r="N448" s="258"/>
      <c r="O448" s="258"/>
      <c r="P448" s="258"/>
      <c r="Q448" s="258"/>
      <c r="R448" s="258"/>
      <c r="S448" s="258"/>
      <c r="T448" s="258"/>
      <c r="U448" s="258"/>
      <c r="V448" s="258"/>
      <c r="W448" s="258"/>
      <c r="X448" s="258"/>
      <c r="Y448" s="258"/>
      <c r="Z448" s="258"/>
      <c r="AA448" s="258"/>
      <c r="AB448" s="258"/>
    </row>
    <row r="449" ht="12.75" customHeight="1">
      <c r="A449" s="355"/>
      <c r="B449" s="282"/>
      <c r="C449" s="282"/>
      <c r="D449" s="321"/>
      <c r="E449" s="284"/>
      <c r="F449" s="285"/>
      <c r="G449" s="284"/>
      <c r="H449" s="286"/>
      <c r="I449" s="284"/>
      <c r="J449" s="280"/>
      <c r="K449" s="281"/>
      <c r="L449" s="264"/>
      <c r="M449" s="258"/>
      <c r="N449" s="258"/>
      <c r="O449" s="258"/>
      <c r="P449" s="258"/>
      <c r="Q449" s="258"/>
      <c r="R449" s="258"/>
      <c r="S449" s="258"/>
      <c r="T449" s="258"/>
      <c r="U449" s="258"/>
      <c r="V449" s="258"/>
      <c r="W449" s="258"/>
      <c r="X449" s="258"/>
      <c r="Y449" s="258"/>
      <c r="Z449" s="258"/>
      <c r="AA449" s="258"/>
      <c r="AB449" s="258"/>
    </row>
    <row r="450" ht="12.75" customHeight="1">
      <c r="A450" s="355"/>
      <c r="B450" s="282"/>
      <c r="C450" s="282"/>
      <c r="D450" s="321"/>
      <c r="E450" s="284"/>
      <c r="F450" s="285"/>
      <c r="G450" s="284"/>
      <c r="H450" s="286"/>
      <c r="I450" s="284"/>
      <c r="J450" s="280"/>
      <c r="K450" s="281"/>
      <c r="L450" s="264"/>
      <c r="M450" s="258"/>
      <c r="N450" s="258"/>
      <c r="O450" s="258"/>
      <c r="P450" s="258"/>
      <c r="Q450" s="258"/>
      <c r="R450" s="258"/>
      <c r="S450" s="258"/>
      <c r="T450" s="258"/>
      <c r="U450" s="258"/>
      <c r="V450" s="258"/>
      <c r="W450" s="258"/>
      <c r="X450" s="258"/>
      <c r="Y450" s="258"/>
      <c r="Z450" s="258"/>
      <c r="AA450" s="258"/>
      <c r="AB450" s="258"/>
    </row>
    <row r="451" ht="12.75" customHeight="1">
      <c r="A451" s="355"/>
      <c r="B451" s="282"/>
      <c r="C451" s="282"/>
      <c r="D451" s="321"/>
      <c r="E451" s="284"/>
      <c r="F451" s="285"/>
      <c r="G451" s="284"/>
      <c r="H451" s="286"/>
      <c r="I451" s="284"/>
      <c r="J451" s="280"/>
      <c r="K451" s="281"/>
      <c r="L451" s="264"/>
      <c r="M451" s="258"/>
      <c r="N451" s="258"/>
      <c r="O451" s="258"/>
      <c r="P451" s="258"/>
      <c r="Q451" s="258"/>
      <c r="R451" s="258"/>
      <c r="S451" s="258"/>
      <c r="T451" s="258"/>
      <c r="U451" s="258"/>
      <c r="V451" s="258"/>
      <c r="W451" s="258"/>
      <c r="X451" s="258"/>
      <c r="Y451" s="258"/>
      <c r="Z451" s="258"/>
      <c r="AA451" s="258"/>
      <c r="AB451" s="258"/>
    </row>
    <row r="452" ht="12.75" customHeight="1">
      <c r="A452" s="355"/>
      <c r="B452" s="282"/>
      <c r="C452" s="282"/>
      <c r="D452" s="321"/>
      <c r="E452" s="284"/>
      <c r="F452" s="285"/>
      <c r="G452" s="284"/>
      <c r="H452" s="286"/>
      <c r="I452" s="284"/>
      <c r="J452" s="280"/>
      <c r="K452" s="281"/>
      <c r="L452" s="264"/>
      <c r="M452" s="258"/>
      <c r="N452" s="258"/>
      <c r="O452" s="258"/>
      <c r="P452" s="258"/>
      <c r="Q452" s="258"/>
      <c r="R452" s="258"/>
      <c r="S452" s="258"/>
      <c r="T452" s="258"/>
      <c r="U452" s="258"/>
      <c r="V452" s="258"/>
      <c r="W452" s="258"/>
      <c r="X452" s="258"/>
      <c r="Y452" s="258"/>
      <c r="Z452" s="258"/>
      <c r="AA452" s="258"/>
      <c r="AB452" s="258"/>
    </row>
    <row r="453" ht="12.75" customHeight="1">
      <c r="A453" s="355"/>
      <c r="B453" s="282"/>
      <c r="C453" s="282"/>
      <c r="D453" s="321"/>
      <c r="E453" s="284"/>
      <c r="F453" s="285"/>
      <c r="G453" s="284"/>
      <c r="H453" s="286"/>
      <c r="I453" s="284"/>
      <c r="J453" s="280"/>
      <c r="K453" s="281"/>
      <c r="L453" s="264"/>
      <c r="M453" s="258"/>
      <c r="N453" s="258"/>
      <c r="O453" s="258"/>
      <c r="P453" s="258"/>
      <c r="Q453" s="258"/>
      <c r="R453" s="258"/>
      <c r="S453" s="258"/>
      <c r="T453" s="258"/>
      <c r="U453" s="258"/>
      <c r="V453" s="258"/>
      <c r="W453" s="258"/>
      <c r="X453" s="258"/>
      <c r="Y453" s="258"/>
      <c r="Z453" s="258"/>
      <c r="AA453" s="258"/>
      <c r="AB453" s="258"/>
    </row>
    <row r="454" ht="12.75" customHeight="1">
      <c r="A454" s="355"/>
      <c r="B454" s="282"/>
      <c r="C454" s="282"/>
      <c r="D454" s="321"/>
      <c r="E454" s="284"/>
      <c r="F454" s="285"/>
      <c r="G454" s="284"/>
      <c r="H454" s="286"/>
      <c r="I454" s="284"/>
      <c r="J454" s="280"/>
      <c r="K454" s="281"/>
      <c r="L454" s="264"/>
      <c r="M454" s="258"/>
      <c r="N454" s="258"/>
      <c r="O454" s="258"/>
      <c r="P454" s="258"/>
      <c r="Q454" s="258"/>
      <c r="R454" s="258"/>
      <c r="S454" s="258"/>
      <c r="T454" s="258"/>
      <c r="U454" s="258"/>
      <c r="V454" s="258"/>
      <c r="W454" s="258"/>
      <c r="X454" s="258"/>
      <c r="Y454" s="258"/>
      <c r="Z454" s="258"/>
      <c r="AA454" s="258"/>
      <c r="AB454" s="258"/>
    </row>
    <row r="455" ht="12.75" customHeight="1">
      <c r="A455" s="355"/>
      <c r="B455" s="282"/>
      <c r="C455" s="282"/>
      <c r="D455" s="321"/>
      <c r="E455" s="284"/>
      <c r="F455" s="285"/>
      <c r="G455" s="284"/>
      <c r="H455" s="286"/>
      <c r="I455" s="284"/>
      <c r="J455" s="280"/>
      <c r="K455" s="281"/>
      <c r="L455" s="264"/>
      <c r="M455" s="258"/>
      <c r="N455" s="258"/>
      <c r="O455" s="258"/>
      <c r="P455" s="258"/>
      <c r="Q455" s="258"/>
      <c r="R455" s="258"/>
      <c r="S455" s="258"/>
      <c r="T455" s="258"/>
      <c r="U455" s="258"/>
      <c r="V455" s="258"/>
      <c r="W455" s="258"/>
      <c r="X455" s="258"/>
      <c r="Y455" s="258"/>
      <c r="Z455" s="258"/>
      <c r="AA455" s="258"/>
      <c r="AB455" s="258"/>
    </row>
    <row r="456" ht="12.75" customHeight="1">
      <c r="A456" s="355"/>
      <c r="B456" s="282"/>
      <c r="C456" s="282"/>
      <c r="D456" s="321"/>
      <c r="E456" s="284"/>
      <c r="F456" s="285"/>
      <c r="G456" s="284"/>
      <c r="H456" s="286"/>
      <c r="I456" s="284"/>
      <c r="J456" s="280"/>
      <c r="K456" s="281"/>
      <c r="L456" s="264"/>
      <c r="M456" s="258"/>
      <c r="N456" s="258"/>
      <c r="O456" s="258"/>
      <c r="P456" s="258"/>
      <c r="Q456" s="258"/>
      <c r="R456" s="258"/>
      <c r="S456" s="258"/>
      <c r="T456" s="258"/>
      <c r="U456" s="258"/>
      <c r="V456" s="258"/>
      <c r="W456" s="258"/>
      <c r="X456" s="258"/>
      <c r="Y456" s="258"/>
      <c r="Z456" s="258"/>
      <c r="AA456" s="258"/>
      <c r="AB456" s="258"/>
    </row>
    <row r="457" ht="12.75" customHeight="1">
      <c r="A457" s="355"/>
      <c r="B457" s="282"/>
      <c r="C457" s="282"/>
      <c r="D457" s="321"/>
      <c r="E457" s="284"/>
      <c r="F457" s="285"/>
      <c r="G457" s="284"/>
      <c r="H457" s="286"/>
      <c r="I457" s="284"/>
      <c r="J457" s="280"/>
      <c r="K457" s="281"/>
      <c r="L457" s="264"/>
      <c r="M457" s="258"/>
      <c r="N457" s="258"/>
      <c r="O457" s="258"/>
      <c r="P457" s="258"/>
      <c r="Q457" s="258"/>
      <c r="R457" s="258"/>
      <c r="S457" s="258"/>
      <c r="T457" s="258"/>
      <c r="U457" s="258"/>
      <c r="V457" s="258"/>
      <c r="W457" s="258"/>
      <c r="X457" s="258"/>
      <c r="Y457" s="258"/>
      <c r="Z457" s="258"/>
      <c r="AA457" s="258"/>
      <c r="AB457" s="258"/>
    </row>
    <row r="458" ht="12.75" customHeight="1">
      <c r="A458" s="355"/>
      <c r="B458" s="282"/>
      <c r="C458" s="282"/>
      <c r="D458" s="321"/>
      <c r="E458" s="284"/>
      <c r="F458" s="285"/>
      <c r="G458" s="284"/>
      <c r="H458" s="286"/>
      <c r="I458" s="284"/>
      <c r="J458" s="280"/>
      <c r="K458" s="281"/>
      <c r="L458" s="264"/>
      <c r="M458" s="258"/>
      <c r="N458" s="258"/>
      <c r="O458" s="258"/>
      <c r="P458" s="258"/>
      <c r="Q458" s="258"/>
      <c r="R458" s="258"/>
      <c r="S458" s="258"/>
      <c r="T458" s="258"/>
      <c r="U458" s="258"/>
      <c r="V458" s="258"/>
      <c r="W458" s="258"/>
      <c r="X458" s="258"/>
      <c r="Y458" s="258"/>
      <c r="Z458" s="258"/>
      <c r="AA458" s="258"/>
      <c r="AB458" s="258"/>
    </row>
    <row r="459" ht="12.75" customHeight="1">
      <c r="A459" s="355"/>
      <c r="B459" s="282"/>
      <c r="C459" s="282"/>
      <c r="D459" s="321"/>
      <c r="E459" s="284"/>
      <c r="F459" s="285"/>
      <c r="G459" s="284"/>
      <c r="H459" s="286"/>
      <c r="I459" s="284"/>
      <c r="J459" s="280"/>
      <c r="K459" s="281"/>
      <c r="L459" s="264"/>
      <c r="M459" s="258"/>
      <c r="N459" s="258"/>
      <c r="O459" s="258"/>
      <c r="P459" s="258"/>
      <c r="Q459" s="258"/>
      <c r="R459" s="258"/>
      <c r="S459" s="258"/>
      <c r="T459" s="258"/>
      <c r="U459" s="258"/>
      <c r="V459" s="258"/>
      <c r="W459" s="258"/>
      <c r="X459" s="258"/>
      <c r="Y459" s="258"/>
      <c r="Z459" s="258"/>
      <c r="AA459" s="258"/>
      <c r="AB459" s="258"/>
    </row>
    <row r="460" ht="12.75" customHeight="1">
      <c r="A460" s="355"/>
      <c r="B460" s="282"/>
      <c r="C460" s="282"/>
      <c r="D460" s="321"/>
      <c r="E460" s="284"/>
      <c r="F460" s="285"/>
      <c r="G460" s="284"/>
      <c r="H460" s="286"/>
      <c r="I460" s="284"/>
      <c r="J460" s="280"/>
      <c r="K460" s="281"/>
      <c r="L460" s="264"/>
      <c r="M460" s="258"/>
      <c r="N460" s="258"/>
      <c r="O460" s="258"/>
      <c r="P460" s="258"/>
      <c r="Q460" s="258"/>
      <c r="R460" s="258"/>
      <c r="S460" s="258"/>
      <c r="T460" s="258"/>
      <c r="U460" s="258"/>
      <c r="V460" s="258"/>
      <c r="W460" s="258"/>
      <c r="X460" s="258"/>
      <c r="Y460" s="258"/>
      <c r="Z460" s="258"/>
      <c r="AA460" s="258"/>
      <c r="AB460" s="258"/>
    </row>
    <row r="461" ht="12.75" customHeight="1">
      <c r="A461" s="355"/>
      <c r="B461" s="282"/>
      <c r="C461" s="282"/>
      <c r="D461" s="321"/>
      <c r="E461" s="284"/>
      <c r="F461" s="285"/>
      <c r="G461" s="284"/>
      <c r="H461" s="286"/>
      <c r="I461" s="284"/>
      <c r="J461" s="280"/>
      <c r="K461" s="281"/>
      <c r="L461" s="264"/>
      <c r="M461" s="258"/>
      <c r="N461" s="258"/>
      <c r="O461" s="258"/>
      <c r="P461" s="258"/>
      <c r="Q461" s="258"/>
      <c r="R461" s="258"/>
      <c r="S461" s="258"/>
      <c r="T461" s="258"/>
      <c r="U461" s="258"/>
      <c r="V461" s="258"/>
      <c r="W461" s="258"/>
      <c r="X461" s="258"/>
      <c r="Y461" s="258"/>
      <c r="Z461" s="258"/>
      <c r="AA461" s="258"/>
      <c r="AB461" s="258"/>
    </row>
    <row r="462" ht="12.75" customHeight="1">
      <c r="A462" s="355"/>
      <c r="B462" s="282"/>
      <c r="C462" s="282"/>
      <c r="D462" s="321"/>
      <c r="E462" s="284"/>
      <c r="F462" s="285"/>
      <c r="G462" s="284"/>
      <c r="H462" s="286"/>
      <c r="I462" s="284"/>
      <c r="J462" s="280"/>
      <c r="K462" s="281"/>
      <c r="L462" s="264"/>
      <c r="M462" s="258"/>
      <c r="N462" s="258"/>
      <c r="O462" s="258"/>
      <c r="P462" s="258"/>
      <c r="Q462" s="258"/>
      <c r="R462" s="258"/>
      <c r="S462" s="258"/>
      <c r="T462" s="258"/>
      <c r="U462" s="258"/>
      <c r="V462" s="258"/>
      <c r="W462" s="258"/>
      <c r="X462" s="258"/>
      <c r="Y462" s="258"/>
      <c r="Z462" s="258"/>
      <c r="AA462" s="258"/>
      <c r="AB462" s="258"/>
    </row>
    <row r="463" ht="12.75" customHeight="1">
      <c r="A463" s="355"/>
      <c r="B463" s="282"/>
      <c r="C463" s="282"/>
      <c r="D463" s="321"/>
      <c r="E463" s="284"/>
      <c r="F463" s="285"/>
      <c r="G463" s="284"/>
      <c r="H463" s="286"/>
      <c r="I463" s="284"/>
      <c r="J463" s="280"/>
      <c r="K463" s="281"/>
      <c r="L463" s="264"/>
      <c r="M463" s="258"/>
      <c r="N463" s="258"/>
      <c r="O463" s="258"/>
      <c r="P463" s="258"/>
      <c r="Q463" s="258"/>
      <c r="R463" s="258"/>
      <c r="S463" s="258"/>
      <c r="T463" s="258"/>
      <c r="U463" s="258"/>
      <c r="V463" s="258"/>
      <c r="W463" s="258"/>
      <c r="X463" s="258"/>
      <c r="Y463" s="258"/>
      <c r="Z463" s="258"/>
      <c r="AA463" s="258"/>
      <c r="AB463" s="258"/>
    </row>
    <row r="464" ht="12.75" customHeight="1">
      <c r="A464" s="355"/>
      <c r="B464" s="282"/>
      <c r="C464" s="282"/>
      <c r="D464" s="321"/>
      <c r="E464" s="284"/>
      <c r="F464" s="285"/>
      <c r="G464" s="284"/>
      <c r="H464" s="286"/>
      <c r="I464" s="284"/>
      <c r="J464" s="280"/>
      <c r="K464" s="281"/>
      <c r="L464" s="264"/>
      <c r="M464" s="258"/>
      <c r="N464" s="258"/>
      <c r="O464" s="258"/>
      <c r="P464" s="258"/>
      <c r="Q464" s="258"/>
      <c r="R464" s="258"/>
      <c r="S464" s="258"/>
      <c r="T464" s="258"/>
      <c r="U464" s="258"/>
      <c r="V464" s="258"/>
      <c r="W464" s="258"/>
      <c r="X464" s="258"/>
      <c r="Y464" s="258"/>
      <c r="Z464" s="258"/>
      <c r="AA464" s="258"/>
      <c r="AB464" s="258"/>
    </row>
    <row r="465" ht="12.75" customHeight="1">
      <c r="A465" s="355"/>
      <c r="B465" s="282"/>
      <c r="C465" s="282"/>
      <c r="D465" s="321"/>
      <c r="E465" s="284"/>
      <c r="F465" s="285"/>
      <c r="G465" s="284"/>
      <c r="H465" s="286"/>
      <c r="I465" s="284"/>
      <c r="J465" s="280"/>
      <c r="K465" s="281"/>
      <c r="L465" s="264"/>
      <c r="M465" s="258"/>
      <c r="N465" s="258"/>
      <c r="O465" s="258"/>
      <c r="P465" s="258"/>
      <c r="Q465" s="258"/>
      <c r="R465" s="258"/>
      <c r="S465" s="258"/>
      <c r="T465" s="258"/>
      <c r="U465" s="258"/>
      <c r="V465" s="258"/>
      <c r="W465" s="258"/>
      <c r="X465" s="258"/>
      <c r="Y465" s="258"/>
      <c r="Z465" s="258"/>
      <c r="AA465" s="258"/>
      <c r="AB465" s="258"/>
    </row>
    <row r="466" ht="12.75" customHeight="1">
      <c r="A466" s="355"/>
      <c r="B466" s="282"/>
      <c r="C466" s="282"/>
      <c r="D466" s="321"/>
      <c r="E466" s="284"/>
      <c r="F466" s="285"/>
      <c r="G466" s="284"/>
      <c r="H466" s="286"/>
      <c r="I466" s="284"/>
      <c r="J466" s="280"/>
      <c r="K466" s="281"/>
      <c r="L466" s="264"/>
      <c r="M466" s="258"/>
      <c r="N466" s="258"/>
      <c r="O466" s="258"/>
      <c r="P466" s="258"/>
      <c r="Q466" s="258"/>
      <c r="R466" s="258"/>
      <c r="S466" s="258"/>
      <c r="T466" s="258"/>
      <c r="U466" s="258"/>
      <c r="V466" s="258"/>
      <c r="W466" s="258"/>
      <c r="X466" s="258"/>
      <c r="Y466" s="258"/>
      <c r="Z466" s="258"/>
      <c r="AA466" s="258"/>
      <c r="AB466" s="258"/>
    </row>
    <row r="467" ht="12.75" customHeight="1">
      <c r="A467" s="355"/>
      <c r="B467" s="282"/>
      <c r="C467" s="282"/>
      <c r="D467" s="321"/>
      <c r="E467" s="284"/>
      <c r="F467" s="285"/>
      <c r="G467" s="284"/>
      <c r="H467" s="286"/>
      <c r="I467" s="284"/>
      <c r="J467" s="280"/>
      <c r="K467" s="281"/>
      <c r="L467" s="264"/>
      <c r="M467" s="258"/>
      <c r="N467" s="258"/>
      <c r="O467" s="258"/>
      <c r="P467" s="258"/>
      <c r="Q467" s="258"/>
      <c r="R467" s="258"/>
      <c r="S467" s="258"/>
      <c r="T467" s="258"/>
      <c r="U467" s="258"/>
      <c r="V467" s="258"/>
      <c r="W467" s="258"/>
      <c r="X467" s="258"/>
      <c r="Y467" s="258"/>
      <c r="Z467" s="258"/>
      <c r="AA467" s="258"/>
      <c r="AB467" s="258"/>
    </row>
    <row r="468" ht="12.75" customHeight="1">
      <c r="A468" s="355"/>
      <c r="B468" s="282"/>
      <c r="C468" s="282"/>
      <c r="D468" s="321"/>
      <c r="E468" s="284"/>
      <c r="F468" s="285"/>
      <c r="G468" s="284"/>
      <c r="H468" s="286"/>
      <c r="I468" s="284"/>
      <c r="J468" s="280"/>
      <c r="K468" s="281"/>
      <c r="L468" s="264"/>
      <c r="M468" s="258"/>
      <c r="N468" s="258"/>
      <c r="O468" s="258"/>
      <c r="P468" s="258"/>
      <c r="Q468" s="258"/>
      <c r="R468" s="258"/>
      <c r="S468" s="258"/>
      <c r="T468" s="258"/>
      <c r="U468" s="258"/>
      <c r="V468" s="258"/>
      <c r="W468" s="258"/>
      <c r="X468" s="258"/>
      <c r="Y468" s="258"/>
      <c r="Z468" s="258"/>
      <c r="AA468" s="258"/>
      <c r="AB468" s="258"/>
    </row>
    <row r="469" ht="12.75" customHeight="1">
      <c r="A469" s="355"/>
      <c r="B469" s="282"/>
      <c r="C469" s="282"/>
      <c r="D469" s="321"/>
      <c r="E469" s="284"/>
      <c r="F469" s="285"/>
      <c r="G469" s="284"/>
      <c r="H469" s="286"/>
      <c r="I469" s="284"/>
      <c r="J469" s="280"/>
      <c r="K469" s="281"/>
      <c r="L469" s="264"/>
      <c r="M469" s="258"/>
      <c r="N469" s="258"/>
      <c r="O469" s="258"/>
      <c r="P469" s="258"/>
      <c r="Q469" s="258"/>
      <c r="R469" s="258"/>
      <c r="S469" s="258"/>
      <c r="T469" s="258"/>
      <c r="U469" s="258"/>
      <c r="V469" s="258"/>
      <c r="W469" s="258"/>
      <c r="X469" s="258"/>
      <c r="Y469" s="258"/>
      <c r="Z469" s="258"/>
      <c r="AA469" s="258"/>
      <c r="AB469" s="258"/>
    </row>
    <row r="470" ht="12.75" customHeight="1">
      <c r="A470" s="355"/>
      <c r="B470" s="282"/>
      <c r="C470" s="282"/>
      <c r="D470" s="321"/>
      <c r="E470" s="284"/>
      <c r="F470" s="285"/>
      <c r="G470" s="284"/>
      <c r="H470" s="286"/>
      <c r="I470" s="284"/>
      <c r="J470" s="280"/>
      <c r="K470" s="281"/>
      <c r="L470" s="264"/>
      <c r="M470" s="258"/>
      <c r="N470" s="258"/>
      <c r="O470" s="258"/>
      <c r="P470" s="258"/>
      <c r="Q470" s="258"/>
      <c r="R470" s="258"/>
      <c r="S470" s="258"/>
      <c r="T470" s="258"/>
      <c r="U470" s="258"/>
      <c r="V470" s="258"/>
      <c r="W470" s="258"/>
      <c r="X470" s="258"/>
      <c r="Y470" s="258"/>
      <c r="Z470" s="258"/>
      <c r="AA470" s="258"/>
      <c r="AB470" s="258"/>
    </row>
    <row r="471" ht="12.75" customHeight="1">
      <c r="A471" s="355"/>
      <c r="B471" s="282"/>
      <c r="C471" s="282"/>
      <c r="D471" s="321"/>
      <c r="E471" s="284"/>
      <c r="F471" s="285"/>
      <c r="G471" s="284"/>
      <c r="H471" s="286"/>
      <c r="I471" s="284"/>
      <c r="J471" s="280"/>
      <c r="K471" s="281"/>
      <c r="L471" s="264"/>
      <c r="M471" s="258"/>
      <c r="N471" s="258"/>
      <c r="O471" s="258"/>
      <c r="P471" s="258"/>
      <c r="Q471" s="258"/>
      <c r="R471" s="258"/>
      <c r="S471" s="258"/>
      <c r="T471" s="258"/>
      <c r="U471" s="258"/>
      <c r="V471" s="258"/>
      <c r="W471" s="258"/>
      <c r="X471" s="258"/>
      <c r="Y471" s="258"/>
      <c r="Z471" s="258"/>
      <c r="AA471" s="258"/>
      <c r="AB471" s="258"/>
    </row>
    <row r="472" ht="12.75" customHeight="1">
      <c r="A472" s="355"/>
      <c r="B472" s="282"/>
      <c r="C472" s="282"/>
      <c r="D472" s="321"/>
      <c r="E472" s="328"/>
      <c r="F472" s="281"/>
      <c r="G472" s="284"/>
      <c r="H472" s="286"/>
      <c r="I472" s="328"/>
      <c r="J472" s="280"/>
      <c r="K472" s="281"/>
      <c r="L472" s="264"/>
      <c r="M472" s="258"/>
      <c r="N472" s="258"/>
      <c r="O472" s="258"/>
      <c r="P472" s="258"/>
      <c r="Q472" s="258"/>
      <c r="R472" s="258"/>
      <c r="S472" s="258"/>
      <c r="T472" s="258"/>
      <c r="U472" s="258"/>
      <c r="V472" s="258"/>
      <c r="W472" s="258"/>
      <c r="X472" s="258"/>
      <c r="Y472" s="258"/>
      <c r="Z472" s="258"/>
      <c r="AA472" s="258"/>
      <c r="AB472" s="258"/>
    </row>
    <row r="473" ht="12.75" customHeight="1">
      <c r="A473" s="355"/>
      <c r="B473" s="282"/>
      <c r="C473" s="282"/>
      <c r="D473" s="321"/>
      <c r="E473" s="328"/>
      <c r="F473" s="281"/>
      <c r="G473" s="284"/>
      <c r="H473" s="286"/>
      <c r="I473" s="328"/>
      <c r="J473" s="280"/>
      <c r="K473" s="281"/>
      <c r="L473" s="264"/>
      <c r="M473" s="258"/>
      <c r="N473" s="258"/>
      <c r="O473" s="258"/>
      <c r="P473" s="258"/>
      <c r="Q473" s="258"/>
      <c r="R473" s="258"/>
      <c r="S473" s="258"/>
      <c r="T473" s="258"/>
      <c r="U473" s="258"/>
      <c r="V473" s="258"/>
      <c r="W473" s="258"/>
      <c r="X473" s="258"/>
      <c r="Y473" s="258"/>
      <c r="Z473" s="258"/>
      <c r="AA473" s="258"/>
      <c r="AB473" s="258"/>
    </row>
    <row r="474" ht="12.75" customHeight="1">
      <c r="A474" s="355"/>
      <c r="B474" s="282"/>
      <c r="C474" s="282"/>
      <c r="D474" s="321"/>
      <c r="E474" s="328"/>
      <c r="F474" s="281"/>
      <c r="G474" s="284"/>
      <c r="H474" s="286"/>
      <c r="I474" s="328"/>
      <c r="J474" s="280"/>
      <c r="K474" s="281"/>
      <c r="L474" s="264"/>
      <c r="M474" s="258"/>
      <c r="N474" s="258"/>
      <c r="O474" s="258"/>
      <c r="P474" s="258"/>
      <c r="Q474" s="258"/>
      <c r="R474" s="258"/>
      <c r="S474" s="258"/>
      <c r="T474" s="258"/>
      <c r="U474" s="258"/>
      <c r="V474" s="258"/>
      <c r="W474" s="258"/>
      <c r="X474" s="258"/>
      <c r="Y474" s="258"/>
      <c r="Z474" s="258"/>
      <c r="AA474" s="258"/>
      <c r="AB474" s="258"/>
    </row>
    <row r="475" ht="12.75" customHeight="1">
      <c r="A475" s="355"/>
      <c r="B475" s="282"/>
      <c r="C475" s="282"/>
      <c r="D475" s="321"/>
      <c r="E475" s="328"/>
      <c r="F475" s="281"/>
      <c r="G475" s="284"/>
      <c r="H475" s="286"/>
      <c r="I475" s="328"/>
      <c r="J475" s="280"/>
      <c r="K475" s="281"/>
      <c r="L475" s="264"/>
      <c r="M475" s="258"/>
      <c r="N475" s="258"/>
      <c r="O475" s="258"/>
      <c r="P475" s="258"/>
      <c r="Q475" s="258"/>
      <c r="R475" s="258"/>
      <c r="S475" s="258"/>
      <c r="T475" s="258"/>
      <c r="U475" s="258"/>
      <c r="V475" s="258"/>
      <c r="W475" s="258"/>
      <c r="X475" s="258"/>
      <c r="Y475" s="258"/>
      <c r="Z475" s="258"/>
      <c r="AA475" s="258"/>
      <c r="AB475" s="258"/>
    </row>
    <row r="476" ht="12.75" customHeight="1">
      <c r="A476" s="355"/>
      <c r="B476" s="282"/>
      <c r="C476" s="282"/>
      <c r="D476" s="321"/>
      <c r="E476" s="328"/>
      <c r="F476" s="281"/>
      <c r="G476" s="284"/>
      <c r="H476" s="286"/>
      <c r="I476" s="328"/>
      <c r="J476" s="280"/>
      <c r="K476" s="281"/>
      <c r="L476" s="264"/>
      <c r="M476" s="258"/>
      <c r="N476" s="258"/>
      <c r="O476" s="258"/>
      <c r="P476" s="258"/>
      <c r="Q476" s="258"/>
      <c r="R476" s="258"/>
      <c r="S476" s="258"/>
      <c r="T476" s="258"/>
      <c r="U476" s="258"/>
      <c r="V476" s="258"/>
      <c r="W476" s="258"/>
      <c r="X476" s="258"/>
      <c r="Y476" s="258"/>
      <c r="Z476" s="258"/>
      <c r="AA476" s="258"/>
      <c r="AB476" s="258"/>
    </row>
    <row r="477" ht="12.75" customHeight="1">
      <c r="A477" s="355"/>
      <c r="B477" s="282"/>
      <c r="C477" s="282"/>
      <c r="D477" s="321"/>
      <c r="E477" s="328"/>
      <c r="F477" s="281"/>
      <c r="G477" s="284"/>
      <c r="H477" s="286"/>
      <c r="I477" s="328"/>
      <c r="J477" s="280"/>
      <c r="K477" s="281"/>
      <c r="L477" s="264"/>
      <c r="M477" s="258"/>
      <c r="N477" s="258"/>
      <c r="O477" s="258"/>
      <c r="P477" s="258"/>
      <c r="Q477" s="258"/>
      <c r="R477" s="258"/>
      <c r="S477" s="258"/>
      <c r="T477" s="258"/>
      <c r="U477" s="258"/>
      <c r="V477" s="258"/>
      <c r="W477" s="258"/>
      <c r="X477" s="258"/>
      <c r="Y477" s="258"/>
      <c r="Z477" s="258"/>
      <c r="AA477" s="258"/>
      <c r="AB477" s="258"/>
    </row>
    <row r="478" ht="12.75" customHeight="1">
      <c r="A478" s="355"/>
      <c r="B478" s="282"/>
      <c r="C478" s="282"/>
      <c r="D478" s="321"/>
      <c r="E478" s="328"/>
      <c r="F478" s="281"/>
      <c r="G478" s="284"/>
      <c r="H478" s="286"/>
      <c r="I478" s="328"/>
      <c r="J478" s="280"/>
      <c r="K478" s="281"/>
      <c r="L478" s="264"/>
      <c r="M478" s="258"/>
      <c r="N478" s="258"/>
      <c r="O478" s="258"/>
      <c r="P478" s="258"/>
      <c r="Q478" s="258"/>
      <c r="R478" s="258"/>
      <c r="S478" s="258"/>
      <c r="T478" s="258"/>
      <c r="U478" s="258"/>
      <c r="V478" s="258"/>
      <c r="W478" s="258"/>
      <c r="X478" s="258"/>
      <c r="Y478" s="258"/>
      <c r="Z478" s="258"/>
      <c r="AA478" s="258"/>
      <c r="AB478" s="258"/>
    </row>
    <row r="479" ht="12.75" customHeight="1">
      <c r="A479" s="355"/>
      <c r="B479" s="282"/>
      <c r="C479" s="282"/>
      <c r="D479" s="321"/>
      <c r="E479" s="328"/>
      <c r="F479" s="281"/>
      <c r="G479" s="284"/>
      <c r="H479" s="286"/>
      <c r="I479" s="328"/>
      <c r="J479" s="280"/>
      <c r="K479" s="281"/>
      <c r="L479" s="264"/>
      <c r="M479" s="258"/>
      <c r="N479" s="258"/>
      <c r="O479" s="258"/>
      <c r="P479" s="258"/>
      <c r="Q479" s="258"/>
      <c r="R479" s="258"/>
      <c r="S479" s="258"/>
      <c r="T479" s="258"/>
      <c r="U479" s="258"/>
      <c r="V479" s="258"/>
      <c r="W479" s="258"/>
      <c r="X479" s="258"/>
      <c r="Y479" s="258"/>
      <c r="Z479" s="258"/>
      <c r="AA479" s="258"/>
      <c r="AB479" s="258"/>
    </row>
    <row r="480" ht="12.75" customHeight="1">
      <c r="A480" s="355"/>
      <c r="B480" s="282"/>
      <c r="C480" s="282"/>
      <c r="D480" s="321"/>
      <c r="E480" s="328"/>
      <c r="F480" s="281"/>
      <c r="G480" s="284"/>
      <c r="H480" s="286"/>
      <c r="I480" s="328"/>
      <c r="J480" s="280"/>
      <c r="K480" s="281"/>
      <c r="L480" s="264"/>
      <c r="M480" s="258"/>
      <c r="N480" s="258"/>
      <c r="O480" s="258"/>
      <c r="P480" s="258"/>
      <c r="Q480" s="258"/>
      <c r="R480" s="258"/>
      <c r="S480" s="258"/>
      <c r="T480" s="258"/>
      <c r="U480" s="258"/>
      <c r="V480" s="258"/>
      <c r="W480" s="258"/>
      <c r="X480" s="258"/>
      <c r="Y480" s="258"/>
      <c r="Z480" s="258"/>
      <c r="AA480" s="258"/>
      <c r="AB480" s="258"/>
    </row>
    <row r="481" ht="12.75" customHeight="1">
      <c r="A481" s="355"/>
      <c r="B481" s="282"/>
      <c r="C481" s="282"/>
      <c r="D481" s="321"/>
      <c r="E481" s="328"/>
      <c r="F481" s="281"/>
      <c r="G481" s="284"/>
      <c r="H481" s="286"/>
      <c r="I481" s="328"/>
      <c r="J481" s="280"/>
      <c r="K481" s="281"/>
      <c r="L481" s="264"/>
      <c r="M481" s="258"/>
      <c r="N481" s="258"/>
      <c r="O481" s="258"/>
      <c r="P481" s="258"/>
      <c r="Q481" s="258"/>
      <c r="R481" s="258"/>
      <c r="S481" s="258"/>
      <c r="T481" s="258"/>
      <c r="U481" s="258"/>
      <c r="V481" s="258"/>
      <c r="W481" s="258"/>
      <c r="X481" s="258"/>
      <c r="Y481" s="258"/>
      <c r="Z481" s="258"/>
      <c r="AA481" s="258"/>
      <c r="AB481" s="258"/>
    </row>
    <row r="482" ht="12.75" customHeight="1">
      <c r="A482" s="355"/>
      <c r="B482" s="282"/>
      <c r="C482" s="282"/>
      <c r="D482" s="321"/>
      <c r="E482" s="328"/>
      <c r="F482" s="281"/>
      <c r="G482" s="284"/>
      <c r="H482" s="286"/>
      <c r="I482" s="328"/>
      <c r="J482" s="280"/>
      <c r="K482" s="281"/>
      <c r="L482" s="264"/>
      <c r="M482" s="258"/>
      <c r="N482" s="258"/>
      <c r="O482" s="258"/>
      <c r="P482" s="258"/>
      <c r="Q482" s="258"/>
      <c r="R482" s="258"/>
      <c r="S482" s="258"/>
      <c r="T482" s="258"/>
      <c r="U482" s="258"/>
      <c r="V482" s="258"/>
      <c r="W482" s="258"/>
      <c r="X482" s="258"/>
      <c r="Y482" s="258"/>
      <c r="Z482" s="258"/>
      <c r="AA482" s="258"/>
      <c r="AB482" s="258"/>
    </row>
    <row r="483" ht="12.75" customHeight="1">
      <c r="A483" s="355"/>
      <c r="B483" s="282"/>
      <c r="C483" s="282"/>
      <c r="D483" s="321"/>
      <c r="E483" s="328"/>
      <c r="F483" s="281"/>
      <c r="G483" s="284"/>
      <c r="H483" s="286"/>
      <c r="I483" s="328"/>
      <c r="J483" s="280"/>
      <c r="K483" s="281"/>
      <c r="L483" s="264"/>
      <c r="M483" s="258"/>
      <c r="N483" s="258"/>
      <c r="O483" s="258"/>
      <c r="P483" s="258"/>
      <c r="Q483" s="258"/>
      <c r="R483" s="258"/>
      <c r="S483" s="258"/>
      <c r="T483" s="258"/>
      <c r="U483" s="258"/>
      <c r="V483" s="258"/>
      <c r="W483" s="258"/>
      <c r="X483" s="258"/>
      <c r="Y483" s="258"/>
      <c r="Z483" s="258"/>
      <c r="AA483" s="258"/>
      <c r="AB483" s="258"/>
    </row>
    <row r="484" ht="12.75" customHeight="1">
      <c r="A484" s="355"/>
      <c r="B484" s="282"/>
      <c r="C484" s="282"/>
      <c r="D484" s="321"/>
      <c r="E484" s="328"/>
      <c r="F484" s="281"/>
      <c r="G484" s="284"/>
      <c r="H484" s="286"/>
      <c r="I484" s="328"/>
      <c r="J484" s="280"/>
      <c r="K484" s="281"/>
      <c r="L484" s="264"/>
      <c r="M484" s="258"/>
      <c r="N484" s="258"/>
      <c r="O484" s="258"/>
      <c r="P484" s="258"/>
      <c r="Q484" s="258"/>
      <c r="R484" s="258"/>
      <c r="S484" s="258"/>
      <c r="T484" s="258"/>
      <c r="U484" s="258"/>
      <c r="V484" s="258"/>
      <c r="W484" s="258"/>
      <c r="X484" s="258"/>
      <c r="Y484" s="258"/>
      <c r="Z484" s="258"/>
      <c r="AA484" s="258"/>
      <c r="AB484" s="258"/>
    </row>
    <row r="485" ht="12.75" customHeight="1">
      <c r="A485" s="355"/>
      <c r="B485" s="282"/>
      <c r="C485" s="282"/>
      <c r="D485" s="321"/>
      <c r="E485" s="328"/>
      <c r="F485" s="281"/>
      <c r="G485" s="284"/>
      <c r="H485" s="286"/>
      <c r="I485" s="328"/>
      <c r="J485" s="280"/>
      <c r="K485" s="281"/>
      <c r="L485" s="264"/>
      <c r="M485" s="258"/>
      <c r="N485" s="258"/>
      <c r="O485" s="258"/>
      <c r="P485" s="258"/>
      <c r="Q485" s="258"/>
      <c r="R485" s="258"/>
      <c r="S485" s="258"/>
      <c r="T485" s="258"/>
      <c r="U485" s="258"/>
      <c r="V485" s="258"/>
      <c r="W485" s="258"/>
      <c r="X485" s="258"/>
      <c r="Y485" s="258"/>
      <c r="Z485" s="258"/>
      <c r="AA485" s="258"/>
      <c r="AB485" s="258"/>
    </row>
    <row r="486" ht="12.75" customHeight="1">
      <c r="A486" s="355"/>
      <c r="B486" s="282"/>
      <c r="C486" s="282"/>
      <c r="D486" s="321"/>
      <c r="E486" s="328"/>
      <c r="F486" s="281"/>
      <c r="G486" s="284"/>
      <c r="H486" s="286"/>
      <c r="I486" s="328"/>
      <c r="J486" s="280"/>
      <c r="K486" s="281"/>
      <c r="L486" s="264"/>
      <c r="M486" s="258"/>
      <c r="N486" s="258"/>
      <c r="O486" s="258"/>
      <c r="P486" s="258"/>
      <c r="Q486" s="258"/>
      <c r="R486" s="258"/>
      <c r="S486" s="258"/>
      <c r="T486" s="258"/>
      <c r="U486" s="258"/>
      <c r="V486" s="258"/>
      <c r="W486" s="258"/>
      <c r="X486" s="258"/>
      <c r="Y486" s="258"/>
      <c r="Z486" s="258"/>
      <c r="AA486" s="258"/>
      <c r="AB486" s="258"/>
    </row>
    <row r="487" ht="12.75" customHeight="1">
      <c r="A487" s="355"/>
      <c r="B487" s="282"/>
      <c r="C487" s="282"/>
      <c r="D487" s="321"/>
      <c r="E487" s="328"/>
      <c r="F487" s="281"/>
      <c r="G487" s="284"/>
      <c r="H487" s="286"/>
      <c r="I487" s="328"/>
      <c r="J487" s="280"/>
      <c r="K487" s="281"/>
      <c r="L487" s="264"/>
      <c r="M487" s="258"/>
      <c r="N487" s="258"/>
      <c r="O487" s="258"/>
      <c r="P487" s="258"/>
      <c r="Q487" s="258"/>
      <c r="R487" s="258"/>
      <c r="S487" s="258"/>
      <c r="T487" s="258"/>
      <c r="U487" s="258"/>
      <c r="V487" s="258"/>
      <c r="W487" s="258"/>
      <c r="X487" s="258"/>
      <c r="Y487" s="258"/>
      <c r="Z487" s="258"/>
      <c r="AA487" s="258"/>
      <c r="AB487" s="258"/>
    </row>
    <row r="488" ht="12.75" customHeight="1">
      <c r="A488" s="355"/>
      <c r="B488" s="282"/>
      <c r="C488" s="282"/>
      <c r="D488" s="321"/>
      <c r="E488" s="328"/>
      <c r="F488" s="281"/>
      <c r="G488" s="284"/>
      <c r="H488" s="286"/>
      <c r="I488" s="328"/>
      <c r="J488" s="280"/>
      <c r="K488" s="281"/>
      <c r="L488" s="264"/>
      <c r="M488" s="258"/>
      <c r="N488" s="258"/>
      <c r="O488" s="258"/>
      <c r="P488" s="258"/>
      <c r="Q488" s="258"/>
      <c r="R488" s="258"/>
      <c r="S488" s="258"/>
      <c r="T488" s="258"/>
      <c r="U488" s="258"/>
      <c r="V488" s="258"/>
      <c r="W488" s="258"/>
      <c r="X488" s="258"/>
      <c r="Y488" s="258"/>
      <c r="Z488" s="258"/>
      <c r="AA488" s="258"/>
      <c r="AB488" s="258"/>
    </row>
    <row r="489" ht="12.75" customHeight="1">
      <c r="A489" s="355"/>
      <c r="B489" s="282"/>
      <c r="C489" s="282"/>
      <c r="D489" s="321"/>
      <c r="E489" s="328"/>
      <c r="F489" s="281"/>
      <c r="G489" s="284"/>
      <c r="H489" s="286"/>
      <c r="I489" s="328"/>
      <c r="J489" s="280"/>
      <c r="K489" s="281"/>
      <c r="L489" s="264"/>
      <c r="M489" s="258"/>
      <c r="N489" s="258"/>
      <c r="O489" s="258"/>
      <c r="P489" s="258"/>
      <c r="Q489" s="258"/>
      <c r="R489" s="258"/>
      <c r="S489" s="258"/>
      <c r="T489" s="258"/>
      <c r="U489" s="258"/>
      <c r="V489" s="258"/>
      <c r="W489" s="258"/>
      <c r="X489" s="258"/>
      <c r="Y489" s="258"/>
      <c r="Z489" s="258"/>
      <c r="AA489" s="258"/>
      <c r="AB489" s="258"/>
    </row>
    <row r="490" ht="12.75" customHeight="1">
      <c r="A490" s="355"/>
      <c r="B490" s="282"/>
      <c r="C490" s="282"/>
      <c r="D490" s="321"/>
      <c r="E490" s="328"/>
      <c r="F490" s="281"/>
      <c r="G490" s="284"/>
      <c r="H490" s="286"/>
      <c r="I490" s="328"/>
      <c r="J490" s="280"/>
      <c r="K490" s="281"/>
      <c r="L490" s="264"/>
      <c r="M490" s="258"/>
      <c r="N490" s="258"/>
      <c r="O490" s="258"/>
      <c r="P490" s="258"/>
      <c r="Q490" s="258"/>
      <c r="R490" s="258"/>
      <c r="S490" s="258"/>
      <c r="T490" s="258"/>
      <c r="U490" s="258"/>
      <c r="V490" s="258"/>
      <c r="W490" s="258"/>
      <c r="X490" s="258"/>
      <c r="Y490" s="258"/>
      <c r="Z490" s="258"/>
      <c r="AA490" s="258"/>
      <c r="AB490" s="258"/>
    </row>
    <row r="491" ht="12.75" customHeight="1">
      <c r="A491" s="355"/>
      <c r="B491" s="282"/>
      <c r="C491" s="282"/>
      <c r="D491" s="321"/>
      <c r="E491" s="328"/>
      <c r="F491" s="281"/>
      <c r="G491" s="284"/>
      <c r="H491" s="286"/>
      <c r="I491" s="328"/>
      <c r="J491" s="280"/>
      <c r="K491" s="281"/>
      <c r="L491" s="264"/>
      <c r="M491" s="258"/>
      <c r="N491" s="258"/>
      <c r="O491" s="258"/>
      <c r="P491" s="258"/>
      <c r="Q491" s="258"/>
      <c r="R491" s="258"/>
      <c r="S491" s="258"/>
      <c r="T491" s="258"/>
      <c r="U491" s="258"/>
      <c r="V491" s="258"/>
      <c r="W491" s="258"/>
      <c r="X491" s="258"/>
      <c r="Y491" s="258"/>
      <c r="Z491" s="258"/>
      <c r="AA491" s="258"/>
      <c r="AB491" s="258"/>
    </row>
    <row r="492" ht="12.75" customHeight="1">
      <c r="A492" s="355"/>
      <c r="B492" s="282"/>
      <c r="C492" s="282"/>
      <c r="D492" s="321"/>
      <c r="E492" s="328"/>
      <c r="F492" s="281"/>
      <c r="G492" s="284"/>
      <c r="H492" s="286"/>
      <c r="I492" s="328"/>
      <c r="J492" s="280"/>
      <c r="K492" s="281"/>
      <c r="L492" s="264"/>
      <c r="M492" s="258"/>
      <c r="N492" s="258"/>
      <c r="O492" s="258"/>
      <c r="P492" s="258"/>
      <c r="Q492" s="258"/>
      <c r="R492" s="258"/>
      <c r="S492" s="258"/>
      <c r="T492" s="258"/>
      <c r="U492" s="258"/>
      <c r="V492" s="258"/>
      <c r="W492" s="258"/>
      <c r="X492" s="258"/>
      <c r="Y492" s="258"/>
      <c r="Z492" s="258"/>
      <c r="AA492" s="258"/>
      <c r="AB492" s="258"/>
    </row>
    <row r="493" ht="12.75" customHeight="1">
      <c r="A493" s="355"/>
      <c r="B493" s="282"/>
      <c r="C493" s="282"/>
      <c r="D493" s="321"/>
      <c r="E493" s="328"/>
      <c r="F493" s="281"/>
      <c r="G493" s="284"/>
      <c r="H493" s="286"/>
      <c r="I493" s="328"/>
      <c r="J493" s="280"/>
      <c r="K493" s="281"/>
      <c r="L493" s="264"/>
      <c r="M493" s="258"/>
      <c r="N493" s="258"/>
      <c r="O493" s="258"/>
      <c r="P493" s="258"/>
      <c r="Q493" s="258"/>
      <c r="R493" s="258"/>
      <c r="S493" s="258"/>
      <c r="T493" s="258"/>
      <c r="U493" s="258"/>
      <c r="V493" s="258"/>
      <c r="W493" s="258"/>
      <c r="X493" s="258"/>
      <c r="Y493" s="258"/>
      <c r="Z493" s="258"/>
      <c r="AA493" s="258"/>
      <c r="AB493" s="258"/>
    </row>
    <row r="494" ht="12.75" customHeight="1">
      <c r="A494" s="355"/>
      <c r="B494" s="282"/>
      <c r="C494" s="282"/>
      <c r="D494" s="321"/>
      <c r="E494" s="328"/>
      <c r="F494" s="281"/>
      <c r="G494" s="284"/>
      <c r="H494" s="286"/>
      <c r="I494" s="328"/>
      <c r="J494" s="280"/>
      <c r="K494" s="281"/>
      <c r="L494" s="264"/>
      <c r="M494" s="258"/>
      <c r="N494" s="258"/>
      <c r="O494" s="258"/>
      <c r="P494" s="258"/>
      <c r="Q494" s="258"/>
      <c r="R494" s="258"/>
      <c r="S494" s="258"/>
      <c r="T494" s="258"/>
      <c r="U494" s="258"/>
      <c r="V494" s="258"/>
      <c r="W494" s="258"/>
      <c r="X494" s="258"/>
      <c r="Y494" s="258"/>
      <c r="Z494" s="258"/>
      <c r="AA494" s="258"/>
      <c r="AB494" s="258"/>
    </row>
    <row r="495" ht="12.75" customHeight="1">
      <c r="A495" s="355"/>
      <c r="B495" s="282"/>
      <c r="C495" s="282"/>
      <c r="D495" s="321"/>
      <c r="E495" s="328"/>
      <c r="F495" s="281"/>
      <c r="G495" s="284"/>
      <c r="H495" s="286"/>
      <c r="I495" s="328"/>
      <c r="J495" s="280"/>
      <c r="K495" s="281"/>
      <c r="L495" s="264"/>
      <c r="M495" s="258"/>
      <c r="N495" s="258"/>
      <c r="O495" s="258"/>
      <c r="P495" s="258"/>
      <c r="Q495" s="258"/>
      <c r="R495" s="258"/>
      <c r="S495" s="258"/>
      <c r="T495" s="258"/>
      <c r="U495" s="258"/>
      <c r="V495" s="258"/>
      <c r="W495" s="258"/>
      <c r="X495" s="258"/>
      <c r="Y495" s="258"/>
      <c r="Z495" s="258"/>
      <c r="AA495" s="258"/>
      <c r="AB495" s="258"/>
    </row>
    <row r="496" ht="12.75" customHeight="1">
      <c r="A496" s="355"/>
      <c r="B496" s="282"/>
      <c r="C496" s="282"/>
      <c r="D496" s="321"/>
      <c r="E496" s="328"/>
      <c r="F496" s="281"/>
      <c r="G496" s="284"/>
      <c r="H496" s="286"/>
      <c r="I496" s="328"/>
      <c r="J496" s="280"/>
      <c r="K496" s="281"/>
      <c r="L496" s="264"/>
      <c r="M496" s="258"/>
      <c r="N496" s="258"/>
      <c r="O496" s="258"/>
      <c r="P496" s="258"/>
      <c r="Q496" s="258"/>
      <c r="R496" s="258"/>
      <c r="S496" s="258"/>
      <c r="T496" s="258"/>
      <c r="U496" s="258"/>
      <c r="V496" s="258"/>
      <c r="W496" s="258"/>
      <c r="X496" s="258"/>
      <c r="Y496" s="258"/>
      <c r="Z496" s="258"/>
      <c r="AA496" s="258"/>
      <c r="AB496" s="258"/>
    </row>
    <row r="497" ht="12.75" customHeight="1">
      <c r="A497" s="355"/>
      <c r="B497" s="282"/>
      <c r="C497" s="282"/>
      <c r="D497" s="321"/>
      <c r="E497" s="328"/>
      <c r="F497" s="281"/>
      <c r="G497" s="284"/>
      <c r="H497" s="286"/>
      <c r="I497" s="328"/>
      <c r="J497" s="280"/>
      <c r="K497" s="281"/>
      <c r="L497" s="264"/>
      <c r="M497" s="258"/>
      <c r="N497" s="258"/>
      <c r="O497" s="258"/>
      <c r="P497" s="258"/>
      <c r="Q497" s="258"/>
      <c r="R497" s="258"/>
      <c r="S497" s="258"/>
      <c r="T497" s="258"/>
      <c r="U497" s="258"/>
      <c r="V497" s="258"/>
      <c r="W497" s="258"/>
      <c r="X497" s="258"/>
      <c r="Y497" s="258"/>
      <c r="Z497" s="258"/>
      <c r="AA497" s="258"/>
      <c r="AB497" s="258"/>
    </row>
    <row r="498" ht="12.75" customHeight="1">
      <c r="A498" s="355"/>
      <c r="B498" s="282"/>
      <c r="C498" s="282"/>
      <c r="D498" s="321"/>
      <c r="E498" s="328"/>
      <c r="F498" s="281"/>
      <c r="G498" s="284"/>
      <c r="H498" s="286"/>
      <c r="I498" s="328"/>
      <c r="J498" s="280"/>
      <c r="K498" s="281"/>
      <c r="L498" s="264"/>
      <c r="M498" s="258"/>
      <c r="N498" s="258"/>
      <c r="O498" s="258"/>
      <c r="P498" s="258"/>
      <c r="Q498" s="258"/>
      <c r="R498" s="258"/>
      <c r="S498" s="258"/>
      <c r="T498" s="258"/>
      <c r="U498" s="258"/>
      <c r="V498" s="258"/>
      <c r="W498" s="258"/>
      <c r="X498" s="258"/>
      <c r="Y498" s="258"/>
      <c r="Z498" s="258"/>
      <c r="AA498" s="258"/>
      <c r="AB498" s="258"/>
    </row>
    <row r="499" ht="12.75" customHeight="1">
      <c r="A499" s="355"/>
      <c r="B499" s="282"/>
      <c r="C499" s="282"/>
      <c r="D499" s="321"/>
      <c r="E499" s="328"/>
      <c r="F499" s="281"/>
      <c r="G499" s="284"/>
      <c r="H499" s="286"/>
      <c r="I499" s="328"/>
      <c r="J499" s="280"/>
      <c r="K499" s="281"/>
      <c r="L499" s="264"/>
      <c r="M499" s="258"/>
      <c r="N499" s="258"/>
      <c r="O499" s="258"/>
      <c r="P499" s="258"/>
      <c r="Q499" s="258"/>
      <c r="R499" s="258"/>
      <c r="S499" s="258"/>
      <c r="T499" s="258"/>
      <c r="U499" s="258"/>
      <c r="V499" s="258"/>
      <c r="W499" s="258"/>
      <c r="X499" s="258"/>
      <c r="Y499" s="258"/>
      <c r="Z499" s="258"/>
      <c r="AA499" s="258"/>
      <c r="AB499" s="258"/>
    </row>
    <row r="500" ht="12.75" customHeight="1">
      <c r="A500" s="355"/>
      <c r="B500" s="282"/>
      <c r="C500" s="282"/>
      <c r="D500" s="321"/>
      <c r="E500" s="328"/>
      <c r="F500" s="281"/>
      <c r="G500" s="284"/>
      <c r="H500" s="286"/>
      <c r="I500" s="328"/>
      <c r="J500" s="280"/>
      <c r="K500" s="281"/>
      <c r="L500" s="264"/>
      <c r="M500" s="258"/>
      <c r="N500" s="258"/>
      <c r="O500" s="258"/>
      <c r="P500" s="258"/>
      <c r="Q500" s="258"/>
      <c r="R500" s="258"/>
      <c r="S500" s="258"/>
      <c r="T500" s="258"/>
      <c r="U500" s="258"/>
      <c r="V500" s="258"/>
      <c r="W500" s="258"/>
      <c r="X500" s="258"/>
      <c r="Y500" s="258"/>
      <c r="Z500" s="258"/>
      <c r="AA500" s="258"/>
      <c r="AB500" s="258"/>
    </row>
    <row r="501" ht="12.75" customHeight="1">
      <c r="A501" s="355"/>
      <c r="B501" s="282"/>
      <c r="C501" s="282"/>
      <c r="D501" s="321"/>
      <c r="E501" s="328"/>
      <c r="F501" s="281"/>
      <c r="G501" s="284"/>
      <c r="H501" s="286"/>
      <c r="I501" s="328"/>
      <c r="J501" s="280"/>
      <c r="K501" s="281"/>
      <c r="L501" s="264"/>
      <c r="M501" s="258"/>
      <c r="N501" s="258"/>
      <c r="O501" s="258"/>
      <c r="P501" s="258"/>
      <c r="Q501" s="258"/>
      <c r="R501" s="258"/>
      <c r="S501" s="258"/>
      <c r="T501" s="258"/>
      <c r="U501" s="258"/>
      <c r="V501" s="258"/>
      <c r="W501" s="258"/>
      <c r="X501" s="258"/>
      <c r="Y501" s="258"/>
      <c r="Z501" s="258"/>
      <c r="AA501" s="258"/>
      <c r="AB501" s="258"/>
    </row>
    <row r="502" ht="12.75" customHeight="1">
      <c r="A502" s="355"/>
      <c r="B502" s="282"/>
      <c r="C502" s="282"/>
      <c r="D502" s="321"/>
      <c r="E502" s="328"/>
      <c r="F502" s="281"/>
      <c r="G502" s="284"/>
      <c r="H502" s="286"/>
      <c r="I502" s="328"/>
      <c r="J502" s="280"/>
      <c r="K502" s="281"/>
      <c r="L502" s="264"/>
      <c r="M502" s="258"/>
      <c r="N502" s="258"/>
      <c r="O502" s="258"/>
      <c r="P502" s="258"/>
      <c r="Q502" s="258"/>
      <c r="R502" s="258"/>
      <c r="S502" s="258"/>
      <c r="T502" s="258"/>
      <c r="U502" s="258"/>
      <c r="V502" s="258"/>
      <c r="W502" s="258"/>
      <c r="X502" s="258"/>
      <c r="Y502" s="258"/>
      <c r="Z502" s="258"/>
      <c r="AA502" s="258"/>
      <c r="AB502" s="258"/>
    </row>
    <row r="503" ht="12.75" customHeight="1">
      <c r="A503" s="355"/>
      <c r="B503" s="282"/>
      <c r="C503" s="282"/>
      <c r="D503" s="321"/>
      <c r="E503" s="328"/>
      <c r="F503" s="281"/>
      <c r="G503" s="284"/>
      <c r="H503" s="286"/>
      <c r="I503" s="328"/>
      <c r="J503" s="280"/>
      <c r="K503" s="281"/>
      <c r="L503" s="264"/>
      <c r="M503" s="258"/>
      <c r="N503" s="258"/>
      <c r="O503" s="258"/>
      <c r="P503" s="258"/>
      <c r="Q503" s="258"/>
      <c r="R503" s="258"/>
      <c r="S503" s="258"/>
      <c r="T503" s="258"/>
      <c r="U503" s="258"/>
      <c r="V503" s="258"/>
      <c r="W503" s="258"/>
      <c r="X503" s="258"/>
      <c r="Y503" s="258"/>
      <c r="Z503" s="258"/>
      <c r="AA503" s="258"/>
      <c r="AB503" s="258"/>
    </row>
    <row r="504" ht="12.75" customHeight="1">
      <c r="A504" s="355"/>
      <c r="B504" s="282"/>
      <c r="C504" s="282"/>
      <c r="D504" s="321"/>
      <c r="E504" s="328"/>
      <c r="F504" s="281"/>
      <c r="G504" s="284"/>
      <c r="H504" s="286"/>
      <c r="I504" s="328"/>
      <c r="J504" s="280"/>
      <c r="K504" s="281"/>
      <c r="L504" s="264"/>
      <c r="M504" s="258"/>
      <c r="N504" s="258"/>
      <c r="O504" s="258"/>
      <c r="P504" s="258"/>
      <c r="Q504" s="258"/>
      <c r="R504" s="258"/>
      <c r="S504" s="258"/>
      <c r="T504" s="258"/>
      <c r="U504" s="258"/>
      <c r="V504" s="258"/>
      <c r="W504" s="258"/>
      <c r="X504" s="258"/>
      <c r="Y504" s="258"/>
      <c r="Z504" s="258"/>
      <c r="AA504" s="258"/>
      <c r="AB504" s="258"/>
    </row>
    <row r="505" ht="12.75" customHeight="1">
      <c r="A505" s="355"/>
      <c r="B505" s="282"/>
      <c r="C505" s="282"/>
      <c r="D505" s="321"/>
      <c r="E505" s="328"/>
      <c r="F505" s="281"/>
      <c r="G505" s="284"/>
      <c r="H505" s="286"/>
      <c r="I505" s="328"/>
      <c r="J505" s="280"/>
      <c r="K505" s="281"/>
      <c r="L505" s="264"/>
      <c r="M505" s="258"/>
      <c r="N505" s="258"/>
      <c r="O505" s="258"/>
      <c r="P505" s="258"/>
      <c r="Q505" s="258"/>
      <c r="R505" s="258"/>
      <c r="S505" s="258"/>
      <c r="T505" s="258"/>
      <c r="U505" s="258"/>
      <c r="V505" s="258"/>
      <c r="W505" s="258"/>
      <c r="X505" s="258"/>
      <c r="Y505" s="258"/>
      <c r="Z505" s="258"/>
      <c r="AA505" s="258"/>
      <c r="AB505" s="258"/>
    </row>
    <row r="506" ht="12.75" customHeight="1">
      <c r="A506" s="355"/>
      <c r="B506" s="282"/>
      <c r="C506" s="282"/>
      <c r="D506" s="321"/>
      <c r="E506" s="328"/>
      <c r="F506" s="281"/>
      <c r="G506" s="284"/>
      <c r="H506" s="286"/>
      <c r="I506" s="328"/>
      <c r="J506" s="280"/>
      <c r="K506" s="281"/>
      <c r="L506" s="264"/>
      <c r="M506" s="258"/>
      <c r="N506" s="258"/>
      <c r="O506" s="258"/>
      <c r="P506" s="258"/>
      <c r="Q506" s="258"/>
      <c r="R506" s="258"/>
      <c r="S506" s="258"/>
      <c r="T506" s="258"/>
      <c r="U506" s="258"/>
      <c r="V506" s="258"/>
      <c r="W506" s="258"/>
      <c r="X506" s="258"/>
      <c r="Y506" s="258"/>
      <c r="Z506" s="258"/>
      <c r="AA506" s="258"/>
      <c r="AB506" s="258"/>
    </row>
    <row r="507" ht="12.75" customHeight="1">
      <c r="A507" s="355"/>
      <c r="B507" s="282"/>
      <c r="C507" s="282"/>
      <c r="D507" s="321"/>
      <c r="E507" s="328"/>
      <c r="F507" s="281"/>
      <c r="G507" s="284"/>
      <c r="H507" s="286"/>
      <c r="I507" s="328"/>
      <c r="J507" s="280"/>
      <c r="K507" s="281"/>
      <c r="L507" s="264"/>
      <c r="M507" s="258"/>
      <c r="N507" s="258"/>
      <c r="O507" s="258"/>
      <c r="P507" s="258"/>
      <c r="Q507" s="258"/>
      <c r="R507" s="258"/>
      <c r="S507" s="258"/>
      <c r="T507" s="258"/>
      <c r="U507" s="258"/>
      <c r="V507" s="258"/>
      <c r="W507" s="258"/>
      <c r="X507" s="258"/>
      <c r="Y507" s="258"/>
      <c r="Z507" s="258"/>
      <c r="AA507" s="258"/>
      <c r="AB507" s="258"/>
    </row>
    <row r="508" ht="12.75" customHeight="1">
      <c r="A508" s="355"/>
      <c r="B508" s="282"/>
      <c r="C508" s="282"/>
      <c r="D508" s="321"/>
      <c r="E508" s="328"/>
      <c r="F508" s="281"/>
      <c r="G508" s="284"/>
      <c r="H508" s="286"/>
      <c r="I508" s="328"/>
      <c r="J508" s="280"/>
      <c r="K508" s="281"/>
      <c r="L508" s="264"/>
      <c r="M508" s="258"/>
      <c r="N508" s="258"/>
      <c r="O508" s="258"/>
      <c r="P508" s="258"/>
      <c r="Q508" s="258"/>
      <c r="R508" s="258"/>
      <c r="S508" s="258"/>
      <c r="T508" s="258"/>
      <c r="U508" s="258"/>
      <c r="V508" s="258"/>
      <c r="W508" s="258"/>
      <c r="X508" s="258"/>
      <c r="Y508" s="258"/>
      <c r="Z508" s="258"/>
      <c r="AA508" s="258"/>
      <c r="AB508" s="258"/>
    </row>
    <row r="509" ht="12.75" customHeight="1">
      <c r="A509" s="355"/>
      <c r="B509" s="282"/>
      <c r="C509" s="282"/>
      <c r="D509" s="321"/>
      <c r="E509" s="328"/>
      <c r="F509" s="281"/>
      <c r="G509" s="284"/>
      <c r="H509" s="286"/>
      <c r="I509" s="328"/>
      <c r="J509" s="280"/>
      <c r="K509" s="281"/>
      <c r="L509" s="264"/>
      <c r="M509" s="258"/>
      <c r="N509" s="258"/>
      <c r="O509" s="258"/>
      <c r="P509" s="258"/>
      <c r="Q509" s="258"/>
      <c r="R509" s="258"/>
      <c r="S509" s="258"/>
      <c r="T509" s="258"/>
      <c r="U509" s="258"/>
      <c r="V509" s="258"/>
      <c r="W509" s="258"/>
      <c r="X509" s="258"/>
      <c r="Y509" s="258"/>
      <c r="Z509" s="258"/>
      <c r="AA509" s="258"/>
      <c r="AB509" s="258"/>
    </row>
    <row r="510" ht="12.75" customHeight="1">
      <c r="A510" s="355"/>
      <c r="B510" s="282"/>
      <c r="C510" s="282"/>
      <c r="D510" s="321"/>
      <c r="E510" s="328"/>
      <c r="F510" s="281"/>
      <c r="G510" s="284"/>
      <c r="H510" s="286"/>
      <c r="I510" s="328"/>
      <c r="J510" s="280"/>
      <c r="K510" s="281"/>
      <c r="L510" s="264"/>
      <c r="M510" s="258"/>
      <c r="N510" s="258"/>
      <c r="O510" s="258"/>
      <c r="P510" s="258"/>
      <c r="Q510" s="258"/>
      <c r="R510" s="258"/>
      <c r="S510" s="258"/>
      <c r="T510" s="258"/>
      <c r="U510" s="258"/>
      <c r="V510" s="258"/>
      <c r="W510" s="258"/>
      <c r="X510" s="258"/>
      <c r="Y510" s="258"/>
      <c r="Z510" s="258"/>
      <c r="AA510" s="258"/>
      <c r="AB510" s="258"/>
    </row>
    <row r="511" ht="12.75" customHeight="1">
      <c r="A511" s="355"/>
      <c r="B511" s="282"/>
      <c r="C511" s="282"/>
      <c r="D511" s="321"/>
      <c r="E511" s="328"/>
      <c r="F511" s="281"/>
      <c r="G511" s="284"/>
      <c r="H511" s="286"/>
      <c r="I511" s="328"/>
      <c r="J511" s="280"/>
      <c r="K511" s="281"/>
      <c r="L511" s="264"/>
      <c r="M511" s="258"/>
      <c r="N511" s="258"/>
      <c r="O511" s="258"/>
      <c r="P511" s="258"/>
      <c r="Q511" s="258"/>
      <c r="R511" s="258"/>
      <c r="S511" s="258"/>
      <c r="T511" s="258"/>
      <c r="U511" s="258"/>
      <c r="V511" s="258"/>
      <c r="W511" s="258"/>
      <c r="X511" s="258"/>
      <c r="Y511" s="258"/>
      <c r="Z511" s="258"/>
      <c r="AA511" s="258"/>
      <c r="AB511" s="258"/>
    </row>
    <row r="512" ht="12.75" customHeight="1">
      <c r="A512" s="355"/>
      <c r="B512" s="282"/>
      <c r="C512" s="282"/>
      <c r="D512" s="321"/>
      <c r="E512" s="328"/>
      <c r="F512" s="281"/>
      <c r="G512" s="284"/>
      <c r="H512" s="286"/>
      <c r="I512" s="328"/>
      <c r="J512" s="280"/>
      <c r="K512" s="281"/>
      <c r="L512" s="264"/>
      <c r="M512" s="258"/>
      <c r="N512" s="258"/>
      <c r="O512" s="258"/>
      <c r="P512" s="258"/>
      <c r="Q512" s="258"/>
      <c r="R512" s="258"/>
      <c r="S512" s="258"/>
      <c r="T512" s="258"/>
      <c r="U512" s="258"/>
      <c r="V512" s="258"/>
      <c r="W512" s="258"/>
      <c r="X512" s="258"/>
      <c r="Y512" s="258"/>
      <c r="Z512" s="258"/>
      <c r="AA512" s="258"/>
      <c r="AB512" s="258"/>
    </row>
    <row r="513" ht="12.75" customHeight="1">
      <c r="A513" s="355"/>
      <c r="B513" s="282"/>
      <c r="C513" s="282"/>
      <c r="D513" s="321"/>
      <c r="E513" s="328"/>
      <c r="F513" s="281"/>
      <c r="G513" s="284"/>
      <c r="H513" s="286"/>
      <c r="I513" s="328"/>
      <c r="J513" s="280"/>
      <c r="K513" s="281"/>
      <c r="L513" s="264"/>
      <c r="M513" s="258"/>
      <c r="N513" s="258"/>
      <c r="O513" s="258"/>
      <c r="P513" s="258"/>
      <c r="Q513" s="258"/>
      <c r="R513" s="258"/>
      <c r="S513" s="258"/>
      <c r="T513" s="258"/>
      <c r="U513" s="258"/>
      <c r="V513" s="258"/>
      <c r="W513" s="258"/>
      <c r="X513" s="258"/>
      <c r="Y513" s="258"/>
      <c r="Z513" s="258"/>
      <c r="AA513" s="258"/>
      <c r="AB513" s="258"/>
    </row>
    <row r="514" ht="12.75" customHeight="1">
      <c r="A514" s="355"/>
      <c r="B514" s="282"/>
      <c r="C514" s="282"/>
      <c r="D514" s="321"/>
      <c r="E514" s="328"/>
      <c r="F514" s="281"/>
      <c r="G514" s="284"/>
      <c r="H514" s="286"/>
      <c r="I514" s="328"/>
      <c r="J514" s="280"/>
      <c r="K514" s="281"/>
      <c r="L514" s="264"/>
      <c r="M514" s="258"/>
      <c r="N514" s="258"/>
      <c r="O514" s="258"/>
      <c r="P514" s="258"/>
      <c r="Q514" s="258"/>
      <c r="R514" s="258"/>
      <c r="S514" s="258"/>
      <c r="T514" s="258"/>
      <c r="U514" s="258"/>
      <c r="V514" s="258"/>
      <c r="W514" s="258"/>
      <c r="X514" s="258"/>
      <c r="Y514" s="258"/>
      <c r="Z514" s="258"/>
      <c r="AA514" s="258"/>
      <c r="AB514" s="258"/>
    </row>
    <row r="515" ht="12.75" customHeight="1">
      <c r="A515" s="355"/>
      <c r="B515" s="282"/>
      <c r="C515" s="282"/>
      <c r="D515" s="321"/>
      <c r="E515" s="328"/>
      <c r="F515" s="281"/>
      <c r="G515" s="284"/>
      <c r="H515" s="286"/>
      <c r="I515" s="328"/>
      <c r="J515" s="280"/>
      <c r="K515" s="281"/>
      <c r="L515" s="264"/>
      <c r="M515" s="258"/>
      <c r="N515" s="258"/>
      <c r="O515" s="258"/>
      <c r="P515" s="258"/>
      <c r="Q515" s="258"/>
      <c r="R515" s="258"/>
      <c r="S515" s="258"/>
      <c r="T515" s="258"/>
      <c r="U515" s="258"/>
      <c r="V515" s="258"/>
      <c r="W515" s="258"/>
      <c r="X515" s="258"/>
      <c r="Y515" s="258"/>
      <c r="Z515" s="258"/>
      <c r="AA515" s="258"/>
      <c r="AB515" s="258"/>
    </row>
    <row r="516" ht="12.75" customHeight="1">
      <c r="A516" s="355"/>
      <c r="B516" s="282"/>
      <c r="C516" s="282"/>
      <c r="D516" s="321"/>
      <c r="E516" s="328"/>
      <c r="F516" s="281"/>
      <c r="G516" s="284"/>
      <c r="H516" s="286"/>
      <c r="I516" s="328"/>
      <c r="J516" s="280"/>
      <c r="K516" s="281"/>
      <c r="L516" s="264"/>
      <c r="M516" s="258"/>
      <c r="N516" s="258"/>
      <c r="O516" s="258"/>
      <c r="P516" s="258"/>
      <c r="Q516" s="258"/>
      <c r="R516" s="258"/>
      <c r="S516" s="258"/>
      <c r="T516" s="258"/>
      <c r="U516" s="258"/>
      <c r="V516" s="258"/>
      <c r="W516" s="258"/>
      <c r="X516" s="258"/>
      <c r="Y516" s="258"/>
      <c r="Z516" s="258"/>
      <c r="AA516" s="258"/>
      <c r="AB516" s="258"/>
    </row>
    <row r="517" ht="12.75" customHeight="1">
      <c r="A517" s="355"/>
      <c r="B517" s="282"/>
      <c r="C517" s="282"/>
      <c r="D517" s="321"/>
      <c r="E517" s="328"/>
      <c r="F517" s="281"/>
      <c r="G517" s="284"/>
      <c r="H517" s="286"/>
      <c r="I517" s="328"/>
      <c r="J517" s="280"/>
      <c r="K517" s="281"/>
      <c r="L517" s="264"/>
      <c r="M517" s="258"/>
      <c r="N517" s="258"/>
      <c r="O517" s="258"/>
      <c r="P517" s="258"/>
      <c r="Q517" s="258"/>
      <c r="R517" s="258"/>
      <c r="S517" s="258"/>
      <c r="T517" s="258"/>
      <c r="U517" s="258"/>
      <c r="V517" s="258"/>
      <c r="W517" s="258"/>
      <c r="X517" s="258"/>
      <c r="Y517" s="258"/>
      <c r="Z517" s="258"/>
      <c r="AA517" s="258"/>
      <c r="AB517" s="258"/>
    </row>
    <row r="518" ht="12.75" customHeight="1">
      <c r="A518" s="355"/>
      <c r="B518" s="282"/>
      <c r="C518" s="282"/>
      <c r="D518" s="321"/>
      <c r="E518" s="328"/>
      <c r="F518" s="281"/>
      <c r="G518" s="284"/>
      <c r="H518" s="286"/>
      <c r="I518" s="328"/>
      <c r="J518" s="280"/>
      <c r="K518" s="281"/>
      <c r="L518" s="264"/>
      <c r="M518" s="258"/>
      <c r="N518" s="258"/>
      <c r="O518" s="258"/>
      <c r="P518" s="258"/>
      <c r="Q518" s="258"/>
      <c r="R518" s="258"/>
      <c r="S518" s="258"/>
      <c r="T518" s="258"/>
      <c r="U518" s="258"/>
      <c r="V518" s="258"/>
      <c r="W518" s="258"/>
      <c r="X518" s="258"/>
      <c r="Y518" s="258"/>
      <c r="Z518" s="258"/>
      <c r="AA518" s="258"/>
      <c r="AB518" s="258"/>
    </row>
    <row r="519" ht="12.75" customHeight="1">
      <c r="A519" s="355"/>
      <c r="B519" s="282"/>
      <c r="C519" s="282"/>
      <c r="D519" s="321"/>
      <c r="E519" s="328"/>
      <c r="F519" s="281"/>
      <c r="G519" s="284"/>
      <c r="H519" s="286"/>
      <c r="I519" s="328"/>
      <c r="J519" s="280"/>
      <c r="K519" s="281"/>
      <c r="L519" s="264"/>
      <c r="M519" s="258"/>
      <c r="N519" s="258"/>
      <c r="O519" s="258"/>
      <c r="P519" s="258"/>
      <c r="Q519" s="258"/>
      <c r="R519" s="258"/>
      <c r="S519" s="258"/>
      <c r="T519" s="258"/>
      <c r="U519" s="258"/>
      <c r="V519" s="258"/>
      <c r="W519" s="258"/>
      <c r="X519" s="258"/>
      <c r="Y519" s="258"/>
      <c r="Z519" s="258"/>
      <c r="AA519" s="258"/>
      <c r="AB519" s="258"/>
    </row>
    <row r="520" ht="12.75" customHeight="1">
      <c r="A520" s="355"/>
      <c r="B520" s="282"/>
      <c r="C520" s="282"/>
      <c r="D520" s="321"/>
      <c r="E520" s="328"/>
      <c r="F520" s="281"/>
      <c r="G520" s="284"/>
      <c r="H520" s="286"/>
      <c r="I520" s="328"/>
      <c r="J520" s="280"/>
      <c r="K520" s="281"/>
      <c r="L520" s="264"/>
      <c r="M520" s="258"/>
      <c r="N520" s="258"/>
      <c r="O520" s="258"/>
      <c r="P520" s="258"/>
      <c r="Q520" s="258"/>
      <c r="R520" s="258"/>
      <c r="S520" s="258"/>
      <c r="T520" s="258"/>
      <c r="U520" s="258"/>
      <c r="V520" s="258"/>
      <c r="W520" s="258"/>
      <c r="X520" s="258"/>
      <c r="Y520" s="258"/>
      <c r="Z520" s="258"/>
      <c r="AA520" s="258"/>
      <c r="AB520" s="258"/>
    </row>
    <row r="521" ht="12.75" customHeight="1">
      <c r="A521" s="355"/>
      <c r="B521" s="282"/>
      <c r="C521" s="282"/>
      <c r="D521" s="321"/>
      <c r="E521" s="328"/>
      <c r="F521" s="281"/>
      <c r="G521" s="284"/>
      <c r="H521" s="286"/>
      <c r="I521" s="328"/>
      <c r="J521" s="280"/>
      <c r="K521" s="281"/>
      <c r="L521" s="264"/>
      <c r="M521" s="258"/>
      <c r="N521" s="258"/>
      <c r="O521" s="258"/>
      <c r="P521" s="258"/>
      <c r="Q521" s="258"/>
      <c r="R521" s="258"/>
      <c r="S521" s="258"/>
      <c r="T521" s="258"/>
      <c r="U521" s="258"/>
      <c r="V521" s="258"/>
      <c r="W521" s="258"/>
      <c r="X521" s="258"/>
      <c r="Y521" s="258"/>
      <c r="Z521" s="258"/>
      <c r="AA521" s="258"/>
      <c r="AB521" s="258"/>
    </row>
    <row r="522" ht="12.75" customHeight="1">
      <c r="A522" s="355"/>
      <c r="B522" s="282"/>
      <c r="C522" s="282"/>
      <c r="D522" s="321"/>
      <c r="E522" s="328"/>
      <c r="F522" s="281"/>
      <c r="G522" s="284"/>
      <c r="H522" s="286"/>
      <c r="I522" s="328"/>
      <c r="J522" s="280"/>
      <c r="K522" s="281"/>
      <c r="L522" s="264"/>
      <c r="M522" s="258"/>
      <c r="N522" s="258"/>
      <c r="O522" s="258"/>
      <c r="P522" s="258"/>
      <c r="Q522" s="258"/>
      <c r="R522" s="258"/>
      <c r="S522" s="258"/>
      <c r="T522" s="258"/>
      <c r="U522" s="258"/>
      <c r="V522" s="258"/>
      <c r="W522" s="258"/>
      <c r="X522" s="258"/>
      <c r="Y522" s="258"/>
      <c r="Z522" s="258"/>
      <c r="AA522" s="258"/>
      <c r="AB522" s="258"/>
    </row>
    <row r="523" ht="12.75" customHeight="1">
      <c r="A523" s="355"/>
      <c r="B523" s="282"/>
      <c r="C523" s="282"/>
      <c r="D523" s="321"/>
      <c r="E523" s="328"/>
      <c r="F523" s="281"/>
      <c r="G523" s="284"/>
      <c r="H523" s="286"/>
      <c r="I523" s="328"/>
      <c r="J523" s="280"/>
      <c r="K523" s="281"/>
      <c r="L523" s="264"/>
      <c r="M523" s="258"/>
      <c r="N523" s="258"/>
      <c r="O523" s="258"/>
      <c r="P523" s="258"/>
      <c r="Q523" s="258"/>
      <c r="R523" s="258"/>
      <c r="S523" s="258"/>
      <c r="T523" s="258"/>
      <c r="U523" s="258"/>
      <c r="V523" s="258"/>
      <c r="W523" s="258"/>
      <c r="X523" s="258"/>
      <c r="Y523" s="258"/>
      <c r="Z523" s="258"/>
      <c r="AA523" s="258"/>
      <c r="AB523" s="258"/>
    </row>
    <row r="524" ht="12.75" customHeight="1">
      <c r="A524" s="355"/>
      <c r="B524" s="282"/>
      <c r="C524" s="282"/>
      <c r="D524" s="321"/>
      <c r="E524" s="328"/>
      <c r="F524" s="281"/>
      <c r="G524" s="284"/>
      <c r="H524" s="286"/>
      <c r="I524" s="328"/>
      <c r="J524" s="280"/>
      <c r="K524" s="281"/>
      <c r="L524" s="264"/>
      <c r="M524" s="258"/>
      <c r="N524" s="258"/>
      <c r="O524" s="258"/>
      <c r="P524" s="258"/>
      <c r="Q524" s="258"/>
      <c r="R524" s="258"/>
      <c r="S524" s="258"/>
      <c r="T524" s="258"/>
      <c r="U524" s="258"/>
      <c r="V524" s="258"/>
      <c r="W524" s="258"/>
      <c r="X524" s="258"/>
      <c r="Y524" s="258"/>
      <c r="Z524" s="258"/>
      <c r="AA524" s="258"/>
      <c r="AB524" s="258"/>
    </row>
    <row r="525" ht="12.75" customHeight="1">
      <c r="A525" s="355"/>
      <c r="B525" s="282"/>
      <c r="C525" s="282"/>
      <c r="D525" s="321"/>
      <c r="E525" s="328"/>
      <c r="F525" s="281"/>
      <c r="G525" s="284"/>
      <c r="H525" s="286"/>
      <c r="I525" s="328"/>
      <c r="J525" s="280"/>
      <c r="K525" s="281"/>
      <c r="L525" s="264"/>
      <c r="M525" s="258"/>
      <c r="N525" s="258"/>
      <c r="O525" s="258"/>
      <c r="P525" s="258"/>
      <c r="Q525" s="258"/>
      <c r="R525" s="258"/>
      <c r="S525" s="258"/>
      <c r="T525" s="258"/>
      <c r="U525" s="258"/>
      <c r="V525" s="258"/>
      <c r="W525" s="258"/>
      <c r="X525" s="258"/>
      <c r="Y525" s="258"/>
      <c r="Z525" s="258"/>
      <c r="AA525" s="258"/>
      <c r="AB525" s="258"/>
    </row>
    <row r="526" ht="12.75" customHeight="1">
      <c r="A526" s="355"/>
      <c r="B526" s="282"/>
      <c r="C526" s="282"/>
      <c r="D526" s="321"/>
      <c r="E526" s="328"/>
      <c r="F526" s="281"/>
      <c r="G526" s="284"/>
      <c r="H526" s="286"/>
      <c r="I526" s="328"/>
      <c r="J526" s="280"/>
      <c r="K526" s="281"/>
      <c r="L526" s="264"/>
      <c r="M526" s="258"/>
      <c r="N526" s="258"/>
      <c r="O526" s="258"/>
      <c r="P526" s="258"/>
      <c r="Q526" s="258"/>
      <c r="R526" s="258"/>
      <c r="S526" s="258"/>
      <c r="T526" s="258"/>
      <c r="U526" s="258"/>
      <c r="V526" s="258"/>
      <c r="W526" s="258"/>
      <c r="X526" s="258"/>
      <c r="Y526" s="258"/>
      <c r="Z526" s="258"/>
      <c r="AA526" s="258"/>
      <c r="AB526" s="258"/>
    </row>
    <row r="527" ht="12.75" customHeight="1">
      <c r="A527" s="355"/>
      <c r="B527" s="282"/>
      <c r="C527" s="282"/>
      <c r="D527" s="321"/>
      <c r="E527" s="328"/>
      <c r="F527" s="281"/>
      <c r="G527" s="284"/>
      <c r="H527" s="286"/>
      <c r="I527" s="328"/>
      <c r="J527" s="280"/>
      <c r="K527" s="281"/>
      <c r="L527" s="264"/>
      <c r="M527" s="258"/>
      <c r="N527" s="258"/>
      <c r="O527" s="258"/>
      <c r="P527" s="258"/>
      <c r="Q527" s="258"/>
      <c r="R527" s="258"/>
      <c r="S527" s="258"/>
      <c r="T527" s="258"/>
      <c r="U527" s="258"/>
      <c r="V527" s="258"/>
      <c r="W527" s="258"/>
      <c r="X527" s="258"/>
      <c r="Y527" s="258"/>
      <c r="Z527" s="258"/>
      <c r="AA527" s="258"/>
      <c r="AB527" s="258"/>
    </row>
    <row r="528" ht="12.75" customHeight="1">
      <c r="A528" s="355"/>
      <c r="B528" s="282"/>
      <c r="C528" s="282"/>
      <c r="D528" s="321"/>
      <c r="E528" s="328"/>
      <c r="F528" s="281"/>
      <c r="G528" s="284"/>
      <c r="H528" s="286"/>
      <c r="I528" s="328"/>
      <c r="J528" s="280"/>
      <c r="K528" s="281"/>
      <c r="L528" s="264"/>
      <c r="M528" s="258"/>
      <c r="N528" s="258"/>
      <c r="O528" s="258"/>
      <c r="P528" s="258"/>
      <c r="Q528" s="258"/>
      <c r="R528" s="258"/>
      <c r="S528" s="258"/>
      <c r="T528" s="258"/>
      <c r="U528" s="258"/>
      <c r="V528" s="258"/>
      <c r="W528" s="258"/>
      <c r="X528" s="258"/>
      <c r="Y528" s="258"/>
      <c r="Z528" s="258"/>
      <c r="AA528" s="258"/>
      <c r="AB528" s="258"/>
    </row>
    <row r="529" ht="12.75" customHeight="1">
      <c r="A529" s="355"/>
      <c r="B529" s="282"/>
      <c r="C529" s="282"/>
      <c r="D529" s="321"/>
      <c r="E529" s="328"/>
      <c r="F529" s="281"/>
      <c r="G529" s="284"/>
      <c r="H529" s="286"/>
      <c r="I529" s="328"/>
      <c r="J529" s="280"/>
      <c r="K529" s="281"/>
      <c r="L529" s="264"/>
      <c r="M529" s="258"/>
      <c r="N529" s="258"/>
      <c r="O529" s="258"/>
      <c r="P529" s="258"/>
      <c r="Q529" s="258"/>
      <c r="R529" s="258"/>
      <c r="S529" s="258"/>
      <c r="T529" s="258"/>
      <c r="U529" s="258"/>
      <c r="V529" s="258"/>
      <c r="W529" s="258"/>
      <c r="X529" s="258"/>
      <c r="Y529" s="258"/>
      <c r="Z529" s="258"/>
      <c r="AA529" s="258"/>
      <c r="AB529" s="258"/>
    </row>
    <row r="530" ht="12.75" customHeight="1">
      <c r="A530" s="355"/>
      <c r="B530" s="282"/>
      <c r="C530" s="282"/>
      <c r="D530" s="321"/>
      <c r="E530" s="328"/>
      <c r="F530" s="281"/>
      <c r="G530" s="284"/>
      <c r="H530" s="286"/>
      <c r="I530" s="328"/>
      <c r="J530" s="280"/>
      <c r="K530" s="281"/>
      <c r="L530" s="264"/>
      <c r="M530" s="258"/>
      <c r="N530" s="258"/>
      <c r="O530" s="258"/>
      <c r="P530" s="258"/>
      <c r="Q530" s="258"/>
      <c r="R530" s="258"/>
      <c r="S530" s="258"/>
      <c r="T530" s="258"/>
      <c r="U530" s="258"/>
      <c r="V530" s="258"/>
      <c r="W530" s="258"/>
      <c r="X530" s="258"/>
      <c r="Y530" s="258"/>
      <c r="Z530" s="258"/>
      <c r="AA530" s="258"/>
      <c r="AB530" s="258"/>
    </row>
    <row r="531" ht="12.75" customHeight="1">
      <c r="A531" s="355"/>
      <c r="B531" s="282"/>
      <c r="C531" s="282"/>
      <c r="D531" s="321"/>
      <c r="E531" s="328"/>
      <c r="F531" s="281"/>
      <c r="G531" s="284"/>
      <c r="H531" s="286"/>
      <c r="I531" s="328"/>
      <c r="J531" s="280"/>
      <c r="K531" s="281"/>
      <c r="L531" s="264"/>
      <c r="M531" s="258"/>
      <c r="N531" s="258"/>
      <c r="O531" s="258"/>
      <c r="P531" s="258"/>
      <c r="Q531" s="258"/>
      <c r="R531" s="258"/>
      <c r="S531" s="258"/>
      <c r="T531" s="258"/>
      <c r="U531" s="258"/>
      <c r="V531" s="258"/>
      <c r="W531" s="258"/>
      <c r="X531" s="258"/>
      <c r="Y531" s="258"/>
      <c r="Z531" s="258"/>
      <c r="AA531" s="258"/>
      <c r="AB531" s="258"/>
    </row>
    <row r="532" ht="12.75" customHeight="1">
      <c r="A532" s="355"/>
      <c r="B532" s="282"/>
      <c r="C532" s="282"/>
      <c r="D532" s="321"/>
      <c r="E532" s="328"/>
      <c r="F532" s="281"/>
      <c r="G532" s="284"/>
      <c r="H532" s="286"/>
      <c r="I532" s="328"/>
      <c r="J532" s="280"/>
      <c r="K532" s="281"/>
      <c r="L532" s="264"/>
      <c r="M532" s="258"/>
      <c r="N532" s="258"/>
      <c r="O532" s="258"/>
      <c r="P532" s="258"/>
      <c r="Q532" s="258"/>
      <c r="R532" s="258"/>
      <c r="S532" s="258"/>
      <c r="T532" s="258"/>
      <c r="U532" s="258"/>
      <c r="V532" s="258"/>
      <c r="W532" s="258"/>
      <c r="X532" s="258"/>
      <c r="Y532" s="258"/>
      <c r="Z532" s="258"/>
      <c r="AA532" s="258"/>
      <c r="AB532" s="258"/>
    </row>
    <row r="533" ht="12.75" customHeight="1">
      <c r="A533" s="355"/>
      <c r="B533" s="282"/>
      <c r="C533" s="282"/>
      <c r="D533" s="321"/>
      <c r="E533" s="328"/>
      <c r="F533" s="281"/>
      <c r="G533" s="284"/>
      <c r="H533" s="286"/>
      <c r="I533" s="328"/>
      <c r="J533" s="280"/>
      <c r="K533" s="281"/>
      <c r="L533" s="264"/>
      <c r="M533" s="258"/>
      <c r="N533" s="258"/>
      <c r="O533" s="258"/>
      <c r="P533" s="258"/>
      <c r="Q533" s="258"/>
      <c r="R533" s="258"/>
      <c r="S533" s="258"/>
      <c r="T533" s="258"/>
      <c r="U533" s="258"/>
      <c r="V533" s="258"/>
      <c r="W533" s="258"/>
      <c r="X533" s="258"/>
      <c r="Y533" s="258"/>
      <c r="Z533" s="258"/>
      <c r="AA533" s="258"/>
      <c r="AB533" s="258"/>
    </row>
    <row r="534" ht="12.75" customHeight="1">
      <c r="A534" s="355"/>
      <c r="B534" s="282"/>
      <c r="C534" s="282"/>
      <c r="D534" s="321"/>
      <c r="E534" s="328"/>
      <c r="F534" s="281"/>
      <c r="G534" s="284"/>
      <c r="H534" s="286"/>
      <c r="I534" s="328"/>
      <c r="J534" s="280"/>
      <c r="K534" s="281"/>
      <c r="L534" s="264"/>
      <c r="M534" s="258"/>
      <c r="N534" s="258"/>
      <c r="O534" s="258"/>
      <c r="P534" s="258"/>
      <c r="Q534" s="258"/>
      <c r="R534" s="258"/>
      <c r="S534" s="258"/>
      <c r="T534" s="258"/>
      <c r="U534" s="258"/>
      <c r="V534" s="258"/>
      <c r="W534" s="258"/>
      <c r="X534" s="258"/>
      <c r="Y534" s="258"/>
      <c r="Z534" s="258"/>
      <c r="AA534" s="258"/>
      <c r="AB534" s="258"/>
    </row>
    <row r="535" ht="15.75" customHeight="1">
      <c r="A535" s="37"/>
      <c r="B535" s="37"/>
      <c r="C535" s="37"/>
      <c r="D535" s="37"/>
      <c r="E535" s="37"/>
      <c r="F535" s="37"/>
      <c r="G535" s="37"/>
      <c r="H535" s="37"/>
      <c r="I535" s="37"/>
      <c r="J535" s="37"/>
      <c r="K535" s="37"/>
      <c r="L535" s="9"/>
      <c r="M535" s="9"/>
      <c r="N535" s="9"/>
      <c r="O535" s="9"/>
      <c r="P535" s="9"/>
      <c r="Q535" s="9"/>
      <c r="R535" s="9"/>
      <c r="S535" s="9"/>
      <c r="T535" s="9"/>
      <c r="U535" s="9"/>
      <c r="V535" s="9"/>
      <c r="W535" s="9"/>
      <c r="X535" s="9"/>
      <c r="Y535" s="9"/>
      <c r="Z535" s="9"/>
      <c r="AA535" s="9"/>
      <c r="AB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ht="15.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ht="15.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ht="15.75" customHeight="1">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ht="15.75" customHeight="1">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ht="15.75" customHeight="1">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ht="15.75" customHeight="1">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ht="15.75" customHeight="1">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ht="15.75" customHeight="1">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ht="15.75" customHeight="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ht="15.75" customHeight="1">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ht="15.75" customHeight="1">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ht="15.75" customHeight="1">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ht="15.75" customHeight="1">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ht="15.75" customHeight="1">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row>
    <row r="1017" ht="15.75" customHeight="1">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row>
    <row r="1018" ht="15.75" customHeight="1">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row>
    <row r="1019" ht="15.75" customHeight="1">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row>
    <row r="1020" ht="15.75" customHeight="1">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row>
    <row r="1021" ht="15.75" customHeight="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row>
    <row r="1022" ht="15.75" customHeight="1">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row>
    <row r="1023" ht="15.75" customHeight="1">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row>
    <row r="1024" ht="15.75" customHeight="1">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row>
    <row r="1025" ht="15.75" customHeight="1">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row>
    <row r="1026" ht="15.75" customHeight="1">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row>
    <row r="1027" ht="15.75" customHeight="1">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row>
    <row r="1028" ht="15.75" customHeight="1">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row>
    <row r="1029" ht="15.75" customHeight="1">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row>
    <row r="1030" ht="15.75" customHeight="1">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row>
    <row r="1031" ht="15.75" customHeight="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row>
    <row r="1032" ht="15.75" customHeight="1">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row>
    <row r="1033" ht="15.75" customHeight="1">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row>
    <row r="1034" ht="15.75" customHeight="1">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c r="AA1034" s="9"/>
      <c r="AB1034" s="9"/>
    </row>
    <row r="1035" ht="15.75" customHeight="1">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c r="AB1035" s="9"/>
    </row>
    <row r="1036" ht="15.75" customHeight="1">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c r="AA1036" s="9"/>
      <c r="AB1036" s="9"/>
    </row>
    <row r="1037" ht="15.75" customHeight="1">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c r="AB1037" s="9"/>
    </row>
    <row r="1038" ht="15.75" customHeight="1">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c r="AA1038" s="9"/>
      <c r="AB1038" s="9"/>
    </row>
    <row r="1039" ht="15.75" customHeight="1">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c r="AB1039" s="9"/>
    </row>
    <row r="1040" ht="15.75" customHeight="1">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row>
    <row r="1041" ht="15.75" customHeight="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c r="AB1041" s="9"/>
    </row>
    <row r="1042" ht="15.75" customHeight="1">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c r="AA1042" s="9"/>
      <c r="AB1042" s="9"/>
    </row>
    <row r="1043" ht="15.75" customHeight="1">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c r="AB1043" s="9"/>
    </row>
    <row r="1044" ht="15.75" customHeight="1">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c r="AA1044" s="9"/>
      <c r="AB1044" s="9"/>
    </row>
    <row r="1045" ht="15.75" customHeight="1">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row>
    <row r="1046" ht="15.75" customHeight="1">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row>
    <row r="1047" ht="15.75" customHeight="1">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c r="AB1047" s="9"/>
    </row>
    <row r="1048" ht="15.75" customHeight="1">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c r="AA1048" s="9"/>
      <c r="AB1048" s="9"/>
    </row>
    <row r="1049" ht="15.75" customHeight="1">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c r="AB1049" s="9"/>
    </row>
    <row r="1050" ht="15.75" customHeight="1">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c r="AA1050" s="9"/>
      <c r="AB1050" s="9"/>
    </row>
    <row r="1051" ht="15.75" customHeight="1">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c r="AB1051" s="9"/>
    </row>
    <row r="1052" ht="15.75" customHeight="1">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c r="AA1052" s="9"/>
      <c r="AB1052" s="9"/>
    </row>
    <row r="1053" ht="15.75" customHeight="1">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c r="AA1053" s="9"/>
      <c r="AB1053" s="9"/>
    </row>
    <row r="1054" ht="13.75" customHeight="1">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c r="AA1054" s="9"/>
      <c r="AB1054" s="9"/>
    </row>
    <row r="1055" ht="13.75" customHeight="1">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row>
    <row r="1056" ht="13.75" customHeight="1">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row>
    <row r="1057" ht="13.75" customHeight="1">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row>
    <row r="1058" ht="13.75" customHeight="1">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row>
    <row r="1059" ht="13.75" customHeight="1">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row>
    <row r="1060" ht="13.75" customHeight="1">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row>
    <row r="1061" ht="13.75" customHeight="1">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row>
    <row r="1062" ht="13.75" customHeight="1">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row>
    <row r="1063" ht="13.75" customHeight="1">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c r="AA1063" s="9"/>
      <c r="AB1063" s="9"/>
    </row>
    <row r="1064" ht="13.75" customHeight="1">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row>
    <row r="1065" ht="13.75" customHeight="1">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c r="AA1065" s="9"/>
      <c r="AB1065" s="9"/>
    </row>
    <row r="1066" ht="13.75" customHeight="1">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row>
    <row r="1067" ht="13.75" customHeight="1">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c r="AA1067" s="9"/>
      <c r="AB1067" s="9"/>
    </row>
    <row r="1068" ht="13.75" customHeight="1">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c r="AA1068" s="9"/>
      <c r="AB1068" s="9"/>
    </row>
    <row r="1069" ht="13.75" customHeight="1">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c r="AA1069" s="9"/>
      <c r="AB1069" s="9"/>
    </row>
    <row r="1070" ht="13.75" customHeight="1">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c r="AA1070" s="9"/>
      <c r="AB1070" s="9"/>
    </row>
    <row r="1071" ht="13.75" customHeight="1">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c r="AA1071" s="9"/>
      <c r="AB1071" s="9"/>
    </row>
    <row r="1072" ht="13.75" customHeight="1">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row>
    <row r="1073" ht="13.75" customHeight="1">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c r="AA1073" s="9"/>
      <c r="AB1073" s="9"/>
    </row>
    <row r="1074" ht="13.75" customHeight="1">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c r="AA1074" s="9"/>
      <c r="AB1074" s="9"/>
    </row>
    <row r="1075" ht="13.75" customHeight="1">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row>
    <row r="1076" ht="13.75" customHeight="1">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c r="AA1076" s="9"/>
      <c r="AB1076" s="9"/>
    </row>
    <row r="1077" ht="13.75" customHeight="1">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c r="AA1077" s="9"/>
      <c r="AB1077" s="9"/>
    </row>
    <row r="1078" ht="13.75" customHeight="1">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row>
  </sheetData>
  <mergeCells count="3">
    <mergeCell ref="E1:F1"/>
    <mergeCell ref="G1:I1"/>
    <mergeCell ref="J1:K1"/>
  </mergeCells>
  <pageMargins left="1.025" right="0.42972" top="0.7875" bottom="0.7875" header="0" footer="0"/>
  <pageSetup firstPageNumber="1" fitToHeight="1" fitToWidth="1" scale="100" useFirstPageNumber="0" orientation="landscape" pageOrder="downThenOver"/>
  <headerFooter>
    <oddFooter>&amp;C&amp;"Calibri,Regular"&amp;10&amp;K000000Página </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100"/>
  <sheetViews>
    <sheetView workbookViewId="0" showGridLines="0" defaultGridColor="1"/>
  </sheetViews>
  <sheetFormatPr defaultColWidth="14.4" defaultRowHeight="15" customHeight="1" outlineLevelRow="0" outlineLevelCol="0"/>
  <cols>
    <col min="1" max="3" width="14.4219" style="356" customWidth="1"/>
    <col min="4" max="4" width="44.8125" style="356" customWidth="1"/>
    <col min="5" max="8" width="14.4219" style="356" customWidth="1"/>
    <col min="9" max="16384" width="14.4219" style="356" customWidth="1"/>
  </cols>
  <sheetData>
    <row r="1" ht="16" customHeight="1">
      <c r="A1" s="357"/>
      <c r="B1" s="358"/>
      <c r="C1" s="359"/>
      <c r="D1" s="359"/>
      <c r="E1" s="360"/>
      <c r="F1" s="361"/>
      <c r="G1" s="362"/>
      <c r="H1" s="9"/>
    </row>
    <row r="2" ht="22" customHeight="1">
      <c r="A2" s="9"/>
      <c r="B2" s="24"/>
      <c r="C2" t="s" s="363">
        <v>1579</v>
      </c>
      <c r="D2" s="61"/>
      <c r="E2" s="364"/>
      <c r="F2" s="18"/>
      <c r="G2" s="362"/>
      <c r="H2" s="9"/>
    </row>
    <row r="3" ht="16" customHeight="1">
      <c r="A3" s="365"/>
      <c r="B3" s="366"/>
      <c r="C3" s="367"/>
      <c r="D3" s="367"/>
      <c r="E3" s="368"/>
      <c r="F3" s="369"/>
      <c r="G3" s="370"/>
      <c r="H3" s="9"/>
    </row>
    <row r="4" ht="25" customHeight="1">
      <c r="A4" t="s" s="259">
        <v>1136</v>
      </c>
      <c r="B4" t="s" s="260">
        <v>23</v>
      </c>
      <c r="C4" t="s" s="260">
        <v>24</v>
      </c>
      <c r="D4" t="s" s="260">
        <v>1137</v>
      </c>
      <c r="E4" t="s" s="260">
        <v>26</v>
      </c>
      <c r="F4" t="s" s="260">
        <v>27</v>
      </c>
      <c r="G4" t="s" s="371">
        <v>28</v>
      </c>
      <c r="H4" s="372"/>
    </row>
    <row r="5" ht="15" customHeight="1">
      <c r="A5" s="287">
        <v>42441</v>
      </c>
      <c r="B5" s="282"/>
      <c r="C5" t="s" s="259">
        <v>101</v>
      </c>
      <c r="D5" t="s" s="293">
        <v>1161</v>
      </c>
      <c r="E5" s="373">
        <v>400000</v>
      </c>
      <c r="F5" s="374">
        <v>25560</v>
      </c>
      <c r="G5" s="373">
        <v>15.65</v>
      </c>
      <c r="H5" s="372"/>
    </row>
    <row r="6" ht="15" customHeight="1">
      <c r="A6" s="290">
        <v>42441</v>
      </c>
      <c r="B6" s="275"/>
      <c r="C6" t="s" s="274">
        <v>101</v>
      </c>
      <c r="D6" t="s" s="375">
        <v>1162</v>
      </c>
      <c r="E6" s="376">
        <v>782500</v>
      </c>
      <c r="F6" s="377" cm="1">
        <f t="array" ref="F6">E6/G6</f>
        <v>50000</v>
      </c>
      <c r="G6" s="376" cm="1">
        <f t="array" ref="G6">G5</f>
        <v>15.65</v>
      </c>
      <c r="H6" s="372"/>
    </row>
    <row r="7" ht="15" customHeight="1">
      <c r="A7" s="287">
        <v>42459</v>
      </c>
      <c r="B7" s="282"/>
      <c r="C7" t="s" s="259">
        <v>101</v>
      </c>
      <c r="D7" t="s" s="293">
        <v>1163</v>
      </c>
      <c r="E7" s="373">
        <v>767500</v>
      </c>
      <c r="F7" s="374">
        <v>50000</v>
      </c>
      <c r="G7" s="373" cm="1">
        <f t="array" ref="G7">G6</f>
        <v>15.65</v>
      </c>
      <c r="H7" s="372"/>
    </row>
    <row r="8" ht="15" customHeight="1">
      <c r="A8" s="290">
        <v>42530</v>
      </c>
      <c r="B8" s="275"/>
      <c r="C8" t="s" s="274">
        <v>101</v>
      </c>
      <c r="D8" t="s" s="375">
        <v>1163</v>
      </c>
      <c r="E8" s="376">
        <v>225000</v>
      </c>
      <c r="F8" s="377">
        <v>15000</v>
      </c>
      <c r="G8" s="376">
        <v>15</v>
      </c>
      <c r="H8" s="372"/>
    </row>
    <row r="9" ht="15" customHeight="1">
      <c r="A9" s="287">
        <v>42530</v>
      </c>
      <c r="B9" s="282"/>
      <c r="C9" t="s" s="259">
        <v>101</v>
      </c>
      <c r="D9" t="s" s="293">
        <v>1163</v>
      </c>
      <c r="E9" s="373">
        <v>25000</v>
      </c>
      <c r="F9" s="374" cm="1">
        <f t="array" ref="F9">E9/G9</f>
        <v>1666.666666666670</v>
      </c>
      <c r="G9" s="373">
        <v>15</v>
      </c>
      <c r="H9" s="372"/>
    </row>
    <row r="10" ht="15" customHeight="1">
      <c r="A10" s="290">
        <v>42550</v>
      </c>
      <c r="B10" s="275"/>
      <c r="C10" t="s" s="274">
        <v>101</v>
      </c>
      <c r="D10" t="s" s="375">
        <v>102</v>
      </c>
      <c r="E10" s="376">
        <v>484600</v>
      </c>
      <c r="F10" s="377">
        <v>33145</v>
      </c>
      <c r="G10" s="376" cm="1">
        <f t="array" ref="G10">E10/F10</f>
        <v>14.6206064263086</v>
      </c>
      <c r="H10" s="372"/>
    </row>
    <row r="11" ht="15" customHeight="1">
      <c r="A11" s="287">
        <v>42584</v>
      </c>
      <c r="B11" s="282"/>
      <c r="C11" t="s" s="259">
        <v>101</v>
      </c>
      <c r="D11" t="s" s="293">
        <v>105</v>
      </c>
      <c r="E11" s="373">
        <v>352950</v>
      </c>
      <c r="F11" s="374">
        <v>23220</v>
      </c>
      <c r="G11" s="373" cm="1">
        <f t="array" ref="G11">E11/F11</f>
        <v>15.2002583979328</v>
      </c>
      <c r="H11" s="372"/>
    </row>
    <row r="12" ht="15" customHeight="1">
      <c r="A12" s="290">
        <v>42615</v>
      </c>
      <c r="B12" s="275"/>
      <c r="C12" t="s" s="274">
        <v>101</v>
      </c>
      <c r="D12" t="s" s="375">
        <v>113</v>
      </c>
      <c r="E12" s="376">
        <v>418775.17</v>
      </c>
      <c r="F12" s="377">
        <v>27550</v>
      </c>
      <c r="G12" s="376" cm="1">
        <f t="array" ref="G12">E12/F12</f>
        <v>15.2005506352087</v>
      </c>
      <c r="H12" s="372"/>
    </row>
    <row r="13" ht="15" customHeight="1">
      <c r="A13" s="287">
        <v>42618</v>
      </c>
      <c r="B13" s="282"/>
      <c r="C13" t="s" s="259">
        <v>101</v>
      </c>
      <c r="D13" t="s" s="293">
        <v>114</v>
      </c>
      <c r="E13" s="373">
        <v>418775.17</v>
      </c>
      <c r="F13" s="374">
        <v>27550</v>
      </c>
      <c r="G13" s="373" cm="1">
        <f t="array" ref="G13">E13/F13</f>
        <v>15.2005506352087</v>
      </c>
      <c r="H13" s="372"/>
    </row>
    <row r="14" ht="15" customHeight="1">
      <c r="A14" s="290">
        <v>42681</v>
      </c>
      <c r="B14" s="275"/>
      <c r="C14" t="s" s="274">
        <v>101</v>
      </c>
      <c r="D14" t="s" s="375">
        <v>120</v>
      </c>
      <c r="E14" s="376">
        <v>459940.77</v>
      </c>
      <c r="F14" s="377">
        <v>30660</v>
      </c>
      <c r="G14" s="376" cm="1">
        <f t="array" ref="G14">E14/F14</f>
        <v>15.0013297455969</v>
      </c>
      <c r="H14" s="372"/>
    </row>
    <row r="15" ht="15" customHeight="1">
      <c r="A15" s="287">
        <v>42681</v>
      </c>
      <c r="B15" s="282"/>
      <c r="C15" t="s" s="259">
        <v>101</v>
      </c>
      <c r="D15" t="s" s="293">
        <v>121</v>
      </c>
      <c r="E15" s="373">
        <v>459940.77</v>
      </c>
      <c r="F15" s="374">
        <v>30660</v>
      </c>
      <c r="G15" s="373" cm="1">
        <f t="array" ref="G15">E15/F15</f>
        <v>15.0013297455969</v>
      </c>
      <c r="H15" s="372"/>
    </row>
    <row r="16" ht="15" customHeight="1">
      <c r="A16" s="290">
        <v>42739</v>
      </c>
      <c r="B16" s="275"/>
      <c r="C16" t="s" s="274">
        <v>101</v>
      </c>
      <c r="D16" t="s" s="375">
        <v>127</v>
      </c>
      <c r="E16" s="376">
        <v>459940.77</v>
      </c>
      <c r="F16" s="377">
        <v>28750</v>
      </c>
      <c r="G16" s="376" cm="1">
        <f t="array" ref="G16">E16/F16</f>
        <v>15.997939826087</v>
      </c>
      <c r="H16" s="372"/>
    </row>
    <row r="17" ht="15" customHeight="1">
      <c r="A17" s="287">
        <v>42773</v>
      </c>
      <c r="B17" s="282"/>
      <c r="C17" t="s" s="259">
        <v>101</v>
      </c>
      <c r="D17" t="s" s="293">
        <v>132</v>
      </c>
      <c r="E17" s="373">
        <v>477142.54</v>
      </c>
      <c r="F17" s="374">
        <v>29800</v>
      </c>
      <c r="G17" s="373" cm="1">
        <f t="array" ref="G17">E17/F17</f>
        <v>16.0114946308725</v>
      </c>
      <c r="H17" s="372"/>
    </row>
    <row r="18" ht="15" customHeight="1">
      <c r="A18" s="290">
        <v>42796</v>
      </c>
      <c r="B18" s="275"/>
      <c r="C18" t="s" s="274">
        <v>101</v>
      </c>
      <c r="D18" t="s" s="375">
        <v>135</v>
      </c>
      <c r="E18" s="376">
        <v>477142.54</v>
      </c>
      <c r="F18" s="377">
        <v>30200</v>
      </c>
      <c r="G18" s="376" cm="1">
        <f t="array" ref="G18">E18/F18</f>
        <v>15.7994218543046</v>
      </c>
      <c r="H18" s="372"/>
    </row>
    <row r="19" ht="15" customHeight="1">
      <c r="A19" s="287">
        <v>42842</v>
      </c>
      <c r="B19" s="282"/>
      <c r="C19" t="s" s="259">
        <v>101</v>
      </c>
      <c r="D19" t="s" s="293">
        <v>139</v>
      </c>
      <c r="E19" s="373">
        <v>477142.54</v>
      </c>
      <c r="F19" s="374">
        <v>29272</v>
      </c>
      <c r="G19" s="373" cm="1">
        <f t="array" ref="G19">E19/F19</f>
        <v>16.3003054113146</v>
      </c>
      <c r="H19" s="372"/>
    </row>
    <row r="20" ht="15" customHeight="1">
      <c r="A20" s="290">
        <v>42864</v>
      </c>
      <c r="B20" s="275"/>
      <c r="C20" t="s" s="274">
        <v>101</v>
      </c>
      <c r="D20" t="s" s="375">
        <v>141</v>
      </c>
      <c r="E20" s="376">
        <v>190857.05</v>
      </c>
      <c r="F20" s="377">
        <v>11227</v>
      </c>
      <c r="G20" s="376" cm="1">
        <f t="array" ref="G20">E20/F20</f>
        <v>16.9998263115703</v>
      </c>
      <c r="H20" s="372"/>
    </row>
    <row r="21" ht="15.75" customHeight="1">
      <c r="A21" s="287">
        <v>42891</v>
      </c>
      <c r="B21" s="282"/>
      <c r="C21" t="s" s="259">
        <v>101</v>
      </c>
      <c r="D21" t="s" s="293">
        <v>144</v>
      </c>
      <c r="E21" s="373">
        <v>211851.32</v>
      </c>
      <c r="F21" s="374">
        <v>13000</v>
      </c>
      <c r="G21" s="373" cm="1">
        <f t="array" ref="G21">E21/F21</f>
        <v>16.2962553846154</v>
      </c>
      <c r="H21" s="372"/>
    </row>
    <row r="22" ht="15.75" customHeight="1">
      <c r="A22" s="290">
        <v>42919</v>
      </c>
      <c r="B22" s="275"/>
      <c r="C22" t="s" s="274">
        <v>101</v>
      </c>
      <c r="D22" t="s" s="375">
        <v>151</v>
      </c>
      <c r="E22" s="376">
        <v>211851.32</v>
      </c>
      <c r="F22" s="377">
        <v>12210</v>
      </c>
      <c r="G22" s="376" cm="1">
        <f t="array" ref="G22">E22/F22</f>
        <v>17.3506404586405</v>
      </c>
      <c r="H22" s="372"/>
    </row>
    <row r="23" ht="15.75" customHeight="1">
      <c r="A23" s="287">
        <v>42950</v>
      </c>
      <c r="B23" s="282"/>
      <c r="C23" t="s" s="259">
        <v>101</v>
      </c>
      <c r="D23" t="s" s="293">
        <v>156</v>
      </c>
      <c r="E23" s="373">
        <v>233036.46</v>
      </c>
      <c r="F23" s="374">
        <v>12600</v>
      </c>
      <c r="G23" s="373" cm="1">
        <f t="array" ref="G23">E23/F23</f>
        <v>18.4949571428571</v>
      </c>
      <c r="H23" s="372"/>
    </row>
    <row r="24" ht="15.75" customHeight="1">
      <c r="A24" s="290">
        <v>42990</v>
      </c>
      <c r="B24" s="275"/>
      <c r="C24" t="s" s="274">
        <v>101</v>
      </c>
      <c r="D24" t="s" s="375">
        <v>162</v>
      </c>
      <c r="E24" s="376">
        <v>233036.46</v>
      </c>
      <c r="F24" s="377">
        <v>12900</v>
      </c>
      <c r="G24" s="376" cm="1">
        <f t="array" ref="G24">E24/F24</f>
        <v>18.0648418604651</v>
      </c>
      <c r="H24" s="372"/>
    </row>
    <row r="25" ht="15.75" customHeight="1">
      <c r="A25" s="287">
        <v>43027</v>
      </c>
      <c r="B25" s="282"/>
      <c r="C25" t="s" s="259">
        <v>101</v>
      </c>
      <c r="D25" t="s" s="293">
        <v>1182</v>
      </c>
      <c r="E25" s="373">
        <v>532000</v>
      </c>
      <c r="F25" s="374">
        <v>31457</v>
      </c>
      <c r="G25" s="373" cm="1">
        <f t="array" ref="G25">E25/F25</f>
        <v>16.9119750770894</v>
      </c>
      <c r="H25" s="372"/>
    </row>
    <row r="26" ht="15.75" customHeight="1">
      <c r="A26" s="37"/>
      <c r="B26" s="42"/>
      <c r="C26" s="42"/>
      <c r="D26" s="42"/>
      <c r="E26" s="42"/>
      <c r="F26" s="42"/>
      <c r="G26" s="37"/>
      <c r="H26" s="9"/>
    </row>
    <row r="27" ht="15.75" customHeight="1">
      <c r="A27" s="24"/>
      <c r="B27" t="s" s="378">
        <v>13</v>
      </c>
      <c r="C27" s="379"/>
      <c r="D27" s="379"/>
      <c r="E27" s="380" cm="1">
        <f t="array" ref="E27">SUM(E5:E25)</f>
        <v>8298982.88</v>
      </c>
      <c r="F27" s="381" cm="1">
        <f t="array" ref="F27">SUM(F5:F25)</f>
        <v>526427.666666667</v>
      </c>
      <c r="G27" s="18"/>
      <c r="H27" s="9"/>
    </row>
    <row r="28" ht="15.75" customHeight="1">
      <c r="A28" s="9"/>
      <c r="B28" s="382"/>
      <c r="C28" s="382"/>
      <c r="D28" s="382"/>
      <c r="E28" s="382"/>
      <c r="F28" s="382"/>
      <c r="G28" s="9"/>
      <c r="H28" s="9"/>
    </row>
    <row r="29" ht="15.75" customHeight="1">
      <c r="A29" s="9"/>
      <c r="B29" s="9"/>
      <c r="C29" s="10"/>
      <c r="D29" s="10"/>
      <c r="E29" s="10"/>
      <c r="F29" s="9"/>
      <c r="G29" s="9"/>
      <c r="H29" s="9"/>
    </row>
    <row r="30" ht="15.75" customHeight="1">
      <c r="A30" s="9"/>
      <c r="B30" s="24"/>
      <c r="C30" t="s" s="383">
        <v>1580</v>
      </c>
      <c r="D30" s="61"/>
      <c r="E30" s="364"/>
      <c r="F30" s="18"/>
      <c r="G30" s="9"/>
      <c r="H30" s="9"/>
    </row>
    <row r="31" ht="15.75" customHeight="1">
      <c r="A31" s="384"/>
      <c r="B31" s="384"/>
      <c r="C31" s="385"/>
      <c r="D31" s="385"/>
      <c r="E31" s="385"/>
      <c r="F31" s="384"/>
      <c r="G31" s="384"/>
      <c r="H31" s="9"/>
    </row>
    <row r="32" ht="15.75" customHeight="1">
      <c r="A32" t="s" s="259">
        <v>1136</v>
      </c>
      <c r="B32" t="s" s="260">
        <v>23</v>
      </c>
      <c r="C32" t="s" s="260">
        <v>24</v>
      </c>
      <c r="D32" t="s" s="260">
        <v>1137</v>
      </c>
      <c r="E32" t="s" s="260">
        <v>26</v>
      </c>
      <c r="F32" t="s" s="260">
        <v>27</v>
      </c>
      <c r="G32" t="s" s="371">
        <v>28</v>
      </c>
      <c r="H32" s="372"/>
    </row>
    <row r="33" ht="15.75" customHeight="1">
      <c r="A33" s="290">
        <v>42898</v>
      </c>
      <c r="B33" s="275"/>
      <c r="C33" t="s" s="274">
        <v>101</v>
      </c>
      <c r="D33" t="s" s="375">
        <v>146</v>
      </c>
      <c r="E33" s="376">
        <v>605750</v>
      </c>
      <c r="F33" s="377">
        <v>37000</v>
      </c>
      <c r="G33" s="376" cm="1">
        <f t="array" ref="G33">E33/F33</f>
        <v>16.3716216216216</v>
      </c>
      <c r="H33" s="372"/>
    </row>
    <row r="34" ht="15.75" customHeight="1">
      <c r="A34" s="287">
        <v>42958</v>
      </c>
      <c r="B34" s="282"/>
      <c r="C34" t="s" s="259">
        <v>101</v>
      </c>
      <c r="D34" t="s" s="293">
        <v>1174</v>
      </c>
      <c r="E34" s="373">
        <v>200000</v>
      </c>
      <c r="F34" s="374">
        <v>10800</v>
      </c>
      <c r="G34" s="373" cm="1">
        <f t="array" ref="G34">E34/F34</f>
        <v>18.5185185185185</v>
      </c>
      <c r="H34" s="372"/>
    </row>
    <row r="35" ht="15.75" customHeight="1">
      <c r="A35" s="290">
        <v>42989</v>
      </c>
      <c r="B35" s="275"/>
      <c r="C35" t="s" s="274">
        <v>101</v>
      </c>
      <c r="D35" t="s" s="375">
        <v>1179</v>
      </c>
      <c r="E35" s="376">
        <v>200000</v>
      </c>
      <c r="F35" s="377">
        <v>11050</v>
      </c>
      <c r="G35" s="376" cm="1">
        <f t="array" ref="G35">E35/F35</f>
        <v>18.0995475113122</v>
      </c>
      <c r="H35" s="372"/>
    </row>
    <row r="36" ht="15.75" customHeight="1">
      <c r="A36" s="287">
        <v>43019</v>
      </c>
      <c r="B36" s="282"/>
      <c r="C36" t="s" s="259">
        <v>101</v>
      </c>
      <c r="D36" t="s" s="293">
        <v>1181</v>
      </c>
      <c r="E36" s="373">
        <v>200000</v>
      </c>
      <c r="F36" s="374">
        <v>11436</v>
      </c>
      <c r="G36" s="373" cm="1">
        <f t="array" ref="G36">E36/F36</f>
        <v>17.4886323889472</v>
      </c>
      <c r="H36" s="386"/>
    </row>
    <row r="37" ht="15.75" customHeight="1">
      <c r="A37" s="290">
        <v>43049</v>
      </c>
      <c r="B37" s="275"/>
      <c r="C37" t="s" s="274">
        <v>101</v>
      </c>
      <c r="D37" t="s" s="375">
        <v>1184</v>
      </c>
      <c r="E37" s="376">
        <v>200000</v>
      </c>
      <c r="F37" s="377">
        <v>11200</v>
      </c>
      <c r="G37" s="376" cm="1">
        <f t="array" ref="G37">E37/F37</f>
        <v>17.8571428571429</v>
      </c>
      <c r="H37" s="387"/>
    </row>
    <row r="38" ht="15.75" customHeight="1">
      <c r="A38" s="287">
        <v>43079</v>
      </c>
      <c r="B38" s="282"/>
      <c r="C38" t="s" s="259">
        <v>101</v>
      </c>
      <c r="D38" t="s" s="293">
        <v>1185</v>
      </c>
      <c r="E38" s="373">
        <v>200000</v>
      </c>
      <c r="F38" s="374">
        <v>11200</v>
      </c>
      <c r="G38" s="373" cm="1">
        <f t="array" ref="G38">E38/F38</f>
        <v>17.8571428571429</v>
      </c>
      <c r="H38" s="388"/>
    </row>
    <row r="39" ht="15.75" customHeight="1">
      <c r="A39" s="37"/>
      <c r="B39" s="42"/>
      <c r="C39" s="42"/>
      <c r="D39" s="42"/>
      <c r="E39" s="42"/>
      <c r="F39" s="42"/>
      <c r="G39" s="37"/>
      <c r="H39" s="9"/>
    </row>
    <row r="40" ht="15.75" customHeight="1">
      <c r="A40" s="24"/>
      <c r="B40" t="s" s="378">
        <v>13</v>
      </c>
      <c r="C40" s="389"/>
      <c r="D40" s="389"/>
      <c r="E40" s="380" cm="1">
        <f t="array" ref="E40">SUM(E33:E38)</f>
        <v>1605750</v>
      </c>
      <c r="F40" s="381" cm="1">
        <f t="array" ref="F40">SUM(F33:F38)</f>
        <v>92686</v>
      </c>
      <c r="G40" s="18"/>
      <c r="H40" s="9"/>
    </row>
    <row r="41" ht="15.75" customHeight="1">
      <c r="A41" s="9"/>
      <c r="B41" s="382"/>
      <c r="C41" s="382"/>
      <c r="D41" s="382"/>
      <c r="E41" s="382"/>
      <c r="F41" s="382"/>
      <c r="G41" s="9"/>
      <c r="H41" s="9"/>
    </row>
    <row r="42" ht="15.75" customHeight="1">
      <c r="A42" s="9"/>
      <c r="B42" s="9"/>
      <c r="C42" s="10"/>
      <c r="D42" s="10"/>
      <c r="E42" s="10"/>
      <c r="F42" s="9"/>
      <c r="G42" s="9"/>
      <c r="H42" s="9"/>
    </row>
    <row r="43" ht="15.75" customHeight="1">
      <c r="A43" s="9"/>
      <c r="B43" s="24"/>
      <c r="C43" t="s" s="383">
        <v>1581</v>
      </c>
      <c r="D43" s="61"/>
      <c r="E43" s="364"/>
      <c r="F43" s="18"/>
      <c r="G43" s="9"/>
      <c r="H43" s="9"/>
    </row>
    <row r="44" ht="15.75" customHeight="1">
      <c r="A44" s="384"/>
      <c r="B44" s="384"/>
      <c r="C44" s="385"/>
      <c r="D44" s="385"/>
      <c r="E44" s="385"/>
      <c r="F44" s="384"/>
      <c r="G44" s="384"/>
      <c r="H44" s="9"/>
    </row>
    <row r="45" ht="15.75" customHeight="1">
      <c r="A45" t="s" s="259">
        <v>1136</v>
      </c>
      <c r="B45" t="s" s="260">
        <v>23</v>
      </c>
      <c r="C45" t="s" s="260">
        <v>24</v>
      </c>
      <c r="D45" t="s" s="260">
        <v>1137</v>
      </c>
      <c r="E45" t="s" s="260">
        <v>26</v>
      </c>
      <c r="F45" t="s" s="260">
        <v>27</v>
      </c>
      <c r="G45" t="s" s="371">
        <v>28</v>
      </c>
      <c r="H45" s="372"/>
    </row>
    <row r="46" ht="15.75" customHeight="1">
      <c r="A46" s="290">
        <v>43060</v>
      </c>
      <c r="B46" s="275"/>
      <c r="C46" t="s" s="274">
        <v>101</v>
      </c>
      <c r="D46" t="s" s="375">
        <v>168</v>
      </c>
      <c r="E46" s="376">
        <v>363450</v>
      </c>
      <c r="F46" s="377">
        <v>20600</v>
      </c>
      <c r="G46" s="376" cm="1">
        <f t="array" ref="G46">E46/F46</f>
        <v>17.6432038834951</v>
      </c>
      <c r="H46" s="372"/>
    </row>
    <row r="47" ht="15.75" customHeight="1">
      <c r="A47" s="287">
        <v>43075</v>
      </c>
      <c r="B47" s="282"/>
      <c r="C47" t="s" s="259">
        <v>101</v>
      </c>
      <c r="D47" t="s" s="293">
        <v>171</v>
      </c>
      <c r="E47" s="373">
        <v>605750</v>
      </c>
      <c r="F47" s="374">
        <v>34126</v>
      </c>
      <c r="G47" s="373" cm="1">
        <f t="array" ref="G47">E47/F47</f>
        <v>17.7503955928031</v>
      </c>
      <c r="H47" s="372"/>
    </row>
    <row r="48" ht="15.75" customHeight="1">
      <c r="A48" s="290">
        <v>43120</v>
      </c>
      <c r="B48" s="275"/>
      <c r="C48" t="s" s="274">
        <v>101</v>
      </c>
      <c r="D48" t="s" s="375">
        <v>168</v>
      </c>
      <c r="E48" s="376">
        <v>848050</v>
      </c>
      <c r="F48" s="377">
        <v>43700</v>
      </c>
      <c r="G48" s="376" cm="1">
        <f t="array" ref="G48">E48/F48</f>
        <v>19.4061784897025</v>
      </c>
      <c r="H48" s="372"/>
    </row>
    <row r="49" ht="15.75" customHeight="1">
      <c r="A49" s="287">
        <v>43150</v>
      </c>
      <c r="B49" s="282"/>
      <c r="C49" t="s" s="259">
        <v>101</v>
      </c>
      <c r="D49" t="s" s="293">
        <v>168</v>
      </c>
      <c r="E49" s="373">
        <v>605750</v>
      </c>
      <c r="F49" s="374">
        <v>29850</v>
      </c>
      <c r="G49" s="373" cm="1">
        <f t="array" ref="G49">E49/F49</f>
        <v>20.2931323283082</v>
      </c>
      <c r="H49" s="372"/>
    </row>
    <row r="50" ht="15.75" customHeight="1">
      <c r="A50" s="290">
        <v>43181</v>
      </c>
      <c r="B50" s="275"/>
      <c r="C50" t="s" s="274">
        <v>101</v>
      </c>
      <c r="D50" t="s" s="375">
        <v>168</v>
      </c>
      <c r="E50" s="376">
        <v>200000</v>
      </c>
      <c r="F50" s="377">
        <v>9615</v>
      </c>
      <c r="G50" s="376" cm="1">
        <f t="array" ref="G50">E50/F50</f>
        <v>20.8008320332813</v>
      </c>
      <c r="H50" s="372"/>
    </row>
    <row r="51" ht="15.75" customHeight="1">
      <c r="A51" s="287">
        <v>43199</v>
      </c>
      <c r="B51" s="282"/>
      <c r="C51" t="s" s="259">
        <v>101</v>
      </c>
      <c r="D51" t="s" s="293">
        <v>168</v>
      </c>
      <c r="E51" s="373">
        <v>140000</v>
      </c>
      <c r="F51" s="374">
        <v>6760</v>
      </c>
      <c r="G51" s="373" cm="1">
        <f t="array" ref="G51">E51/F51</f>
        <v>20.7100591715976</v>
      </c>
      <c r="H51" s="372"/>
    </row>
    <row r="52" ht="15.75" customHeight="1">
      <c r="A52" s="290">
        <v>43215</v>
      </c>
      <c r="B52" s="275"/>
      <c r="C52" t="s" s="274">
        <v>101</v>
      </c>
      <c r="D52" t="s" s="375">
        <v>1197</v>
      </c>
      <c r="E52" s="376">
        <v>60000</v>
      </c>
      <c r="F52" s="377">
        <v>2927</v>
      </c>
      <c r="G52" s="376" cm="1">
        <f t="array" ref="G52">E52/F52</f>
        <v>20.4988042364195</v>
      </c>
      <c r="H52" s="372"/>
    </row>
    <row r="53" ht="15.75" customHeight="1">
      <c r="A53" s="287">
        <v>43215</v>
      </c>
      <c r="B53" s="282"/>
      <c r="C53" t="s" s="259">
        <v>101</v>
      </c>
      <c r="D53" t="s" s="293">
        <v>1198</v>
      </c>
      <c r="E53" s="373">
        <v>150000</v>
      </c>
      <c r="F53" s="374">
        <v>7073</v>
      </c>
      <c r="G53" s="373" cm="1">
        <f t="array" ref="G53">E53/F53</f>
        <v>21.2074084546868</v>
      </c>
      <c r="H53" s="372"/>
    </row>
    <row r="54" ht="15.75" customHeight="1">
      <c r="A54" s="290">
        <v>43238</v>
      </c>
      <c r="B54" s="275"/>
      <c r="C54" t="s" s="274">
        <v>101</v>
      </c>
      <c r="D54" t="s" s="375">
        <v>1200</v>
      </c>
      <c r="E54" s="376">
        <v>150000</v>
      </c>
      <c r="F54" s="377">
        <v>6000</v>
      </c>
      <c r="G54" s="376" cm="1">
        <f t="array" ref="G54">E54/F54</f>
        <v>25</v>
      </c>
      <c r="H54" s="372"/>
    </row>
    <row r="55" ht="15.75" customHeight="1">
      <c r="A55" s="287">
        <v>43264</v>
      </c>
      <c r="B55" s="282"/>
      <c r="C55" t="s" s="259">
        <v>101</v>
      </c>
      <c r="D55" t="s" s="293">
        <v>209</v>
      </c>
      <c r="E55" s="373">
        <v>181500</v>
      </c>
      <c r="F55" s="374">
        <v>6260</v>
      </c>
      <c r="G55" s="373">
        <v>29</v>
      </c>
      <c r="H55" s="372"/>
    </row>
    <row r="56" ht="15.75" customHeight="1">
      <c r="A56" s="290">
        <v>43298</v>
      </c>
      <c r="B56" s="275"/>
      <c r="C56" t="s" s="274">
        <v>101</v>
      </c>
      <c r="D56" t="s" s="375">
        <v>1203</v>
      </c>
      <c r="E56" s="376">
        <v>150000</v>
      </c>
      <c r="F56" s="377">
        <v>5270</v>
      </c>
      <c r="G56" s="376">
        <v>28.5</v>
      </c>
      <c r="H56" s="372"/>
    </row>
    <row r="57" ht="15.75" customHeight="1">
      <c r="A57" s="287">
        <v>43327</v>
      </c>
      <c r="B57" s="282"/>
      <c r="C57" t="s" s="259">
        <v>101</v>
      </c>
      <c r="D57" t="s" s="293">
        <v>1206</v>
      </c>
      <c r="E57" s="373">
        <v>150000</v>
      </c>
      <c r="F57" s="374" cm="1">
        <f t="array" ref="F57">E57/G57</f>
        <v>5084.745762711860</v>
      </c>
      <c r="G57" s="373">
        <v>29.5</v>
      </c>
      <c r="H57" s="372"/>
    </row>
    <row r="58" ht="15.75" customHeight="1">
      <c r="A58" s="290">
        <v>43357</v>
      </c>
      <c r="B58" s="340">
        <v>508</v>
      </c>
      <c r="C58" t="s" s="274">
        <v>101</v>
      </c>
      <c r="D58" t="s" s="375">
        <v>241</v>
      </c>
      <c r="E58" s="376">
        <v>190575</v>
      </c>
      <c r="F58" s="377" cm="1">
        <f t="array" ref="F58">E58/G58</f>
        <v>4764.375</v>
      </c>
      <c r="G58" s="376">
        <v>40</v>
      </c>
      <c r="H58" s="372"/>
    </row>
    <row r="59" ht="15.75" customHeight="1">
      <c r="A59" s="287">
        <v>43382</v>
      </c>
      <c r="B59" s="282"/>
      <c r="C59" t="s" s="259">
        <v>101</v>
      </c>
      <c r="D59" t="s" s="293">
        <v>1213</v>
      </c>
      <c r="E59" s="373">
        <v>150000</v>
      </c>
      <c r="F59" s="374">
        <v>3850</v>
      </c>
      <c r="G59" s="373" cm="1">
        <f t="array" ref="G59">E59/F59</f>
        <v>38.961038961039</v>
      </c>
      <c r="H59" s="372"/>
    </row>
    <row r="60" ht="15.75" customHeight="1">
      <c r="A60" s="290">
        <v>43411</v>
      </c>
      <c r="B60" s="275"/>
      <c r="C60" t="s" s="274">
        <v>101</v>
      </c>
      <c r="D60" t="s" s="375">
        <v>1220</v>
      </c>
      <c r="E60" s="376">
        <v>163800</v>
      </c>
      <c r="F60" s="377">
        <v>4427.027027027030</v>
      </c>
      <c r="G60" s="376">
        <v>37</v>
      </c>
      <c r="H60" s="372"/>
    </row>
    <row r="61" ht="15.75" customHeight="1">
      <c r="A61" s="287">
        <v>43439</v>
      </c>
      <c r="B61" s="342">
        <v>520</v>
      </c>
      <c r="C61" t="s" s="259">
        <v>101</v>
      </c>
      <c r="D61" t="s" s="293">
        <v>270</v>
      </c>
      <c r="E61" s="373">
        <v>121000</v>
      </c>
      <c r="F61" s="374" cm="1">
        <f t="array" ref="F61">E61/G61</f>
        <v>3270.270270270270</v>
      </c>
      <c r="G61" s="373">
        <v>37</v>
      </c>
      <c r="H61" s="372"/>
    </row>
    <row r="62" ht="15.75" customHeight="1">
      <c r="A62" s="290">
        <v>43452</v>
      </c>
      <c r="B62" s="275"/>
      <c r="C62" t="s" s="274">
        <v>101</v>
      </c>
      <c r="D62" t="s" s="375">
        <v>1230</v>
      </c>
      <c r="E62" s="376">
        <v>68714</v>
      </c>
      <c r="F62" s="377">
        <v>1808</v>
      </c>
      <c r="G62" s="376">
        <v>36.5</v>
      </c>
      <c r="H62" s="372"/>
    </row>
    <row r="63" ht="15.75" customHeight="1">
      <c r="A63" s="287">
        <v>43468</v>
      </c>
      <c r="B63" s="282"/>
      <c r="C63" t="s" s="259">
        <v>101</v>
      </c>
      <c r="D63" t="s" s="293">
        <v>1236</v>
      </c>
      <c r="E63" s="373">
        <v>168714</v>
      </c>
      <c r="F63" s="374">
        <v>4325.902786516850</v>
      </c>
      <c r="G63" s="373">
        <v>39.0008764241893</v>
      </c>
      <c r="H63" s="372"/>
    </row>
    <row r="64" ht="15.75" customHeight="1">
      <c r="A64" s="290">
        <v>43510</v>
      </c>
      <c r="B64" s="275"/>
      <c r="C64" t="s" s="274">
        <v>101</v>
      </c>
      <c r="D64" t="s" s="276">
        <v>1242</v>
      </c>
      <c r="E64" s="277">
        <v>178836.84</v>
      </c>
      <c r="F64" s="279">
        <v>4706</v>
      </c>
      <c r="G64" s="277">
        <v>38.0018784530387</v>
      </c>
      <c r="H64" s="372"/>
    </row>
    <row r="65" ht="15.75" customHeight="1">
      <c r="A65" s="287">
        <v>43538</v>
      </c>
      <c r="B65" s="282"/>
      <c r="C65" t="s" s="259">
        <v>101</v>
      </c>
      <c r="D65" t="s" s="283">
        <v>1246</v>
      </c>
      <c r="E65" s="284">
        <v>178836.84</v>
      </c>
      <c r="F65" s="286">
        <v>4238</v>
      </c>
      <c r="G65" s="277">
        <v>42.2</v>
      </c>
      <c r="H65" s="372"/>
    </row>
    <row r="66" ht="15.75" customHeight="1">
      <c r="A66" s="37"/>
      <c r="B66" s="390"/>
      <c r="C66" s="390"/>
      <c r="D66" s="390"/>
      <c r="E66" s="390"/>
      <c r="F66" s="390"/>
      <c r="G66" s="37"/>
      <c r="H66" s="9"/>
    </row>
    <row r="67" ht="15.75" customHeight="1">
      <c r="A67" s="24"/>
      <c r="B67" t="s" s="378">
        <v>13</v>
      </c>
      <c r="C67" s="389"/>
      <c r="D67" s="389"/>
      <c r="E67" s="380" cm="1">
        <f t="array" ref="E67">SUM(E46:E65)</f>
        <v>4824976.68</v>
      </c>
      <c r="F67" s="381" cm="1">
        <f t="array" ref="F67">SUM(F46:F65)</f>
        <v>208655.320846526</v>
      </c>
      <c r="G67" s="18"/>
      <c r="H67" s="9"/>
    </row>
    <row r="68" ht="15.75" customHeight="1">
      <c r="A68" s="9"/>
      <c r="B68" s="391"/>
      <c r="C68" s="391"/>
      <c r="D68" s="391"/>
      <c r="E68" s="391"/>
      <c r="F68" s="391"/>
      <c r="G68" s="9"/>
      <c r="H68" s="9"/>
    </row>
    <row r="69" ht="15.75" customHeight="1">
      <c r="A69" s="9"/>
      <c r="B69" s="392"/>
      <c r="C69" s="393"/>
      <c r="D69" s="393"/>
      <c r="E69" s="393"/>
      <c r="F69" s="392"/>
      <c r="G69" s="9"/>
      <c r="H69" s="9"/>
    </row>
    <row r="70" ht="15.75" customHeight="1">
      <c r="A70" s="9"/>
      <c r="B70" s="394"/>
      <c r="C70" t="s" s="383">
        <v>1582</v>
      </c>
      <c r="D70" s="61"/>
      <c r="E70" s="364"/>
      <c r="F70" s="395"/>
      <c r="G70" s="9"/>
      <c r="H70" s="9"/>
    </row>
    <row r="71" ht="15.75" customHeight="1">
      <c r="A71" s="384"/>
      <c r="B71" s="396"/>
      <c r="C71" s="397"/>
      <c r="D71" s="397"/>
      <c r="E71" s="397"/>
      <c r="F71" s="396"/>
      <c r="G71" s="384"/>
      <c r="H71" s="9"/>
    </row>
    <row r="72" ht="15.75" customHeight="1">
      <c r="A72" t="s" s="259">
        <v>1136</v>
      </c>
      <c r="B72" t="s" s="260">
        <v>23</v>
      </c>
      <c r="C72" t="s" s="260">
        <v>24</v>
      </c>
      <c r="D72" t="s" s="260">
        <v>1137</v>
      </c>
      <c r="E72" t="s" s="260">
        <v>26</v>
      </c>
      <c r="F72" t="s" s="260">
        <v>27</v>
      </c>
      <c r="G72" t="s" s="371">
        <v>28</v>
      </c>
      <c r="H72" s="372"/>
    </row>
    <row r="73" ht="15.75" customHeight="1">
      <c r="A73" t="s" s="274">
        <v>397</v>
      </c>
      <c r="B73" s="398">
        <v>589</v>
      </c>
      <c r="C73" t="s" s="274">
        <v>101</v>
      </c>
      <c r="D73" t="s" s="276">
        <v>402</v>
      </c>
      <c r="E73" s="277">
        <v>247875.57</v>
      </c>
      <c r="F73" s="279">
        <v>3935</v>
      </c>
      <c r="G73" s="399">
        <v>63</v>
      </c>
      <c r="H73" s="372"/>
    </row>
    <row r="74" ht="15.75" customHeight="1">
      <c r="A74" t="s" s="259">
        <v>397</v>
      </c>
      <c r="B74" s="282"/>
      <c r="C74" t="s" s="259">
        <v>101</v>
      </c>
      <c r="D74" t="s" s="283">
        <v>1268</v>
      </c>
      <c r="E74" s="284">
        <v>1000000</v>
      </c>
      <c r="F74" s="286">
        <v>16700</v>
      </c>
      <c r="G74" s="284">
        <v>60</v>
      </c>
      <c r="H74" s="372"/>
    </row>
    <row r="75" ht="15.75" customHeight="1">
      <c r="A75" t="s" s="322">
        <v>397</v>
      </c>
      <c r="B75" s="400"/>
      <c r="C75" t="s" s="322">
        <v>101</v>
      </c>
      <c r="D75" t="s" s="401">
        <v>1269</v>
      </c>
      <c r="E75" s="399">
        <v>140168.34</v>
      </c>
      <c r="F75" s="402">
        <v>2337</v>
      </c>
      <c r="G75" s="399">
        <v>60</v>
      </c>
      <c r="H75" s="372"/>
    </row>
    <row r="76" ht="15.75" customHeight="1">
      <c r="A76" t="s" s="259">
        <v>420</v>
      </c>
      <c r="B76" s="327">
        <v>594</v>
      </c>
      <c r="C76" t="s" s="259">
        <v>101</v>
      </c>
      <c r="D76" t="s" s="283">
        <v>421</v>
      </c>
      <c r="E76" s="284">
        <v>267209.87</v>
      </c>
      <c r="F76" s="286">
        <v>4110</v>
      </c>
      <c r="G76" s="284">
        <v>65</v>
      </c>
      <c r="H76" s="372"/>
    </row>
    <row r="77" ht="15.75" customHeight="1">
      <c r="A77" t="s" s="274">
        <v>424</v>
      </c>
      <c r="B77" s="275"/>
      <c r="C77" t="s" s="274">
        <v>101</v>
      </c>
      <c r="D77" t="s" s="276">
        <v>1272</v>
      </c>
      <c r="E77" s="277">
        <v>151101</v>
      </c>
      <c r="F77" s="279">
        <v>2159</v>
      </c>
      <c r="G77" s="277">
        <v>70</v>
      </c>
      <c r="H77" s="372"/>
    </row>
    <row r="78" ht="15.75" customHeight="1">
      <c r="A78" s="287">
        <v>43773</v>
      </c>
      <c r="B78" s="327">
        <v>597</v>
      </c>
      <c r="C78" t="s" s="259">
        <v>101</v>
      </c>
      <c r="D78" t="s" s="283">
        <v>431</v>
      </c>
      <c r="E78" s="284">
        <v>283242.45</v>
      </c>
      <c r="F78" s="286">
        <v>4360</v>
      </c>
      <c r="G78" s="284">
        <v>65</v>
      </c>
      <c r="H78" s="372"/>
    </row>
    <row r="79" ht="15.75" customHeight="1">
      <c r="A79" s="290">
        <v>43780</v>
      </c>
      <c r="B79" s="275"/>
      <c r="C79" t="s" s="274">
        <v>101</v>
      </c>
      <c r="D79" t="s" s="276">
        <v>1281</v>
      </c>
      <c r="E79" s="277">
        <v>160167.56</v>
      </c>
      <c r="F79" s="279">
        <v>2465</v>
      </c>
      <c r="G79" s="277">
        <v>65</v>
      </c>
      <c r="H79" s="372"/>
    </row>
    <row r="80" ht="15.75" customHeight="1">
      <c r="A80" s="324">
        <v>43597</v>
      </c>
      <c r="B80" s="327">
        <v>604</v>
      </c>
      <c r="C80" t="s" s="259">
        <v>101</v>
      </c>
      <c r="D80" t="s" s="283">
        <v>447</v>
      </c>
      <c r="E80" s="284">
        <v>283242.45</v>
      </c>
      <c r="F80" s="286">
        <v>4165</v>
      </c>
      <c r="G80" s="284" cm="1">
        <f t="array" ref="G80">E80/F80</f>
        <v>68.0053901560624</v>
      </c>
      <c r="H80" s="372"/>
    </row>
    <row r="81" ht="15.75" customHeight="1">
      <c r="A81" t="s" s="322">
        <v>1286</v>
      </c>
      <c r="B81" s="400"/>
      <c r="C81" t="s" s="322">
        <v>101</v>
      </c>
      <c r="D81" t="s" s="401">
        <v>1287</v>
      </c>
      <c r="E81" s="399">
        <v>160167.56</v>
      </c>
      <c r="F81" s="402">
        <v>2136</v>
      </c>
      <c r="G81" s="399" cm="1">
        <f t="array" ref="G81">E81/F81</f>
        <v>74.9848127340824</v>
      </c>
      <c r="H81" s="372"/>
    </row>
    <row r="82" ht="15.75" customHeight="1">
      <c r="A82" s="324">
        <v>44013</v>
      </c>
      <c r="B82" s="294"/>
      <c r="C82" t="s" s="259">
        <v>101</v>
      </c>
      <c r="D82" t="s" s="283">
        <v>461</v>
      </c>
      <c r="E82" s="284">
        <v>300548.57</v>
      </c>
      <c r="F82" s="286" cm="1">
        <f t="array" ref="F82">E82/G82</f>
        <v>4007.314266666670</v>
      </c>
      <c r="G82" s="284">
        <v>75</v>
      </c>
      <c r="H82" s="372"/>
    </row>
    <row r="83" ht="15.75" customHeight="1">
      <c r="A83" t="s" s="274">
        <v>1293</v>
      </c>
      <c r="B83" s="275"/>
      <c r="C83" t="s" s="274">
        <v>101</v>
      </c>
      <c r="D83" t="s" s="276">
        <v>1294</v>
      </c>
      <c r="E83" s="277">
        <v>169950</v>
      </c>
      <c r="F83" s="279">
        <v>2266</v>
      </c>
      <c r="G83" s="277" cm="1">
        <f t="array" ref="G83">E83/F83</f>
        <v>75</v>
      </c>
      <c r="H83" s="372"/>
    </row>
    <row r="84" ht="15.75" customHeight="1">
      <c r="A84" s="324">
        <v>43984</v>
      </c>
      <c r="B84" s="327">
        <v>614</v>
      </c>
      <c r="C84" t="s" s="259">
        <v>101</v>
      </c>
      <c r="D84" t="s" s="283">
        <v>477</v>
      </c>
      <c r="E84" s="284">
        <v>312570.52</v>
      </c>
      <c r="F84" s="286">
        <v>4007</v>
      </c>
      <c r="G84" s="284" cm="1">
        <f t="array" ref="G84">E84/F84</f>
        <v>78.0061192912403</v>
      </c>
      <c r="H84" s="372"/>
    </row>
    <row r="85" ht="15.75" customHeight="1">
      <c r="A85" s="325">
        <v>44106</v>
      </c>
      <c r="B85" s="275"/>
      <c r="C85" t="s" s="274">
        <v>101</v>
      </c>
      <c r="D85" t="s" s="276">
        <v>1298</v>
      </c>
      <c r="E85" s="277">
        <v>200751.95</v>
      </c>
      <c r="F85" s="279">
        <v>2509</v>
      </c>
      <c r="G85" s="277" cm="1">
        <f t="array" ref="G85">E85/F85</f>
        <v>80.0127341570347</v>
      </c>
      <c r="H85" s="372"/>
    </row>
    <row r="86" ht="15.75" customHeight="1">
      <c r="A86" s="324">
        <v>43893</v>
      </c>
      <c r="B86" s="282"/>
      <c r="C86" t="s" s="259">
        <v>101</v>
      </c>
      <c r="D86" t="s" s="283">
        <v>1304</v>
      </c>
      <c r="E86" s="284">
        <v>212751.95</v>
      </c>
      <c r="F86" s="286">
        <v>2728</v>
      </c>
      <c r="G86" s="284" cm="1">
        <f t="array" ref="G86">E86/F86</f>
        <v>77.9882514662757</v>
      </c>
      <c r="H86" s="372"/>
    </row>
    <row r="87" ht="15.75" customHeight="1">
      <c r="A87" s="325">
        <v>44107</v>
      </c>
      <c r="B87" s="295"/>
      <c r="C87" t="s" s="274">
        <v>101</v>
      </c>
      <c r="D87" t="s" s="276">
        <v>493</v>
      </c>
      <c r="E87" s="277">
        <v>312570.52</v>
      </c>
      <c r="F87" s="279" cm="1">
        <f t="array" ref="F87">E87/G87</f>
        <v>4007</v>
      </c>
      <c r="G87" s="277" cm="1">
        <f t="array" ref="G87">G84</f>
        <v>78.0061192912403</v>
      </c>
      <c r="H87" s="372"/>
    </row>
    <row r="88" ht="15.75" customHeight="1">
      <c r="A88" t="s" s="259">
        <v>499</v>
      </c>
      <c r="B88" s="327">
        <v>626</v>
      </c>
      <c r="C88" t="s" s="259">
        <v>101</v>
      </c>
      <c r="D88" t="s" s="283">
        <v>500</v>
      </c>
      <c r="E88" s="284">
        <v>312570.52</v>
      </c>
      <c r="F88" s="286">
        <v>3722</v>
      </c>
      <c r="G88" s="284" cm="1">
        <f t="array" ref="G88">E88/F88</f>
        <v>83.979183234820</v>
      </c>
      <c r="H88" s="372"/>
    </row>
    <row r="89" ht="15.75" customHeight="1">
      <c r="A89" t="s" s="274">
        <v>1308</v>
      </c>
      <c r="B89" s="275"/>
      <c r="C89" t="s" s="274">
        <v>101</v>
      </c>
      <c r="D89" t="s" s="276">
        <v>1309</v>
      </c>
      <c r="E89" s="277">
        <v>212751.25</v>
      </c>
      <c r="F89" s="279">
        <v>2534</v>
      </c>
      <c r="G89" s="277" cm="1">
        <f t="array" ref="G89">E89/F89</f>
        <v>83.9586621941594</v>
      </c>
      <c r="H89" s="372"/>
    </row>
    <row r="90" ht="15.75" customHeight="1">
      <c r="A90" s="324">
        <v>43956</v>
      </c>
      <c r="B90" s="327">
        <v>627</v>
      </c>
      <c r="C90" t="s" s="259">
        <v>101</v>
      </c>
      <c r="D90" t="s" s="283">
        <v>505</v>
      </c>
      <c r="E90" s="284">
        <v>312570.52</v>
      </c>
      <c r="F90" s="286">
        <v>2604</v>
      </c>
      <c r="G90" s="284" cm="1">
        <f t="array" ref="G90">E90/F90</f>
        <v>120.034761904762</v>
      </c>
      <c r="H90" s="372"/>
    </row>
    <row r="91" ht="15.75" customHeight="1">
      <c r="A91" s="403">
        <v>44170</v>
      </c>
      <c r="B91" s="275"/>
      <c r="C91" t="s" s="274">
        <v>101</v>
      </c>
      <c r="D91" t="s" s="276">
        <v>1312</v>
      </c>
      <c r="E91" s="277">
        <v>212751.75</v>
      </c>
      <c r="F91" s="279">
        <v>1743</v>
      </c>
      <c r="G91" s="277" cm="1">
        <f t="array" ref="G91">E91/F91</f>
        <v>122.060671256454</v>
      </c>
      <c r="H91" s="372"/>
    </row>
    <row r="92" ht="15.75" customHeight="1">
      <c r="A92" s="324">
        <v>44049</v>
      </c>
      <c r="B92" s="282"/>
      <c r="C92" t="s" s="259">
        <v>101</v>
      </c>
      <c r="D92" t="s" s="283">
        <v>1317</v>
      </c>
      <c r="E92" s="284">
        <v>471074.69</v>
      </c>
      <c r="F92" s="286">
        <v>3860</v>
      </c>
      <c r="G92" s="284" cm="1">
        <f t="array" ref="G92">E92/F92</f>
        <v>122.040075129534</v>
      </c>
      <c r="H92" s="372"/>
    </row>
    <row r="93" ht="15.75" customHeight="1">
      <c r="A93" s="325">
        <v>44050</v>
      </c>
      <c r="B93" s="275"/>
      <c r="C93" t="s" s="274">
        <v>101</v>
      </c>
      <c r="D93" t="s" s="276">
        <v>1323</v>
      </c>
      <c r="E93" s="277">
        <v>471074.69</v>
      </c>
      <c r="F93" s="279">
        <v>3770</v>
      </c>
      <c r="G93" s="277" cm="1">
        <f t="array" ref="G93">E93/F93</f>
        <v>124.953498673740</v>
      </c>
      <c r="H93" s="386"/>
    </row>
    <row r="94" ht="15.75" customHeight="1">
      <c r="A94" s="324">
        <v>44020</v>
      </c>
      <c r="B94" s="282"/>
      <c r="C94" t="s" s="259">
        <v>101</v>
      </c>
      <c r="D94" t="s" s="283">
        <v>1583</v>
      </c>
      <c r="E94" s="284">
        <v>471074.69</v>
      </c>
      <c r="F94" s="374">
        <v>3490</v>
      </c>
      <c r="G94" s="373" cm="1">
        <f t="array" ref="G94">E94/F94</f>
        <v>134.978421203438</v>
      </c>
      <c r="H94" s="404"/>
    </row>
    <row r="95" ht="15.75" customHeight="1">
      <c r="A95" s="325">
        <v>43899</v>
      </c>
      <c r="B95" s="275"/>
      <c r="C95" t="s" s="274">
        <v>101</v>
      </c>
      <c r="D95" t="s" s="276">
        <v>1340</v>
      </c>
      <c r="E95" s="277">
        <v>471074.69</v>
      </c>
      <c r="F95" s="377">
        <v>3515</v>
      </c>
      <c r="G95" s="376" cm="1">
        <f t="array" ref="G95">E95/F95</f>
        <v>134.018403982930</v>
      </c>
      <c r="H95" s="404"/>
    </row>
    <row r="96" ht="15.75" customHeight="1">
      <c r="A96" s="287">
        <v>43992</v>
      </c>
      <c r="B96" s="282"/>
      <c r="C96" t="s" s="259">
        <v>101</v>
      </c>
      <c r="D96" t="s" s="283">
        <v>1345</v>
      </c>
      <c r="E96" s="284">
        <v>471074.69</v>
      </c>
      <c r="F96" s="374">
        <v>3140</v>
      </c>
      <c r="G96" s="373" cm="1">
        <f t="array" ref="G96">E96/F96</f>
        <v>150.023786624204</v>
      </c>
      <c r="H96" s="404"/>
    </row>
    <row r="97" ht="15.75" customHeight="1">
      <c r="A97" s="325">
        <v>44085</v>
      </c>
      <c r="B97" s="275"/>
      <c r="C97" t="s" s="274">
        <v>101</v>
      </c>
      <c r="D97" t="s" s="276">
        <v>1356</v>
      </c>
      <c r="E97" s="277">
        <v>471074</v>
      </c>
      <c r="F97" s="279">
        <v>3150</v>
      </c>
      <c r="G97" s="277" cm="1">
        <f t="array" ref="G97">E97/F97</f>
        <v>149.547301587302</v>
      </c>
      <c r="H97" s="388"/>
    </row>
    <row r="98" ht="15.75" customHeight="1">
      <c r="A98" t="s" s="259">
        <v>1367</v>
      </c>
      <c r="B98" s="282"/>
      <c r="C98" t="s" s="259">
        <v>101</v>
      </c>
      <c r="D98" t="s" s="283">
        <v>1368</v>
      </c>
      <c r="E98" s="284">
        <v>543800</v>
      </c>
      <c r="F98" s="286">
        <v>3441</v>
      </c>
      <c r="G98" s="284" cm="1">
        <f t="array" ref="G98">E98/F98</f>
        <v>158.035454809648</v>
      </c>
      <c r="H98" s="372"/>
    </row>
    <row r="99" ht="15.75" customHeight="1">
      <c r="A99" s="37"/>
      <c r="B99" s="37"/>
      <c r="C99" s="42"/>
      <c r="D99" s="42"/>
      <c r="E99" s="42"/>
      <c r="F99" s="42"/>
      <c r="G99" s="42"/>
      <c r="H99" s="9"/>
    </row>
    <row r="100" ht="15.75" customHeight="1">
      <c r="A100" s="9"/>
      <c r="B100" s="24"/>
      <c r="C100" t="s" s="378">
        <v>13</v>
      </c>
      <c r="D100" s="389"/>
      <c r="E100" s="380" cm="1">
        <f t="array" ref="E100">SUM(E73:E98)</f>
        <v>8623209.800000001</v>
      </c>
      <c r="F100" s="381" cm="1">
        <f t="array" ref="F100">SUM(F73:F98)</f>
        <v>96860.3142666667</v>
      </c>
      <c r="G100" s="389"/>
      <c r="H100" s="18"/>
    </row>
  </sheetData>
  <mergeCells count="4">
    <mergeCell ref="C2:E2"/>
    <mergeCell ref="C30:E30"/>
    <mergeCell ref="C43:E43"/>
    <mergeCell ref="C70:E70"/>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xml><?xml version="1.0" encoding="utf-8"?>
<worksheet xmlns:r="http://schemas.openxmlformats.org/officeDocument/2006/relationships" xmlns="http://schemas.openxmlformats.org/spreadsheetml/2006/main">
  <dimension ref="A1:Z220"/>
  <sheetViews>
    <sheetView workbookViewId="0" showGridLines="0" defaultGridColor="1"/>
  </sheetViews>
  <sheetFormatPr defaultColWidth="14.4" defaultRowHeight="15" customHeight="1" outlineLevelRow="0" outlineLevelCol="0"/>
  <cols>
    <col min="1" max="2" width="10.8125" style="405" customWidth="1"/>
    <col min="3" max="3" width="21.8125" style="405" customWidth="1"/>
    <col min="4" max="4" width="26.8125" style="405" customWidth="1"/>
    <col min="5" max="5" width="14" style="405" customWidth="1"/>
    <col min="6" max="6" width="14.2109" style="405" customWidth="1"/>
    <col min="7" max="26" width="8.8125" style="405" customWidth="1"/>
    <col min="27" max="16384" width="14.4219" style="405" customWidth="1"/>
  </cols>
  <sheetData>
    <row r="1" ht="12.75" customHeight="1">
      <c r="A1" t="s" s="259">
        <v>1136</v>
      </c>
      <c r="B1" t="s" s="260">
        <v>23</v>
      </c>
      <c r="C1" t="s" s="260">
        <v>24</v>
      </c>
      <c r="D1" t="s" s="260">
        <v>1137</v>
      </c>
      <c r="E1" t="s" s="260">
        <v>26</v>
      </c>
      <c r="F1" t="s" s="260">
        <v>27</v>
      </c>
      <c r="G1" t="s" s="371">
        <v>28</v>
      </c>
      <c r="H1" s="257"/>
      <c r="I1" s="258"/>
      <c r="J1" s="258"/>
      <c r="K1" s="258"/>
      <c r="L1" s="258"/>
      <c r="M1" s="258"/>
      <c r="N1" s="258"/>
      <c r="O1" s="258"/>
      <c r="P1" s="258"/>
      <c r="Q1" s="258"/>
      <c r="R1" s="258"/>
      <c r="S1" s="258"/>
      <c r="T1" s="258"/>
      <c r="U1" s="258"/>
      <c r="V1" s="258"/>
      <c r="W1" s="258"/>
      <c r="X1" s="258"/>
      <c r="Y1" s="258"/>
      <c r="Z1" s="258"/>
    </row>
    <row r="2" ht="12.75" customHeight="1">
      <c r="A2" s="290">
        <v>42618</v>
      </c>
      <c r="B2" s="275"/>
      <c r="C2" t="s" s="274">
        <v>1584</v>
      </c>
      <c r="D2" t="s" s="375">
        <v>1585</v>
      </c>
      <c r="E2" s="376">
        <v>54000</v>
      </c>
      <c r="F2" s="377">
        <v>3220</v>
      </c>
      <c r="G2" s="376" cm="1">
        <f t="array" ref="G2">E2/F2</f>
        <v>16.7701863354037</v>
      </c>
      <c r="H2" s="257"/>
      <c r="I2" s="258"/>
      <c r="J2" s="258"/>
      <c r="K2" s="258"/>
      <c r="L2" s="258"/>
      <c r="M2" s="258"/>
      <c r="N2" s="258"/>
      <c r="O2" s="258"/>
      <c r="P2" s="258"/>
      <c r="Q2" s="258"/>
      <c r="R2" s="258"/>
      <c r="S2" s="258"/>
      <c r="T2" s="258"/>
      <c r="U2" s="258"/>
      <c r="V2" s="258"/>
      <c r="W2" s="258"/>
      <c r="X2" s="258"/>
      <c r="Y2" s="258"/>
      <c r="Z2" s="258"/>
    </row>
    <row r="3" ht="12.75" customHeight="1">
      <c r="A3" s="287">
        <v>42663</v>
      </c>
      <c r="B3" s="282"/>
      <c r="C3" t="s" s="259">
        <v>688</v>
      </c>
      <c r="D3" t="s" s="293">
        <v>111</v>
      </c>
      <c r="E3" s="373">
        <v>60000</v>
      </c>
      <c r="F3" s="374">
        <v>3636</v>
      </c>
      <c r="G3" s="373" cm="1">
        <f t="array" ref="G3">E3/F3</f>
        <v>16.5016501650165</v>
      </c>
      <c r="H3" s="257"/>
      <c r="I3" s="258"/>
      <c r="J3" s="258"/>
      <c r="K3" s="258"/>
      <c r="L3" s="258"/>
      <c r="M3" s="258"/>
      <c r="N3" s="258"/>
      <c r="O3" s="258"/>
      <c r="P3" s="258"/>
      <c r="Q3" s="258"/>
      <c r="R3" s="258"/>
      <c r="S3" s="258"/>
      <c r="T3" s="258"/>
      <c r="U3" s="258"/>
      <c r="V3" s="258"/>
      <c r="W3" s="258"/>
      <c r="X3" s="258"/>
      <c r="Y3" s="258"/>
      <c r="Z3" s="258"/>
    </row>
    <row r="4" ht="12.75" customHeight="1">
      <c r="A4" s="290">
        <v>42928</v>
      </c>
      <c r="B4" s="275"/>
      <c r="C4" t="s" s="274">
        <v>688</v>
      </c>
      <c r="D4" t="s" s="375">
        <v>111</v>
      </c>
      <c r="E4" s="376">
        <v>1200</v>
      </c>
      <c r="F4" s="377">
        <v>70</v>
      </c>
      <c r="G4" s="376" cm="1">
        <f t="array" ref="G4">E4/F4</f>
        <v>17.1428571428571</v>
      </c>
      <c r="H4" s="257"/>
      <c r="I4" s="258"/>
      <c r="J4" s="258"/>
      <c r="K4" s="258"/>
      <c r="L4" s="258"/>
      <c r="M4" s="258"/>
      <c r="N4" s="258"/>
      <c r="O4" s="258"/>
      <c r="P4" s="258"/>
      <c r="Q4" s="258"/>
      <c r="R4" s="258"/>
      <c r="S4" s="258"/>
      <c r="T4" s="258"/>
      <c r="U4" s="258"/>
      <c r="V4" s="258"/>
      <c r="W4" s="258"/>
      <c r="X4" s="258"/>
      <c r="Y4" s="258"/>
      <c r="Z4" s="258"/>
    </row>
    <row r="5" ht="12.75" customHeight="1">
      <c r="A5" s="287">
        <v>43062</v>
      </c>
      <c r="B5" s="282"/>
      <c r="C5" t="s" s="259">
        <v>170</v>
      </c>
      <c r="D5" t="s" s="293">
        <v>160</v>
      </c>
      <c r="E5" s="373">
        <v>3756.76</v>
      </c>
      <c r="F5" s="374" cm="1">
        <f t="array" ref="F5">E5/G5</f>
        <v>227.659656</v>
      </c>
      <c r="G5" s="373" cm="1">
        <f t="array" ref="G5">G3</f>
        <v>16.5016501650165</v>
      </c>
      <c r="H5" s="257"/>
      <c r="I5" s="258"/>
      <c r="J5" s="258"/>
      <c r="K5" s="258"/>
      <c r="L5" s="258"/>
      <c r="M5" s="258"/>
      <c r="N5" s="258"/>
      <c r="O5" s="258"/>
      <c r="P5" s="258"/>
      <c r="Q5" s="258"/>
      <c r="R5" s="258"/>
      <c r="S5" s="258"/>
      <c r="T5" s="258"/>
      <c r="U5" s="258"/>
      <c r="V5" s="258"/>
      <c r="W5" s="258"/>
      <c r="X5" s="258"/>
      <c r="Y5" s="258"/>
      <c r="Z5" s="258"/>
    </row>
    <row r="6" ht="12.75" customHeight="1">
      <c r="A6" s="290">
        <v>43119</v>
      </c>
      <c r="B6" s="275"/>
      <c r="C6" t="s" s="274">
        <v>170</v>
      </c>
      <c r="D6" t="s" s="375">
        <v>160</v>
      </c>
      <c r="E6" s="376">
        <v>20397.96</v>
      </c>
      <c r="F6" s="377">
        <v>1046</v>
      </c>
      <c r="G6" s="376" cm="1">
        <f t="array" ref="G6">E6/F6</f>
        <v>19.5009177820268</v>
      </c>
      <c r="H6" s="257"/>
      <c r="I6" s="258"/>
      <c r="J6" s="258"/>
      <c r="K6" s="258"/>
      <c r="L6" s="258"/>
      <c r="M6" s="258"/>
      <c r="N6" s="258"/>
      <c r="O6" s="258"/>
      <c r="P6" s="258"/>
      <c r="Q6" s="258"/>
      <c r="R6" s="258"/>
      <c r="S6" s="258"/>
      <c r="T6" s="258"/>
      <c r="U6" s="258"/>
      <c r="V6" s="258"/>
      <c r="W6" s="258"/>
      <c r="X6" s="258"/>
      <c r="Y6" s="258"/>
      <c r="Z6" s="258"/>
    </row>
    <row r="7" ht="12.75" customHeight="1">
      <c r="A7" s="287">
        <v>43273</v>
      </c>
      <c r="B7" s="282"/>
      <c r="C7" t="s" s="259">
        <v>688</v>
      </c>
      <c r="D7" t="s" s="406">
        <v>1586</v>
      </c>
      <c r="E7" s="407">
        <v>464872.5</v>
      </c>
      <c r="F7" s="374">
        <v>17500</v>
      </c>
      <c r="G7" s="373">
        <v>28</v>
      </c>
      <c r="H7" s="257"/>
      <c r="I7" s="258"/>
      <c r="J7" s="258"/>
      <c r="K7" s="258"/>
      <c r="L7" s="258"/>
      <c r="M7" s="258"/>
      <c r="N7" s="258"/>
      <c r="O7" s="258"/>
      <c r="P7" s="258"/>
      <c r="Q7" s="258"/>
      <c r="R7" s="258"/>
      <c r="S7" s="258"/>
      <c r="T7" s="258"/>
      <c r="U7" s="258"/>
      <c r="V7" s="258"/>
      <c r="W7" s="258"/>
      <c r="X7" s="258"/>
      <c r="Y7" s="258"/>
      <c r="Z7" s="258"/>
    </row>
    <row r="8" ht="12.75" customHeight="1">
      <c r="A8" s="290">
        <v>43312</v>
      </c>
      <c r="B8" s="275"/>
      <c r="C8" t="s" s="274">
        <v>1584</v>
      </c>
      <c r="D8" t="s" s="296">
        <v>1587</v>
      </c>
      <c r="E8" s="297">
        <v>31000</v>
      </c>
      <c r="F8" s="377">
        <v>1100</v>
      </c>
      <c r="G8" s="376">
        <v>27.8</v>
      </c>
      <c r="H8" s="257"/>
      <c r="I8" s="258"/>
      <c r="J8" s="258"/>
      <c r="K8" s="258"/>
      <c r="L8" s="258"/>
      <c r="M8" s="258"/>
      <c r="N8" s="258"/>
      <c r="O8" s="258"/>
      <c r="P8" s="258"/>
      <c r="Q8" s="258"/>
      <c r="R8" s="258"/>
      <c r="S8" s="258"/>
      <c r="T8" s="258"/>
      <c r="U8" s="258"/>
      <c r="V8" s="258"/>
      <c r="W8" s="258"/>
      <c r="X8" s="258"/>
      <c r="Y8" s="258"/>
      <c r="Z8" s="258"/>
    </row>
    <row r="9" ht="12.75" customHeight="1">
      <c r="A9" s="287">
        <v>43343</v>
      </c>
      <c r="B9" s="288"/>
      <c r="C9" t="s" s="289">
        <v>1584</v>
      </c>
      <c r="D9" t="s" s="283">
        <v>1587</v>
      </c>
      <c r="E9" s="284">
        <v>40000</v>
      </c>
      <c r="F9" s="286" cm="1">
        <f t="array" ref="F9">E9/G9</f>
        <v>1081.081081081080</v>
      </c>
      <c r="G9" s="284">
        <v>37</v>
      </c>
      <c r="H9" s="257"/>
      <c r="I9" s="258"/>
      <c r="J9" s="258"/>
      <c r="K9" s="258"/>
      <c r="L9" s="258"/>
      <c r="M9" s="258"/>
      <c r="N9" s="258"/>
      <c r="O9" s="258"/>
      <c r="P9" s="258"/>
      <c r="Q9" s="258"/>
      <c r="R9" s="258"/>
      <c r="S9" s="258"/>
      <c r="T9" s="258"/>
      <c r="U9" s="258"/>
      <c r="V9" s="258"/>
      <c r="W9" s="258"/>
      <c r="X9" s="258"/>
      <c r="Y9" s="258"/>
      <c r="Z9" s="258"/>
    </row>
    <row r="10" ht="12.75" customHeight="1">
      <c r="A10" s="290">
        <v>43343</v>
      </c>
      <c r="B10" s="398">
        <v>11368</v>
      </c>
      <c r="C10" t="s" s="274">
        <v>712</v>
      </c>
      <c r="D10" t="s" s="276">
        <v>1588</v>
      </c>
      <c r="E10" s="277">
        <v>9606.879999999999</v>
      </c>
      <c r="F10" s="279">
        <v>246</v>
      </c>
      <c r="G10" s="277" cm="1">
        <f t="array" ref="G10">E10/F10</f>
        <v>39.0523577235772</v>
      </c>
      <c r="H10" s="257"/>
      <c r="I10" s="258"/>
      <c r="J10" s="258"/>
      <c r="K10" s="258"/>
      <c r="L10" s="258"/>
      <c r="M10" s="258"/>
      <c r="N10" s="258"/>
      <c r="O10" s="258"/>
      <c r="P10" s="258"/>
      <c r="Q10" s="258"/>
      <c r="R10" s="258"/>
      <c r="S10" s="258"/>
      <c r="T10" s="258"/>
      <c r="U10" s="258"/>
      <c r="V10" s="258"/>
      <c r="W10" s="258"/>
      <c r="X10" s="258"/>
      <c r="Y10" s="258"/>
      <c r="Z10" s="258"/>
    </row>
    <row r="11" ht="12.75" customHeight="1">
      <c r="A11" s="287">
        <v>43426</v>
      </c>
      <c r="B11" s="327">
        <v>9635</v>
      </c>
      <c r="C11" t="s" s="259">
        <v>169</v>
      </c>
      <c r="D11" t="s" s="283">
        <v>266</v>
      </c>
      <c r="E11" s="284">
        <v>21985.82</v>
      </c>
      <c r="F11" s="286">
        <v>605</v>
      </c>
      <c r="G11" s="284" cm="1">
        <f t="array" ref="G11">E11/F11</f>
        <v>36.3401983471074</v>
      </c>
      <c r="H11" s="372"/>
      <c r="I11" s="9"/>
      <c r="J11" s="258"/>
      <c r="K11" s="258"/>
      <c r="L11" s="258"/>
      <c r="M11" s="258"/>
      <c r="N11" s="258"/>
      <c r="O11" s="258"/>
      <c r="P11" s="258"/>
      <c r="Q11" s="258"/>
      <c r="R11" s="258"/>
      <c r="S11" s="258"/>
      <c r="T11" s="258"/>
      <c r="U11" s="258"/>
      <c r="V11" s="258"/>
      <c r="W11" s="258"/>
      <c r="X11" s="258"/>
      <c r="Y11" s="258"/>
      <c r="Z11" s="258"/>
    </row>
    <row r="12" ht="12.75" customHeight="1">
      <c r="A12" s="408"/>
      <c r="B12" s="409"/>
      <c r="C12" s="409"/>
      <c r="D12" s="409"/>
      <c r="E12" s="410"/>
      <c r="F12" s="410"/>
      <c r="G12" s="411"/>
      <c r="H12" s="257"/>
      <c r="I12" s="258"/>
      <c r="J12" s="258"/>
      <c r="K12" s="258"/>
      <c r="L12" s="258"/>
      <c r="M12" s="258"/>
      <c r="N12" s="258"/>
      <c r="O12" s="258"/>
      <c r="P12" s="258"/>
      <c r="Q12" s="258"/>
      <c r="R12" s="258"/>
      <c r="S12" s="258"/>
      <c r="T12" s="258"/>
      <c r="U12" s="258"/>
      <c r="V12" s="258"/>
      <c r="W12" s="258"/>
      <c r="X12" s="258"/>
      <c r="Y12" s="258"/>
      <c r="Z12" s="258"/>
    </row>
    <row r="13" ht="12.75" customHeight="1">
      <c r="A13" s="412"/>
      <c r="B13" s="358"/>
      <c r="C13" s="358"/>
      <c r="D13" s="358"/>
      <c r="E13" s="413"/>
      <c r="F13" s="413"/>
      <c r="G13" s="414"/>
      <c r="H13" s="257"/>
      <c r="I13" s="258"/>
      <c r="J13" s="258"/>
      <c r="K13" s="258"/>
      <c r="L13" s="258"/>
      <c r="M13" s="258"/>
      <c r="N13" s="258"/>
      <c r="O13" s="258"/>
      <c r="P13" s="258"/>
      <c r="Q13" s="258"/>
      <c r="R13" s="258"/>
      <c r="S13" s="258"/>
      <c r="T13" s="258"/>
      <c r="U13" s="258"/>
      <c r="V13" s="258"/>
      <c r="W13" s="258"/>
      <c r="X13" s="258"/>
      <c r="Y13" s="258"/>
      <c r="Z13" s="258"/>
    </row>
    <row r="14" ht="12.75" customHeight="1">
      <c r="A14" s="412"/>
      <c r="B14" s="358"/>
      <c r="C14" s="358"/>
      <c r="D14" s="358"/>
      <c r="E14" s="413"/>
      <c r="F14" s="413"/>
      <c r="G14" s="414"/>
      <c r="H14" s="257"/>
      <c r="I14" s="258"/>
      <c r="J14" s="258"/>
      <c r="K14" s="258"/>
      <c r="L14" s="258"/>
      <c r="M14" s="258"/>
      <c r="N14" s="258"/>
      <c r="O14" s="258"/>
      <c r="P14" s="258"/>
      <c r="Q14" s="258"/>
      <c r="R14" s="258"/>
      <c r="S14" s="258"/>
      <c r="T14" s="258"/>
      <c r="U14" s="258"/>
      <c r="V14" s="258"/>
      <c r="W14" s="258"/>
      <c r="X14" s="258"/>
      <c r="Y14" s="258"/>
      <c r="Z14" s="258"/>
    </row>
    <row r="15" ht="12.75" customHeight="1">
      <c r="A15" s="412"/>
      <c r="B15" s="358"/>
      <c r="C15" s="358"/>
      <c r="D15" s="358"/>
      <c r="E15" s="413"/>
      <c r="F15" s="413"/>
      <c r="G15" s="414"/>
      <c r="H15" s="257"/>
      <c r="I15" s="258"/>
      <c r="J15" s="258"/>
      <c r="K15" s="258"/>
      <c r="L15" s="258"/>
      <c r="M15" s="258"/>
      <c r="N15" s="258"/>
      <c r="O15" s="258"/>
      <c r="P15" s="258"/>
      <c r="Q15" s="258"/>
      <c r="R15" s="258"/>
      <c r="S15" s="258"/>
      <c r="T15" s="258"/>
      <c r="U15" s="258"/>
      <c r="V15" s="258"/>
      <c r="W15" s="258"/>
      <c r="X15" s="258"/>
      <c r="Y15" s="258"/>
      <c r="Z15" s="258"/>
    </row>
    <row r="16" ht="12.75" customHeight="1">
      <c r="A16" s="415"/>
      <c r="B16" s="359"/>
      <c r="C16" s="359"/>
      <c r="D16" s="359"/>
      <c r="E16" s="360"/>
      <c r="F16" s="360"/>
      <c r="G16" s="416"/>
      <c r="H16" s="257"/>
      <c r="I16" s="258"/>
      <c r="J16" s="258"/>
      <c r="K16" s="258"/>
      <c r="L16" s="258"/>
      <c r="M16" s="258"/>
      <c r="N16" s="258"/>
      <c r="O16" s="258"/>
      <c r="P16" s="258"/>
      <c r="Q16" s="258"/>
      <c r="R16" s="258"/>
      <c r="S16" s="258"/>
      <c r="T16" s="258"/>
      <c r="U16" s="258"/>
      <c r="V16" s="258"/>
      <c r="W16" s="258"/>
      <c r="X16" s="258"/>
      <c r="Y16" s="258"/>
      <c r="Z16" s="258"/>
    </row>
    <row r="17" ht="12.75" customHeight="1">
      <c r="A17" s="417"/>
      <c r="B17" t="s" s="418">
        <v>13</v>
      </c>
      <c r="C17" s="419"/>
      <c r="D17" s="419"/>
      <c r="E17" s="420" cm="1">
        <f t="array" ref="E17">SUM(E2:E16)</f>
        <v>706819.92</v>
      </c>
      <c r="F17" s="420" cm="1">
        <f t="array" ref="F17">SUM(F2:F16)</f>
        <v>28731.7407370811</v>
      </c>
      <c r="G17" s="421"/>
      <c r="H17" s="422"/>
      <c r="I17" s="326"/>
      <c r="J17" s="258"/>
      <c r="K17" s="258"/>
      <c r="L17" s="258"/>
      <c r="M17" s="258"/>
      <c r="N17" s="258"/>
      <c r="O17" s="258"/>
      <c r="P17" s="258"/>
      <c r="Q17" s="258"/>
      <c r="R17" s="258"/>
      <c r="S17" s="258"/>
      <c r="T17" s="258"/>
      <c r="U17" s="258"/>
      <c r="V17" s="258"/>
      <c r="W17" s="258"/>
      <c r="X17" s="258"/>
      <c r="Y17" s="258"/>
      <c r="Z17" s="258"/>
    </row>
    <row r="18" ht="12.75" customHeight="1">
      <c r="A18" s="423"/>
      <c r="B18" s="424"/>
      <c r="C18" s="425"/>
      <c r="D18" s="424"/>
      <c r="E18" s="426"/>
      <c r="F18" s="427"/>
      <c r="G18" s="428"/>
      <c r="H18" s="346"/>
      <c r="I18" s="346"/>
      <c r="J18" s="308"/>
      <c r="K18" s="258"/>
      <c r="L18" s="258"/>
      <c r="M18" s="258"/>
      <c r="N18" s="258"/>
      <c r="O18" s="258"/>
      <c r="P18" s="258"/>
      <c r="Q18" s="258"/>
      <c r="R18" s="258"/>
      <c r="S18" s="258"/>
      <c r="T18" s="258"/>
      <c r="U18" s="258"/>
      <c r="V18" s="258"/>
      <c r="W18" s="258"/>
      <c r="X18" s="258"/>
      <c r="Y18" s="258"/>
      <c r="Z18" s="258"/>
    </row>
    <row r="19" ht="12.75" customHeight="1">
      <c r="A19" s="423"/>
      <c r="B19" s="346"/>
      <c r="C19" s="429"/>
      <c r="D19" s="346"/>
      <c r="E19" s="428"/>
      <c r="F19" s="430"/>
      <c r="G19" s="428"/>
      <c r="H19" s="346"/>
      <c r="I19" s="346"/>
      <c r="J19" s="308"/>
      <c r="K19" s="258"/>
      <c r="L19" s="258"/>
      <c r="M19" s="258"/>
      <c r="N19" s="258"/>
      <c r="O19" s="258"/>
      <c r="P19" s="258"/>
      <c r="Q19" s="258"/>
      <c r="R19" s="258"/>
      <c r="S19" s="258"/>
      <c r="T19" s="258"/>
      <c r="U19" s="258"/>
      <c r="V19" s="258"/>
      <c r="W19" s="258"/>
      <c r="X19" s="258"/>
      <c r="Y19" s="258"/>
      <c r="Z19" s="258"/>
    </row>
    <row r="20" ht="12.75" customHeight="1">
      <c r="A20" s="423"/>
      <c r="B20" s="346"/>
      <c r="C20" s="429"/>
      <c r="D20" s="346"/>
      <c r="E20" s="428"/>
      <c r="F20" s="430"/>
      <c r="G20" s="428"/>
      <c r="H20" s="346"/>
      <c r="I20" s="346"/>
      <c r="J20" s="308"/>
      <c r="K20" s="258"/>
      <c r="L20" s="258"/>
      <c r="M20" s="258"/>
      <c r="N20" s="258"/>
      <c r="O20" s="258"/>
      <c r="P20" s="258"/>
      <c r="Q20" s="258"/>
      <c r="R20" s="258"/>
      <c r="S20" s="258"/>
      <c r="T20" s="258"/>
      <c r="U20" s="258"/>
      <c r="V20" s="258"/>
      <c r="W20" s="258"/>
      <c r="X20" s="258"/>
      <c r="Y20" s="258"/>
      <c r="Z20" s="258"/>
    </row>
    <row r="21" ht="12.75" customHeight="1">
      <c r="A21" s="423"/>
      <c r="B21" s="346"/>
      <c r="C21" s="429"/>
      <c r="D21" s="346"/>
      <c r="E21" s="428"/>
      <c r="F21" s="430"/>
      <c r="G21" s="428"/>
      <c r="H21" s="346"/>
      <c r="I21" s="346"/>
      <c r="J21" s="308"/>
      <c r="K21" s="258"/>
      <c r="L21" s="258"/>
      <c r="M21" s="258"/>
      <c r="N21" s="258"/>
      <c r="O21" s="258"/>
      <c r="P21" s="258"/>
      <c r="Q21" s="258"/>
      <c r="R21" s="258"/>
      <c r="S21" s="258"/>
      <c r="T21" s="258"/>
      <c r="U21" s="258"/>
      <c r="V21" s="258"/>
      <c r="W21" s="258"/>
      <c r="X21" s="258"/>
      <c r="Y21" s="258"/>
      <c r="Z21" s="258"/>
    </row>
    <row r="22" ht="12.75" customHeight="1">
      <c r="A22" s="423"/>
      <c r="B22" s="346"/>
      <c r="C22" s="429"/>
      <c r="D22" s="346"/>
      <c r="E22" s="428"/>
      <c r="F22" s="430"/>
      <c r="G22" s="428"/>
      <c r="H22" s="346"/>
      <c r="I22" s="346"/>
      <c r="J22" s="308"/>
      <c r="K22" s="258"/>
      <c r="L22" s="258"/>
      <c r="M22" s="258"/>
      <c r="N22" s="258"/>
      <c r="O22" s="258"/>
      <c r="P22" s="258"/>
      <c r="Q22" s="258"/>
      <c r="R22" s="258"/>
      <c r="S22" s="258"/>
      <c r="T22" s="258"/>
      <c r="U22" s="258"/>
      <c r="V22" s="258"/>
      <c r="W22" s="258"/>
      <c r="X22" s="258"/>
      <c r="Y22" s="258"/>
      <c r="Z22" s="258"/>
    </row>
    <row r="23" ht="12.75" customHeight="1">
      <c r="A23" s="431"/>
      <c r="B23" s="346"/>
      <c r="C23" s="346"/>
      <c r="D23" s="346"/>
      <c r="E23" s="346"/>
      <c r="F23" s="432"/>
      <c r="G23" s="346"/>
      <c r="H23" s="346"/>
      <c r="I23" s="346"/>
      <c r="J23" s="308"/>
      <c r="K23" s="258"/>
      <c r="L23" s="258"/>
      <c r="M23" s="258"/>
      <c r="N23" s="258"/>
      <c r="O23" s="258"/>
      <c r="P23" s="258"/>
      <c r="Q23" s="258"/>
      <c r="R23" s="258"/>
      <c r="S23" s="258"/>
      <c r="T23" s="258"/>
      <c r="U23" s="258"/>
      <c r="V23" s="258"/>
      <c r="W23" s="258"/>
      <c r="X23" s="258"/>
      <c r="Y23" s="258"/>
      <c r="Z23" s="258"/>
    </row>
    <row r="24" ht="12.75" customHeight="1">
      <c r="A24" s="431"/>
      <c r="B24" s="433"/>
      <c r="C24" s="346"/>
      <c r="D24" s="346"/>
      <c r="E24" s="434"/>
      <c r="F24" s="434"/>
      <c r="G24" s="346"/>
      <c r="H24" s="346"/>
      <c r="I24" s="346"/>
      <c r="J24" s="308"/>
      <c r="K24" s="258"/>
      <c r="L24" s="258"/>
      <c r="M24" s="258"/>
      <c r="N24" s="258"/>
      <c r="O24" s="258"/>
      <c r="P24" s="258"/>
      <c r="Q24" s="258"/>
      <c r="R24" s="258"/>
      <c r="S24" s="258"/>
      <c r="T24" s="258"/>
      <c r="U24" s="258"/>
      <c r="V24" s="258"/>
      <c r="W24" s="258"/>
      <c r="X24" s="258"/>
      <c r="Y24" s="258"/>
      <c r="Z24" s="258"/>
    </row>
    <row r="25" ht="12.75" customHeight="1">
      <c r="A25" s="431"/>
      <c r="B25" s="346"/>
      <c r="C25" s="346"/>
      <c r="D25" s="346"/>
      <c r="E25" s="346"/>
      <c r="F25" s="432"/>
      <c r="G25" s="346"/>
      <c r="H25" s="346"/>
      <c r="I25" s="346"/>
      <c r="J25" s="308"/>
      <c r="K25" s="258"/>
      <c r="L25" s="258"/>
      <c r="M25" s="258"/>
      <c r="N25" s="258"/>
      <c r="O25" s="258"/>
      <c r="P25" s="258"/>
      <c r="Q25" s="258"/>
      <c r="R25" s="258"/>
      <c r="S25" s="258"/>
      <c r="T25" s="258"/>
      <c r="U25" s="258"/>
      <c r="V25" s="258"/>
      <c r="W25" s="258"/>
      <c r="X25" s="258"/>
      <c r="Y25" s="258"/>
      <c r="Z25" s="258"/>
    </row>
    <row r="26" ht="12.75" customHeight="1">
      <c r="A26" s="431"/>
      <c r="B26" s="346"/>
      <c r="C26" s="346"/>
      <c r="D26" s="346"/>
      <c r="E26" s="346"/>
      <c r="F26" s="432"/>
      <c r="G26" s="346"/>
      <c r="H26" s="346"/>
      <c r="I26" s="346"/>
      <c r="J26" s="308"/>
      <c r="K26" s="258"/>
      <c r="L26" s="258"/>
      <c r="M26" s="258"/>
      <c r="N26" s="258"/>
      <c r="O26" s="258"/>
      <c r="P26" s="258"/>
      <c r="Q26" s="258"/>
      <c r="R26" s="258"/>
      <c r="S26" s="258"/>
      <c r="T26" s="258"/>
      <c r="U26" s="258"/>
      <c r="V26" s="258"/>
      <c r="W26" s="258"/>
      <c r="X26" s="258"/>
      <c r="Y26" s="258"/>
      <c r="Z26" s="258"/>
    </row>
    <row r="27" ht="12.75" customHeight="1">
      <c r="A27" s="349"/>
      <c r="B27" s="349"/>
      <c r="C27" s="349"/>
      <c r="D27" s="349"/>
      <c r="E27" s="349"/>
      <c r="F27" s="435"/>
      <c r="G27" s="349"/>
      <c r="H27" s="349"/>
      <c r="I27" s="349"/>
      <c r="J27" s="258"/>
      <c r="K27" s="258"/>
      <c r="L27" s="258"/>
      <c r="M27" s="258"/>
      <c r="N27" s="258"/>
      <c r="O27" s="258"/>
      <c r="P27" s="258"/>
      <c r="Q27" s="258"/>
      <c r="R27" s="258"/>
      <c r="S27" s="258"/>
      <c r="T27" s="258"/>
      <c r="U27" s="258"/>
      <c r="V27" s="258"/>
      <c r="W27" s="258"/>
      <c r="X27" s="258"/>
      <c r="Y27" s="258"/>
      <c r="Z27" s="258"/>
    </row>
    <row r="28" ht="12.75" customHeight="1">
      <c r="A28" s="258"/>
      <c r="B28" s="258"/>
      <c r="C28" s="258"/>
      <c r="D28" s="258"/>
      <c r="E28" s="258"/>
      <c r="F28" s="314"/>
      <c r="G28" s="258"/>
      <c r="H28" s="258"/>
      <c r="I28" s="258"/>
      <c r="J28" s="258"/>
      <c r="K28" s="258"/>
      <c r="L28" s="258"/>
      <c r="M28" s="258"/>
      <c r="N28" s="258"/>
      <c r="O28" s="258"/>
      <c r="P28" s="258"/>
      <c r="Q28" s="258"/>
      <c r="R28" s="258"/>
      <c r="S28" s="258"/>
      <c r="T28" s="258"/>
      <c r="U28" s="258"/>
      <c r="V28" s="258"/>
      <c r="W28" s="258"/>
      <c r="X28" s="258"/>
      <c r="Y28" s="258"/>
      <c r="Z28" s="258"/>
    </row>
    <row r="29" ht="12.75" customHeight="1">
      <c r="A29" s="258"/>
      <c r="B29" s="258"/>
      <c r="C29" s="258"/>
      <c r="D29" s="258"/>
      <c r="E29" s="258"/>
      <c r="F29" s="314"/>
      <c r="G29" s="258"/>
      <c r="H29" s="258"/>
      <c r="I29" s="258"/>
      <c r="J29" s="258"/>
      <c r="K29" s="258"/>
      <c r="L29" s="258"/>
      <c r="M29" s="258"/>
      <c r="N29" s="258"/>
      <c r="O29" s="258"/>
      <c r="P29" s="258"/>
      <c r="Q29" s="258"/>
      <c r="R29" s="258"/>
      <c r="S29" s="258"/>
      <c r="T29" s="258"/>
      <c r="U29" s="258"/>
      <c r="V29" s="258"/>
      <c r="W29" s="258"/>
      <c r="X29" s="258"/>
      <c r="Y29" s="258"/>
      <c r="Z29" s="258"/>
    </row>
    <row r="30" ht="12.75" customHeight="1">
      <c r="A30" s="258"/>
      <c r="B30" s="258"/>
      <c r="C30" s="258"/>
      <c r="D30" s="258"/>
      <c r="E30" s="258"/>
      <c r="F30" s="314"/>
      <c r="G30" s="258"/>
      <c r="H30" s="258"/>
      <c r="I30" s="258"/>
      <c r="J30" s="258"/>
      <c r="K30" s="258"/>
      <c r="L30" s="258"/>
      <c r="M30" s="258"/>
      <c r="N30" s="258"/>
      <c r="O30" s="258"/>
      <c r="P30" s="258"/>
      <c r="Q30" s="258"/>
      <c r="R30" s="258"/>
      <c r="S30" s="258"/>
      <c r="T30" s="258"/>
      <c r="U30" s="258"/>
      <c r="V30" s="258"/>
      <c r="W30" s="258"/>
      <c r="X30" s="258"/>
      <c r="Y30" s="258"/>
      <c r="Z30" s="258"/>
    </row>
    <row r="31" ht="12.75" customHeight="1">
      <c r="A31" s="258"/>
      <c r="B31" s="258"/>
      <c r="C31" s="258"/>
      <c r="D31" s="258"/>
      <c r="E31" s="258"/>
      <c r="F31" s="314"/>
      <c r="G31" s="258"/>
      <c r="H31" s="258"/>
      <c r="I31" s="258"/>
      <c r="J31" s="258"/>
      <c r="K31" s="258"/>
      <c r="L31" s="258"/>
      <c r="M31" s="258"/>
      <c r="N31" s="258"/>
      <c r="O31" s="258"/>
      <c r="P31" s="258"/>
      <c r="Q31" s="258"/>
      <c r="R31" s="258"/>
      <c r="S31" s="258"/>
      <c r="T31" s="258"/>
      <c r="U31" s="258"/>
      <c r="V31" s="258"/>
      <c r="W31" s="258"/>
      <c r="X31" s="258"/>
      <c r="Y31" s="258"/>
      <c r="Z31" s="258"/>
    </row>
    <row r="32" ht="12.75" customHeight="1">
      <c r="A32" s="258"/>
      <c r="B32" s="258"/>
      <c r="C32" s="258"/>
      <c r="D32" s="258"/>
      <c r="E32" s="258"/>
      <c r="F32" s="314"/>
      <c r="G32" s="258"/>
      <c r="H32" s="258"/>
      <c r="I32" s="258"/>
      <c r="J32" s="258"/>
      <c r="K32" s="258"/>
      <c r="L32" s="258"/>
      <c r="M32" s="258"/>
      <c r="N32" s="258"/>
      <c r="O32" s="258"/>
      <c r="P32" s="258"/>
      <c r="Q32" s="258"/>
      <c r="R32" s="258"/>
      <c r="S32" s="258"/>
      <c r="T32" s="258"/>
      <c r="U32" s="258"/>
      <c r="V32" s="258"/>
      <c r="W32" s="258"/>
      <c r="X32" s="258"/>
      <c r="Y32" s="258"/>
      <c r="Z32" s="258"/>
    </row>
    <row r="33" ht="12.75" customHeight="1">
      <c r="A33" s="258"/>
      <c r="B33" s="258"/>
      <c r="C33" s="258"/>
      <c r="D33" s="258"/>
      <c r="E33" s="258"/>
      <c r="F33" s="314"/>
      <c r="G33" s="258"/>
      <c r="H33" s="258"/>
      <c r="I33" s="258"/>
      <c r="J33" s="258"/>
      <c r="K33" s="258"/>
      <c r="L33" s="258"/>
      <c r="M33" s="258"/>
      <c r="N33" s="258"/>
      <c r="O33" s="258"/>
      <c r="P33" s="258"/>
      <c r="Q33" s="258"/>
      <c r="R33" s="258"/>
      <c r="S33" s="258"/>
      <c r="T33" s="258"/>
      <c r="U33" s="258"/>
      <c r="V33" s="258"/>
      <c r="W33" s="258"/>
      <c r="X33" s="258"/>
      <c r="Y33" s="258"/>
      <c r="Z33" s="258"/>
    </row>
    <row r="34" ht="12.75" customHeight="1">
      <c r="A34" s="258"/>
      <c r="B34" s="258"/>
      <c r="C34" s="258"/>
      <c r="D34" s="258"/>
      <c r="E34" s="258"/>
      <c r="F34" s="314"/>
      <c r="G34" s="258"/>
      <c r="H34" s="258"/>
      <c r="I34" s="258"/>
      <c r="J34" s="258"/>
      <c r="K34" s="258"/>
      <c r="L34" s="258"/>
      <c r="M34" s="258"/>
      <c r="N34" s="258"/>
      <c r="O34" s="258"/>
      <c r="P34" s="258"/>
      <c r="Q34" s="258"/>
      <c r="R34" s="258"/>
      <c r="S34" s="258"/>
      <c r="T34" s="258"/>
      <c r="U34" s="258"/>
      <c r="V34" s="258"/>
      <c r="W34" s="258"/>
      <c r="X34" s="258"/>
      <c r="Y34" s="258"/>
      <c r="Z34" s="258"/>
    </row>
    <row r="35" ht="12.75" customHeight="1">
      <c r="A35" s="258"/>
      <c r="B35" s="258"/>
      <c r="C35" s="258"/>
      <c r="D35" s="258"/>
      <c r="E35" s="258"/>
      <c r="F35" s="314"/>
      <c r="G35" s="258"/>
      <c r="H35" s="258"/>
      <c r="I35" s="258"/>
      <c r="J35" s="258"/>
      <c r="K35" s="258"/>
      <c r="L35" s="258"/>
      <c r="M35" s="258"/>
      <c r="N35" s="258"/>
      <c r="O35" s="258"/>
      <c r="P35" s="258"/>
      <c r="Q35" s="258"/>
      <c r="R35" s="258"/>
      <c r="S35" s="258"/>
      <c r="T35" s="258"/>
      <c r="U35" s="258"/>
      <c r="V35" s="258"/>
      <c r="W35" s="258"/>
      <c r="X35" s="258"/>
      <c r="Y35" s="258"/>
      <c r="Z35" s="258"/>
    </row>
    <row r="36" ht="12.75" customHeight="1">
      <c r="A36" s="258"/>
      <c r="B36" s="258"/>
      <c r="C36" s="258"/>
      <c r="D36" s="258"/>
      <c r="E36" s="258"/>
      <c r="F36" s="314"/>
      <c r="G36" s="258"/>
      <c r="H36" s="258"/>
      <c r="I36" s="258"/>
      <c r="J36" s="258"/>
      <c r="K36" s="258"/>
      <c r="L36" s="258"/>
      <c r="M36" s="258"/>
      <c r="N36" s="258"/>
      <c r="O36" s="258"/>
      <c r="P36" s="258"/>
      <c r="Q36" s="258"/>
      <c r="R36" s="258"/>
      <c r="S36" s="258"/>
      <c r="T36" s="258"/>
      <c r="U36" s="258"/>
      <c r="V36" s="258"/>
      <c r="W36" s="258"/>
      <c r="X36" s="258"/>
      <c r="Y36" s="258"/>
      <c r="Z36" s="258"/>
    </row>
    <row r="37" ht="12.75" customHeight="1">
      <c r="A37" s="258"/>
      <c r="B37" s="258"/>
      <c r="C37" s="258"/>
      <c r="D37" s="258"/>
      <c r="E37" s="258"/>
      <c r="F37" s="314"/>
      <c r="G37" s="258"/>
      <c r="H37" s="258"/>
      <c r="I37" s="258"/>
      <c r="J37" s="258"/>
      <c r="K37" s="258"/>
      <c r="L37" s="258"/>
      <c r="M37" s="258"/>
      <c r="N37" s="258"/>
      <c r="O37" s="258"/>
      <c r="P37" s="258"/>
      <c r="Q37" s="258"/>
      <c r="R37" s="258"/>
      <c r="S37" s="258"/>
      <c r="T37" s="258"/>
      <c r="U37" s="258"/>
      <c r="V37" s="258"/>
      <c r="W37" s="258"/>
      <c r="X37" s="258"/>
      <c r="Y37" s="258"/>
      <c r="Z37" s="258"/>
    </row>
    <row r="38" ht="12.75" customHeight="1">
      <c r="A38" s="258"/>
      <c r="B38" s="258"/>
      <c r="C38" s="258"/>
      <c r="D38" s="258"/>
      <c r="E38" s="258"/>
      <c r="F38" s="314"/>
      <c r="G38" s="258"/>
      <c r="H38" s="258"/>
      <c r="I38" s="258"/>
      <c r="J38" s="258"/>
      <c r="K38" s="258"/>
      <c r="L38" s="258"/>
      <c r="M38" s="258"/>
      <c r="N38" s="258"/>
      <c r="O38" s="258"/>
      <c r="P38" s="258"/>
      <c r="Q38" s="258"/>
      <c r="R38" s="258"/>
      <c r="S38" s="258"/>
      <c r="T38" s="258"/>
      <c r="U38" s="258"/>
      <c r="V38" s="258"/>
      <c r="W38" s="258"/>
      <c r="X38" s="258"/>
      <c r="Y38" s="258"/>
      <c r="Z38" s="258"/>
    </row>
    <row r="39" ht="12.75" customHeight="1">
      <c r="A39" s="258"/>
      <c r="B39" s="258"/>
      <c r="C39" s="258"/>
      <c r="D39" s="258"/>
      <c r="E39" s="258"/>
      <c r="F39" s="314"/>
      <c r="G39" s="258"/>
      <c r="H39" s="258"/>
      <c r="I39" s="258"/>
      <c r="J39" s="258"/>
      <c r="K39" s="258"/>
      <c r="L39" s="258"/>
      <c r="M39" s="258"/>
      <c r="N39" s="258"/>
      <c r="O39" s="258"/>
      <c r="P39" s="258"/>
      <c r="Q39" s="258"/>
      <c r="R39" s="258"/>
      <c r="S39" s="258"/>
      <c r="T39" s="258"/>
      <c r="U39" s="258"/>
      <c r="V39" s="258"/>
      <c r="W39" s="258"/>
      <c r="X39" s="258"/>
      <c r="Y39" s="258"/>
      <c r="Z39" s="258"/>
    </row>
    <row r="40" ht="12.75" customHeight="1">
      <c r="A40" s="258"/>
      <c r="B40" s="258"/>
      <c r="C40" s="258"/>
      <c r="D40" s="258"/>
      <c r="E40" s="258"/>
      <c r="F40" s="314"/>
      <c r="G40" s="258"/>
      <c r="H40" s="258"/>
      <c r="I40" s="258"/>
      <c r="J40" s="258"/>
      <c r="K40" s="258"/>
      <c r="L40" s="258"/>
      <c r="M40" s="258"/>
      <c r="N40" s="258"/>
      <c r="O40" s="258"/>
      <c r="P40" s="258"/>
      <c r="Q40" s="258"/>
      <c r="R40" s="258"/>
      <c r="S40" s="258"/>
      <c r="T40" s="258"/>
      <c r="U40" s="258"/>
      <c r="V40" s="258"/>
      <c r="W40" s="258"/>
      <c r="X40" s="258"/>
      <c r="Y40" s="258"/>
      <c r="Z40" s="258"/>
    </row>
    <row r="41" ht="12.75" customHeight="1">
      <c r="A41" s="258"/>
      <c r="B41" s="258"/>
      <c r="C41" s="258"/>
      <c r="D41" s="258"/>
      <c r="E41" s="258"/>
      <c r="F41" s="314"/>
      <c r="G41" s="258"/>
      <c r="H41" s="258"/>
      <c r="I41" s="258"/>
      <c r="J41" s="258"/>
      <c r="K41" s="258"/>
      <c r="L41" s="258"/>
      <c r="M41" s="258"/>
      <c r="N41" s="258"/>
      <c r="O41" s="258"/>
      <c r="P41" s="258"/>
      <c r="Q41" s="258"/>
      <c r="R41" s="258"/>
      <c r="S41" s="258"/>
      <c r="T41" s="258"/>
      <c r="U41" s="258"/>
      <c r="V41" s="258"/>
      <c r="W41" s="258"/>
      <c r="X41" s="258"/>
      <c r="Y41" s="258"/>
      <c r="Z41" s="258"/>
    </row>
    <row r="42" ht="12.75" customHeight="1">
      <c r="A42" s="258"/>
      <c r="B42" s="258"/>
      <c r="C42" s="258"/>
      <c r="D42" s="258"/>
      <c r="E42" s="258"/>
      <c r="F42" s="314"/>
      <c r="G42" s="258"/>
      <c r="H42" s="258"/>
      <c r="I42" s="258"/>
      <c r="J42" s="258"/>
      <c r="K42" s="258"/>
      <c r="L42" s="258"/>
      <c r="M42" s="258"/>
      <c r="N42" s="258"/>
      <c r="O42" s="258"/>
      <c r="P42" s="258"/>
      <c r="Q42" s="258"/>
      <c r="R42" s="258"/>
      <c r="S42" s="258"/>
      <c r="T42" s="258"/>
      <c r="U42" s="258"/>
      <c r="V42" s="258"/>
      <c r="W42" s="258"/>
      <c r="X42" s="258"/>
      <c r="Y42" s="258"/>
      <c r="Z42" s="258"/>
    </row>
    <row r="43" ht="12.75" customHeight="1">
      <c r="A43" s="258"/>
      <c r="B43" s="258"/>
      <c r="C43" s="258"/>
      <c r="D43" s="258"/>
      <c r="E43" s="258"/>
      <c r="F43" s="314"/>
      <c r="G43" s="258"/>
      <c r="H43" s="258"/>
      <c r="I43" s="258"/>
      <c r="J43" s="258"/>
      <c r="K43" s="258"/>
      <c r="L43" s="258"/>
      <c r="M43" s="258"/>
      <c r="N43" s="258"/>
      <c r="O43" s="258"/>
      <c r="P43" s="258"/>
      <c r="Q43" s="258"/>
      <c r="R43" s="258"/>
      <c r="S43" s="258"/>
      <c r="T43" s="258"/>
      <c r="U43" s="258"/>
      <c r="V43" s="258"/>
      <c r="W43" s="258"/>
      <c r="X43" s="258"/>
      <c r="Y43" s="258"/>
      <c r="Z43" s="258"/>
    </row>
    <row r="44" ht="12.75" customHeight="1">
      <c r="A44" s="258"/>
      <c r="B44" s="258"/>
      <c r="C44" s="258"/>
      <c r="D44" s="258"/>
      <c r="E44" s="258"/>
      <c r="F44" s="314"/>
      <c r="G44" s="258"/>
      <c r="H44" s="258"/>
      <c r="I44" s="258"/>
      <c r="J44" s="258"/>
      <c r="K44" s="258"/>
      <c r="L44" s="258"/>
      <c r="M44" s="258"/>
      <c r="N44" s="258"/>
      <c r="O44" s="258"/>
      <c r="P44" s="258"/>
      <c r="Q44" s="258"/>
      <c r="R44" s="258"/>
      <c r="S44" s="258"/>
      <c r="T44" s="258"/>
      <c r="U44" s="258"/>
      <c r="V44" s="258"/>
      <c r="W44" s="258"/>
      <c r="X44" s="258"/>
      <c r="Y44" s="258"/>
      <c r="Z44" s="258"/>
    </row>
    <row r="45" ht="12.75" customHeight="1">
      <c r="A45" s="258"/>
      <c r="B45" s="258"/>
      <c r="C45" s="258"/>
      <c r="D45" s="258"/>
      <c r="E45" s="258"/>
      <c r="F45" s="314"/>
      <c r="G45" s="258"/>
      <c r="H45" s="258"/>
      <c r="I45" s="258"/>
      <c r="J45" s="258"/>
      <c r="K45" s="258"/>
      <c r="L45" s="258"/>
      <c r="M45" s="258"/>
      <c r="N45" s="258"/>
      <c r="O45" s="258"/>
      <c r="P45" s="258"/>
      <c r="Q45" s="258"/>
      <c r="R45" s="258"/>
      <c r="S45" s="258"/>
      <c r="T45" s="258"/>
      <c r="U45" s="258"/>
      <c r="V45" s="258"/>
      <c r="W45" s="258"/>
      <c r="X45" s="258"/>
      <c r="Y45" s="258"/>
      <c r="Z45" s="258"/>
    </row>
    <row r="46" ht="12.75" customHeight="1">
      <c r="A46" s="258"/>
      <c r="B46" s="258"/>
      <c r="C46" s="258"/>
      <c r="D46" s="258"/>
      <c r="E46" s="258"/>
      <c r="F46" s="314"/>
      <c r="G46" s="258"/>
      <c r="H46" s="258"/>
      <c r="I46" s="258"/>
      <c r="J46" s="258"/>
      <c r="K46" s="258"/>
      <c r="L46" s="258"/>
      <c r="M46" s="258"/>
      <c r="N46" s="258"/>
      <c r="O46" s="258"/>
      <c r="P46" s="258"/>
      <c r="Q46" s="258"/>
      <c r="R46" s="258"/>
      <c r="S46" s="258"/>
      <c r="T46" s="258"/>
      <c r="U46" s="258"/>
      <c r="V46" s="258"/>
      <c r="W46" s="258"/>
      <c r="X46" s="258"/>
      <c r="Y46" s="258"/>
      <c r="Z46" s="258"/>
    </row>
    <row r="47" ht="12.75" customHeight="1">
      <c r="A47" s="258"/>
      <c r="B47" s="258"/>
      <c r="C47" s="258"/>
      <c r="D47" s="258"/>
      <c r="E47" s="258"/>
      <c r="F47" s="314"/>
      <c r="G47" s="258"/>
      <c r="H47" s="258"/>
      <c r="I47" s="258"/>
      <c r="J47" s="258"/>
      <c r="K47" s="258"/>
      <c r="L47" s="258"/>
      <c r="M47" s="258"/>
      <c r="N47" s="258"/>
      <c r="O47" s="258"/>
      <c r="P47" s="258"/>
      <c r="Q47" s="258"/>
      <c r="R47" s="258"/>
      <c r="S47" s="258"/>
      <c r="T47" s="258"/>
      <c r="U47" s="258"/>
      <c r="V47" s="258"/>
      <c r="W47" s="258"/>
      <c r="X47" s="258"/>
      <c r="Y47" s="258"/>
      <c r="Z47" s="258"/>
    </row>
    <row r="48" ht="12.75" customHeight="1">
      <c r="A48" s="258"/>
      <c r="B48" s="258"/>
      <c r="C48" s="258"/>
      <c r="D48" s="258"/>
      <c r="E48" s="258"/>
      <c r="F48" s="314"/>
      <c r="G48" s="258"/>
      <c r="H48" s="258"/>
      <c r="I48" s="258"/>
      <c r="J48" s="258"/>
      <c r="K48" s="258"/>
      <c r="L48" s="258"/>
      <c r="M48" s="258"/>
      <c r="N48" s="258"/>
      <c r="O48" s="258"/>
      <c r="P48" s="258"/>
      <c r="Q48" s="258"/>
      <c r="R48" s="258"/>
      <c r="S48" s="258"/>
      <c r="T48" s="258"/>
      <c r="U48" s="258"/>
      <c r="V48" s="258"/>
      <c r="W48" s="258"/>
      <c r="X48" s="258"/>
      <c r="Y48" s="258"/>
      <c r="Z48" s="258"/>
    </row>
    <row r="49" ht="12.75" customHeight="1">
      <c r="A49" s="258"/>
      <c r="B49" s="258"/>
      <c r="C49" s="258"/>
      <c r="D49" s="258"/>
      <c r="E49" s="258"/>
      <c r="F49" s="314"/>
      <c r="G49" s="258"/>
      <c r="H49" s="258"/>
      <c r="I49" s="258"/>
      <c r="J49" s="258"/>
      <c r="K49" s="258"/>
      <c r="L49" s="258"/>
      <c r="M49" s="258"/>
      <c r="N49" s="258"/>
      <c r="O49" s="258"/>
      <c r="P49" s="258"/>
      <c r="Q49" s="258"/>
      <c r="R49" s="258"/>
      <c r="S49" s="258"/>
      <c r="T49" s="258"/>
      <c r="U49" s="258"/>
      <c r="V49" s="258"/>
      <c r="W49" s="258"/>
      <c r="X49" s="258"/>
      <c r="Y49" s="258"/>
      <c r="Z49" s="258"/>
    </row>
    <row r="50" ht="12.75" customHeight="1">
      <c r="A50" s="258"/>
      <c r="B50" s="258"/>
      <c r="C50" s="258"/>
      <c r="D50" s="258"/>
      <c r="E50" s="258"/>
      <c r="F50" s="314"/>
      <c r="G50" s="258"/>
      <c r="H50" s="258"/>
      <c r="I50" s="258"/>
      <c r="J50" s="258"/>
      <c r="K50" s="258"/>
      <c r="L50" s="258"/>
      <c r="M50" s="258"/>
      <c r="N50" s="258"/>
      <c r="O50" s="258"/>
      <c r="P50" s="258"/>
      <c r="Q50" s="258"/>
      <c r="R50" s="258"/>
      <c r="S50" s="258"/>
      <c r="T50" s="258"/>
      <c r="U50" s="258"/>
      <c r="V50" s="258"/>
      <c r="W50" s="258"/>
      <c r="X50" s="258"/>
      <c r="Y50" s="258"/>
      <c r="Z50" s="258"/>
    </row>
    <row r="51" ht="12.75" customHeight="1">
      <c r="A51" s="258"/>
      <c r="B51" s="258"/>
      <c r="C51" s="258"/>
      <c r="D51" s="258"/>
      <c r="E51" s="258"/>
      <c r="F51" s="314"/>
      <c r="G51" s="258"/>
      <c r="H51" s="258"/>
      <c r="I51" s="258"/>
      <c r="J51" s="258"/>
      <c r="K51" s="258"/>
      <c r="L51" s="258"/>
      <c r="M51" s="258"/>
      <c r="N51" s="258"/>
      <c r="O51" s="258"/>
      <c r="P51" s="258"/>
      <c r="Q51" s="258"/>
      <c r="R51" s="258"/>
      <c r="S51" s="258"/>
      <c r="T51" s="258"/>
      <c r="U51" s="258"/>
      <c r="V51" s="258"/>
      <c r="W51" s="258"/>
      <c r="X51" s="258"/>
      <c r="Y51" s="258"/>
      <c r="Z51" s="258"/>
    </row>
    <row r="52" ht="12.75" customHeight="1">
      <c r="A52" s="258"/>
      <c r="B52" s="258"/>
      <c r="C52" s="258"/>
      <c r="D52" s="258"/>
      <c r="E52" s="258"/>
      <c r="F52" s="314"/>
      <c r="G52" s="258"/>
      <c r="H52" s="258"/>
      <c r="I52" s="258"/>
      <c r="J52" s="258"/>
      <c r="K52" s="258"/>
      <c r="L52" s="258"/>
      <c r="M52" s="258"/>
      <c r="N52" s="258"/>
      <c r="O52" s="258"/>
      <c r="P52" s="258"/>
      <c r="Q52" s="258"/>
      <c r="R52" s="258"/>
      <c r="S52" s="258"/>
      <c r="T52" s="258"/>
      <c r="U52" s="258"/>
      <c r="V52" s="258"/>
      <c r="W52" s="258"/>
      <c r="X52" s="258"/>
      <c r="Y52" s="258"/>
      <c r="Z52" s="258"/>
    </row>
    <row r="53" ht="12.75" customHeight="1">
      <c r="A53" s="258"/>
      <c r="B53" s="258"/>
      <c r="C53" s="258"/>
      <c r="D53" s="258"/>
      <c r="E53" s="258"/>
      <c r="F53" s="314"/>
      <c r="G53" s="258"/>
      <c r="H53" s="258"/>
      <c r="I53" s="258"/>
      <c r="J53" s="258"/>
      <c r="K53" s="258"/>
      <c r="L53" s="258"/>
      <c r="M53" s="258"/>
      <c r="N53" s="258"/>
      <c r="O53" s="258"/>
      <c r="P53" s="258"/>
      <c r="Q53" s="258"/>
      <c r="R53" s="258"/>
      <c r="S53" s="258"/>
      <c r="T53" s="258"/>
      <c r="U53" s="258"/>
      <c r="V53" s="258"/>
      <c r="W53" s="258"/>
      <c r="X53" s="258"/>
      <c r="Y53" s="258"/>
      <c r="Z53" s="258"/>
    </row>
    <row r="54" ht="12.75" customHeight="1">
      <c r="A54" s="258"/>
      <c r="B54" s="258"/>
      <c r="C54" s="258"/>
      <c r="D54" s="258"/>
      <c r="E54" s="258"/>
      <c r="F54" s="314"/>
      <c r="G54" s="258"/>
      <c r="H54" s="258"/>
      <c r="I54" s="258"/>
      <c r="J54" s="258"/>
      <c r="K54" s="258"/>
      <c r="L54" s="258"/>
      <c r="M54" s="258"/>
      <c r="N54" s="258"/>
      <c r="O54" s="258"/>
      <c r="P54" s="258"/>
      <c r="Q54" s="258"/>
      <c r="R54" s="258"/>
      <c r="S54" s="258"/>
      <c r="T54" s="258"/>
      <c r="U54" s="258"/>
      <c r="V54" s="258"/>
      <c r="W54" s="258"/>
      <c r="X54" s="258"/>
      <c r="Y54" s="258"/>
      <c r="Z54" s="258"/>
    </row>
    <row r="55" ht="12.75" customHeight="1">
      <c r="A55" s="258"/>
      <c r="B55" s="258"/>
      <c r="C55" s="258"/>
      <c r="D55" s="258"/>
      <c r="E55" s="258"/>
      <c r="F55" s="314"/>
      <c r="G55" s="258"/>
      <c r="H55" s="258"/>
      <c r="I55" s="258"/>
      <c r="J55" s="258"/>
      <c r="K55" s="258"/>
      <c r="L55" s="258"/>
      <c r="M55" s="258"/>
      <c r="N55" s="258"/>
      <c r="O55" s="258"/>
      <c r="P55" s="258"/>
      <c r="Q55" s="258"/>
      <c r="R55" s="258"/>
      <c r="S55" s="258"/>
      <c r="T55" s="258"/>
      <c r="U55" s="258"/>
      <c r="V55" s="258"/>
      <c r="W55" s="258"/>
      <c r="X55" s="258"/>
      <c r="Y55" s="258"/>
      <c r="Z55" s="258"/>
    </row>
    <row r="56" ht="12.75" customHeight="1">
      <c r="A56" s="258"/>
      <c r="B56" s="258"/>
      <c r="C56" s="258"/>
      <c r="D56" s="258"/>
      <c r="E56" s="258"/>
      <c r="F56" s="314"/>
      <c r="G56" s="258"/>
      <c r="H56" s="258"/>
      <c r="I56" s="258"/>
      <c r="J56" s="258"/>
      <c r="K56" s="258"/>
      <c r="L56" s="258"/>
      <c r="M56" s="258"/>
      <c r="N56" s="258"/>
      <c r="O56" s="258"/>
      <c r="P56" s="258"/>
      <c r="Q56" s="258"/>
      <c r="R56" s="258"/>
      <c r="S56" s="258"/>
      <c r="T56" s="258"/>
      <c r="U56" s="258"/>
      <c r="V56" s="258"/>
      <c r="W56" s="258"/>
      <c r="X56" s="258"/>
      <c r="Y56" s="258"/>
      <c r="Z56" s="258"/>
    </row>
    <row r="57" ht="12.75" customHeight="1">
      <c r="A57" s="258"/>
      <c r="B57" s="258"/>
      <c r="C57" s="258"/>
      <c r="D57" s="258"/>
      <c r="E57" s="258"/>
      <c r="F57" s="314"/>
      <c r="G57" s="258"/>
      <c r="H57" s="258"/>
      <c r="I57" s="258"/>
      <c r="J57" s="258"/>
      <c r="K57" s="258"/>
      <c r="L57" s="258"/>
      <c r="M57" s="258"/>
      <c r="N57" s="258"/>
      <c r="O57" s="258"/>
      <c r="P57" s="258"/>
      <c r="Q57" s="258"/>
      <c r="R57" s="258"/>
      <c r="S57" s="258"/>
      <c r="T57" s="258"/>
      <c r="U57" s="258"/>
      <c r="V57" s="258"/>
      <c r="W57" s="258"/>
      <c r="X57" s="258"/>
      <c r="Y57" s="258"/>
      <c r="Z57" s="258"/>
    </row>
    <row r="58" ht="12.75" customHeight="1">
      <c r="A58" s="258"/>
      <c r="B58" s="258"/>
      <c r="C58" s="258"/>
      <c r="D58" s="258"/>
      <c r="E58" s="258"/>
      <c r="F58" s="314"/>
      <c r="G58" s="258"/>
      <c r="H58" s="258"/>
      <c r="I58" s="258"/>
      <c r="J58" s="258"/>
      <c r="K58" s="258"/>
      <c r="L58" s="258"/>
      <c r="M58" s="258"/>
      <c r="N58" s="258"/>
      <c r="O58" s="258"/>
      <c r="P58" s="258"/>
      <c r="Q58" s="258"/>
      <c r="R58" s="258"/>
      <c r="S58" s="258"/>
      <c r="T58" s="258"/>
      <c r="U58" s="258"/>
      <c r="V58" s="258"/>
      <c r="W58" s="258"/>
      <c r="X58" s="258"/>
      <c r="Y58" s="258"/>
      <c r="Z58" s="258"/>
    </row>
    <row r="59" ht="12.75" customHeight="1">
      <c r="A59" s="258"/>
      <c r="B59" s="258"/>
      <c r="C59" s="258"/>
      <c r="D59" s="258"/>
      <c r="E59" s="258"/>
      <c r="F59" s="314"/>
      <c r="G59" s="258"/>
      <c r="H59" s="258"/>
      <c r="I59" s="258"/>
      <c r="J59" s="258"/>
      <c r="K59" s="258"/>
      <c r="L59" s="258"/>
      <c r="M59" s="258"/>
      <c r="N59" s="258"/>
      <c r="O59" s="258"/>
      <c r="P59" s="258"/>
      <c r="Q59" s="258"/>
      <c r="R59" s="258"/>
      <c r="S59" s="258"/>
      <c r="T59" s="258"/>
      <c r="U59" s="258"/>
      <c r="V59" s="258"/>
      <c r="W59" s="258"/>
      <c r="X59" s="258"/>
      <c r="Y59" s="258"/>
      <c r="Z59" s="258"/>
    </row>
    <row r="60" ht="12.75" customHeight="1">
      <c r="A60" s="258"/>
      <c r="B60" s="258"/>
      <c r="C60" s="258"/>
      <c r="D60" s="258"/>
      <c r="E60" s="258"/>
      <c r="F60" s="314"/>
      <c r="G60" s="258"/>
      <c r="H60" s="258"/>
      <c r="I60" s="258"/>
      <c r="J60" s="258"/>
      <c r="K60" s="258"/>
      <c r="L60" s="258"/>
      <c r="M60" s="258"/>
      <c r="N60" s="258"/>
      <c r="O60" s="258"/>
      <c r="P60" s="258"/>
      <c r="Q60" s="258"/>
      <c r="R60" s="258"/>
      <c r="S60" s="258"/>
      <c r="T60" s="258"/>
      <c r="U60" s="258"/>
      <c r="V60" s="258"/>
      <c r="W60" s="258"/>
      <c r="X60" s="258"/>
      <c r="Y60" s="258"/>
      <c r="Z60" s="258"/>
    </row>
    <row r="61" ht="12.75" customHeight="1">
      <c r="A61" s="258"/>
      <c r="B61" s="258"/>
      <c r="C61" s="258"/>
      <c r="D61" s="258"/>
      <c r="E61" s="258"/>
      <c r="F61" s="314"/>
      <c r="G61" s="258"/>
      <c r="H61" s="258"/>
      <c r="I61" s="258"/>
      <c r="J61" s="258"/>
      <c r="K61" s="258"/>
      <c r="L61" s="258"/>
      <c r="M61" s="258"/>
      <c r="N61" s="258"/>
      <c r="O61" s="258"/>
      <c r="P61" s="258"/>
      <c r="Q61" s="258"/>
      <c r="R61" s="258"/>
      <c r="S61" s="258"/>
      <c r="T61" s="258"/>
      <c r="U61" s="258"/>
      <c r="V61" s="258"/>
      <c r="W61" s="258"/>
      <c r="X61" s="258"/>
      <c r="Y61" s="258"/>
      <c r="Z61" s="258"/>
    </row>
    <row r="62" ht="12.75" customHeight="1">
      <c r="A62" s="258"/>
      <c r="B62" s="258"/>
      <c r="C62" s="258"/>
      <c r="D62" s="258"/>
      <c r="E62" s="258"/>
      <c r="F62" s="314"/>
      <c r="G62" s="258"/>
      <c r="H62" s="258"/>
      <c r="I62" s="258"/>
      <c r="J62" s="258"/>
      <c r="K62" s="258"/>
      <c r="L62" s="258"/>
      <c r="M62" s="258"/>
      <c r="N62" s="258"/>
      <c r="O62" s="258"/>
      <c r="P62" s="258"/>
      <c r="Q62" s="258"/>
      <c r="R62" s="258"/>
      <c r="S62" s="258"/>
      <c r="T62" s="258"/>
      <c r="U62" s="258"/>
      <c r="V62" s="258"/>
      <c r="W62" s="258"/>
      <c r="X62" s="258"/>
      <c r="Y62" s="258"/>
      <c r="Z62" s="258"/>
    </row>
    <row r="63" ht="12.75" customHeight="1">
      <c r="A63" s="258"/>
      <c r="B63" s="258"/>
      <c r="C63" s="258"/>
      <c r="D63" s="258"/>
      <c r="E63" s="258"/>
      <c r="F63" s="314"/>
      <c r="G63" s="258"/>
      <c r="H63" s="258"/>
      <c r="I63" s="258"/>
      <c r="J63" s="258"/>
      <c r="K63" s="258"/>
      <c r="L63" s="258"/>
      <c r="M63" s="258"/>
      <c r="N63" s="258"/>
      <c r="O63" s="258"/>
      <c r="P63" s="258"/>
      <c r="Q63" s="258"/>
      <c r="R63" s="258"/>
      <c r="S63" s="258"/>
      <c r="T63" s="258"/>
      <c r="U63" s="258"/>
      <c r="V63" s="258"/>
      <c r="W63" s="258"/>
      <c r="X63" s="258"/>
      <c r="Y63" s="258"/>
      <c r="Z63" s="258"/>
    </row>
    <row r="64" ht="12.75" customHeight="1">
      <c r="A64" s="258"/>
      <c r="B64" s="258"/>
      <c r="C64" s="258"/>
      <c r="D64" s="258"/>
      <c r="E64" s="258"/>
      <c r="F64" s="314"/>
      <c r="G64" s="258"/>
      <c r="H64" s="258"/>
      <c r="I64" s="258"/>
      <c r="J64" s="258"/>
      <c r="K64" s="258"/>
      <c r="L64" s="258"/>
      <c r="M64" s="258"/>
      <c r="N64" s="258"/>
      <c r="O64" s="258"/>
      <c r="P64" s="258"/>
      <c r="Q64" s="258"/>
      <c r="R64" s="258"/>
      <c r="S64" s="258"/>
      <c r="T64" s="258"/>
      <c r="U64" s="258"/>
      <c r="V64" s="258"/>
      <c r="W64" s="258"/>
      <c r="X64" s="258"/>
      <c r="Y64" s="258"/>
      <c r="Z64" s="258"/>
    </row>
    <row r="65" ht="12.75" customHeight="1">
      <c r="A65" s="258"/>
      <c r="B65" s="258"/>
      <c r="C65" s="258"/>
      <c r="D65" s="258"/>
      <c r="E65" s="258"/>
      <c r="F65" s="314"/>
      <c r="G65" s="258"/>
      <c r="H65" s="258"/>
      <c r="I65" s="258"/>
      <c r="J65" s="258"/>
      <c r="K65" s="258"/>
      <c r="L65" s="258"/>
      <c r="M65" s="258"/>
      <c r="N65" s="258"/>
      <c r="O65" s="258"/>
      <c r="P65" s="258"/>
      <c r="Q65" s="258"/>
      <c r="R65" s="258"/>
      <c r="S65" s="258"/>
      <c r="T65" s="258"/>
      <c r="U65" s="258"/>
      <c r="V65" s="258"/>
      <c r="W65" s="258"/>
      <c r="X65" s="258"/>
      <c r="Y65" s="258"/>
      <c r="Z65" s="258"/>
    </row>
    <row r="66" ht="12.75" customHeight="1">
      <c r="A66" s="258"/>
      <c r="B66" s="258"/>
      <c r="C66" s="258"/>
      <c r="D66" s="258"/>
      <c r="E66" s="258"/>
      <c r="F66" s="314"/>
      <c r="G66" s="258"/>
      <c r="H66" s="258"/>
      <c r="I66" s="258"/>
      <c r="J66" s="258"/>
      <c r="K66" s="258"/>
      <c r="L66" s="258"/>
      <c r="M66" s="258"/>
      <c r="N66" s="258"/>
      <c r="O66" s="258"/>
      <c r="P66" s="258"/>
      <c r="Q66" s="258"/>
      <c r="R66" s="258"/>
      <c r="S66" s="258"/>
      <c r="T66" s="258"/>
      <c r="U66" s="258"/>
      <c r="V66" s="258"/>
      <c r="W66" s="258"/>
      <c r="X66" s="258"/>
      <c r="Y66" s="258"/>
      <c r="Z66" s="258"/>
    </row>
    <row r="67" ht="12.75" customHeight="1">
      <c r="A67" s="258"/>
      <c r="B67" s="258"/>
      <c r="C67" s="258"/>
      <c r="D67" s="258"/>
      <c r="E67" s="258"/>
      <c r="F67" s="314"/>
      <c r="G67" s="258"/>
      <c r="H67" s="258"/>
      <c r="I67" s="258"/>
      <c r="J67" s="258"/>
      <c r="K67" s="258"/>
      <c r="L67" s="258"/>
      <c r="M67" s="258"/>
      <c r="N67" s="258"/>
      <c r="O67" s="258"/>
      <c r="P67" s="258"/>
      <c r="Q67" s="258"/>
      <c r="R67" s="258"/>
      <c r="S67" s="258"/>
      <c r="T67" s="258"/>
      <c r="U67" s="258"/>
      <c r="V67" s="258"/>
      <c r="W67" s="258"/>
      <c r="X67" s="258"/>
      <c r="Y67" s="258"/>
      <c r="Z67" s="258"/>
    </row>
    <row r="68" ht="12.75" customHeight="1">
      <c r="A68" s="258"/>
      <c r="B68" s="258"/>
      <c r="C68" s="258"/>
      <c r="D68" s="258"/>
      <c r="E68" s="258"/>
      <c r="F68" s="314"/>
      <c r="G68" s="258"/>
      <c r="H68" s="258"/>
      <c r="I68" s="258"/>
      <c r="J68" s="258"/>
      <c r="K68" s="258"/>
      <c r="L68" s="258"/>
      <c r="M68" s="258"/>
      <c r="N68" s="258"/>
      <c r="O68" s="258"/>
      <c r="P68" s="258"/>
      <c r="Q68" s="258"/>
      <c r="R68" s="258"/>
      <c r="S68" s="258"/>
      <c r="T68" s="258"/>
      <c r="U68" s="258"/>
      <c r="V68" s="258"/>
      <c r="W68" s="258"/>
      <c r="X68" s="258"/>
      <c r="Y68" s="258"/>
      <c r="Z68" s="258"/>
    </row>
    <row r="69" ht="12.75" customHeight="1">
      <c r="A69" s="258"/>
      <c r="B69" s="258"/>
      <c r="C69" s="258"/>
      <c r="D69" s="258"/>
      <c r="E69" s="258"/>
      <c r="F69" s="314"/>
      <c r="G69" s="258"/>
      <c r="H69" s="258"/>
      <c r="I69" s="258"/>
      <c r="J69" s="258"/>
      <c r="K69" s="258"/>
      <c r="L69" s="258"/>
      <c r="M69" s="258"/>
      <c r="N69" s="258"/>
      <c r="O69" s="258"/>
      <c r="P69" s="258"/>
      <c r="Q69" s="258"/>
      <c r="R69" s="258"/>
      <c r="S69" s="258"/>
      <c r="T69" s="258"/>
      <c r="U69" s="258"/>
      <c r="V69" s="258"/>
      <c r="W69" s="258"/>
      <c r="X69" s="258"/>
      <c r="Y69" s="258"/>
      <c r="Z69" s="258"/>
    </row>
    <row r="70" ht="12.75" customHeight="1">
      <c r="A70" s="258"/>
      <c r="B70" s="258"/>
      <c r="C70" s="258"/>
      <c r="D70" s="258"/>
      <c r="E70" s="258"/>
      <c r="F70" s="314"/>
      <c r="G70" s="258"/>
      <c r="H70" s="258"/>
      <c r="I70" s="258"/>
      <c r="J70" s="258"/>
      <c r="K70" s="258"/>
      <c r="L70" s="258"/>
      <c r="M70" s="258"/>
      <c r="N70" s="258"/>
      <c r="O70" s="258"/>
      <c r="P70" s="258"/>
      <c r="Q70" s="258"/>
      <c r="R70" s="258"/>
      <c r="S70" s="258"/>
      <c r="T70" s="258"/>
      <c r="U70" s="258"/>
      <c r="V70" s="258"/>
      <c r="W70" s="258"/>
      <c r="X70" s="258"/>
      <c r="Y70" s="258"/>
      <c r="Z70" s="258"/>
    </row>
    <row r="71" ht="12.75" customHeight="1">
      <c r="A71" s="258"/>
      <c r="B71" s="258"/>
      <c r="C71" s="258"/>
      <c r="D71" s="258"/>
      <c r="E71" s="258"/>
      <c r="F71" s="314"/>
      <c r="G71" s="258"/>
      <c r="H71" s="258"/>
      <c r="I71" s="258"/>
      <c r="J71" s="258"/>
      <c r="K71" s="258"/>
      <c r="L71" s="258"/>
      <c r="M71" s="258"/>
      <c r="N71" s="258"/>
      <c r="O71" s="258"/>
      <c r="P71" s="258"/>
      <c r="Q71" s="258"/>
      <c r="R71" s="258"/>
      <c r="S71" s="258"/>
      <c r="T71" s="258"/>
      <c r="U71" s="258"/>
      <c r="V71" s="258"/>
      <c r="W71" s="258"/>
      <c r="X71" s="258"/>
      <c r="Y71" s="258"/>
      <c r="Z71" s="258"/>
    </row>
    <row r="72" ht="12.75" customHeight="1">
      <c r="A72" s="258"/>
      <c r="B72" s="258"/>
      <c r="C72" s="258"/>
      <c r="D72" s="258"/>
      <c r="E72" s="258"/>
      <c r="F72" s="314"/>
      <c r="G72" s="258"/>
      <c r="H72" s="258"/>
      <c r="I72" s="258"/>
      <c r="J72" s="258"/>
      <c r="K72" s="258"/>
      <c r="L72" s="258"/>
      <c r="M72" s="258"/>
      <c r="N72" s="258"/>
      <c r="O72" s="258"/>
      <c r="P72" s="258"/>
      <c r="Q72" s="258"/>
      <c r="R72" s="258"/>
      <c r="S72" s="258"/>
      <c r="T72" s="258"/>
      <c r="U72" s="258"/>
      <c r="V72" s="258"/>
      <c r="W72" s="258"/>
      <c r="X72" s="258"/>
      <c r="Y72" s="258"/>
      <c r="Z72" s="258"/>
    </row>
    <row r="73" ht="12.75" customHeight="1">
      <c r="A73" s="258"/>
      <c r="B73" s="258"/>
      <c r="C73" s="258"/>
      <c r="D73" s="258"/>
      <c r="E73" s="258"/>
      <c r="F73" s="314"/>
      <c r="G73" s="258"/>
      <c r="H73" s="258"/>
      <c r="I73" s="258"/>
      <c r="J73" s="258"/>
      <c r="K73" s="258"/>
      <c r="L73" s="258"/>
      <c r="M73" s="258"/>
      <c r="N73" s="258"/>
      <c r="O73" s="258"/>
      <c r="P73" s="258"/>
      <c r="Q73" s="258"/>
      <c r="R73" s="258"/>
      <c r="S73" s="258"/>
      <c r="T73" s="258"/>
      <c r="U73" s="258"/>
      <c r="V73" s="258"/>
      <c r="W73" s="258"/>
      <c r="X73" s="258"/>
      <c r="Y73" s="258"/>
      <c r="Z73" s="258"/>
    </row>
    <row r="74" ht="12.75" customHeight="1">
      <c r="A74" s="258"/>
      <c r="B74" s="258"/>
      <c r="C74" s="258"/>
      <c r="D74" s="258"/>
      <c r="E74" s="258"/>
      <c r="F74" s="314"/>
      <c r="G74" s="258"/>
      <c r="H74" s="258"/>
      <c r="I74" s="258"/>
      <c r="J74" s="258"/>
      <c r="K74" s="258"/>
      <c r="L74" s="258"/>
      <c r="M74" s="258"/>
      <c r="N74" s="258"/>
      <c r="O74" s="258"/>
      <c r="P74" s="258"/>
      <c r="Q74" s="258"/>
      <c r="R74" s="258"/>
      <c r="S74" s="258"/>
      <c r="T74" s="258"/>
      <c r="U74" s="258"/>
      <c r="V74" s="258"/>
      <c r="W74" s="258"/>
      <c r="X74" s="258"/>
      <c r="Y74" s="258"/>
      <c r="Z74" s="258"/>
    </row>
    <row r="75" ht="12.75" customHeight="1">
      <c r="A75" s="258"/>
      <c r="B75" s="258"/>
      <c r="C75" s="258"/>
      <c r="D75" s="258"/>
      <c r="E75" s="258"/>
      <c r="F75" s="314"/>
      <c r="G75" s="258"/>
      <c r="H75" s="258"/>
      <c r="I75" s="258"/>
      <c r="J75" s="258"/>
      <c r="K75" s="258"/>
      <c r="L75" s="258"/>
      <c r="M75" s="258"/>
      <c r="N75" s="258"/>
      <c r="O75" s="258"/>
      <c r="P75" s="258"/>
      <c r="Q75" s="258"/>
      <c r="R75" s="258"/>
      <c r="S75" s="258"/>
      <c r="T75" s="258"/>
      <c r="U75" s="258"/>
      <c r="V75" s="258"/>
      <c r="W75" s="258"/>
      <c r="X75" s="258"/>
      <c r="Y75" s="258"/>
      <c r="Z75" s="258"/>
    </row>
    <row r="76" ht="12.75" customHeight="1">
      <c r="A76" s="258"/>
      <c r="B76" s="258"/>
      <c r="C76" s="258"/>
      <c r="D76" s="258"/>
      <c r="E76" s="258"/>
      <c r="F76" s="314"/>
      <c r="G76" s="258"/>
      <c r="H76" s="258"/>
      <c r="I76" s="258"/>
      <c r="J76" s="258"/>
      <c r="K76" s="258"/>
      <c r="L76" s="258"/>
      <c r="M76" s="258"/>
      <c r="N76" s="258"/>
      <c r="O76" s="258"/>
      <c r="P76" s="258"/>
      <c r="Q76" s="258"/>
      <c r="R76" s="258"/>
      <c r="S76" s="258"/>
      <c r="T76" s="258"/>
      <c r="U76" s="258"/>
      <c r="V76" s="258"/>
      <c r="W76" s="258"/>
      <c r="X76" s="258"/>
      <c r="Y76" s="258"/>
      <c r="Z76" s="258"/>
    </row>
    <row r="77" ht="12.75" customHeight="1">
      <c r="A77" s="258"/>
      <c r="B77" s="258"/>
      <c r="C77" s="258"/>
      <c r="D77" s="258"/>
      <c r="E77" s="258"/>
      <c r="F77" s="314"/>
      <c r="G77" s="258"/>
      <c r="H77" s="258"/>
      <c r="I77" s="258"/>
      <c r="J77" s="258"/>
      <c r="K77" s="258"/>
      <c r="L77" s="258"/>
      <c r="M77" s="258"/>
      <c r="N77" s="258"/>
      <c r="O77" s="258"/>
      <c r="P77" s="258"/>
      <c r="Q77" s="258"/>
      <c r="R77" s="258"/>
      <c r="S77" s="258"/>
      <c r="T77" s="258"/>
      <c r="U77" s="258"/>
      <c r="V77" s="258"/>
      <c r="W77" s="258"/>
      <c r="X77" s="258"/>
      <c r="Y77" s="258"/>
      <c r="Z77" s="258"/>
    </row>
    <row r="78" ht="12.75" customHeight="1">
      <c r="A78" s="258"/>
      <c r="B78" s="258"/>
      <c r="C78" s="258"/>
      <c r="D78" s="258"/>
      <c r="E78" s="258"/>
      <c r="F78" s="314"/>
      <c r="G78" s="258"/>
      <c r="H78" s="258"/>
      <c r="I78" s="258"/>
      <c r="J78" s="258"/>
      <c r="K78" s="258"/>
      <c r="L78" s="258"/>
      <c r="M78" s="258"/>
      <c r="N78" s="258"/>
      <c r="O78" s="258"/>
      <c r="P78" s="258"/>
      <c r="Q78" s="258"/>
      <c r="R78" s="258"/>
      <c r="S78" s="258"/>
      <c r="T78" s="258"/>
      <c r="U78" s="258"/>
      <c r="V78" s="258"/>
      <c r="W78" s="258"/>
      <c r="X78" s="258"/>
      <c r="Y78" s="258"/>
      <c r="Z78" s="258"/>
    </row>
    <row r="79" ht="12.75" customHeight="1">
      <c r="A79" s="258"/>
      <c r="B79" s="258"/>
      <c r="C79" s="258"/>
      <c r="D79" s="258"/>
      <c r="E79" s="258"/>
      <c r="F79" s="314"/>
      <c r="G79" s="258"/>
      <c r="H79" s="258"/>
      <c r="I79" s="258"/>
      <c r="J79" s="258"/>
      <c r="K79" s="258"/>
      <c r="L79" s="258"/>
      <c r="M79" s="258"/>
      <c r="N79" s="258"/>
      <c r="O79" s="258"/>
      <c r="P79" s="258"/>
      <c r="Q79" s="258"/>
      <c r="R79" s="258"/>
      <c r="S79" s="258"/>
      <c r="T79" s="258"/>
      <c r="U79" s="258"/>
      <c r="V79" s="258"/>
      <c r="W79" s="258"/>
      <c r="X79" s="258"/>
      <c r="Y79" s="258"/>
      <c r="Z79" s="258"/>
    </row>
    <row r="80" ht="12.75" customHeight="1">
      <c r="A80" s="258"/>
      <c r="B80" s="258"/>
      <c r="C80" s="258"/>
      <c r="D80" s="258"/>
      <c r="E80" s="258"/>
      <c r="F80" s="314"/>
      <c r="G80" s="258"/>
      <c r="H80" s="258"/>
      <c r="I80" s="258"/>
      <c r="J80" s="258"/>
      <c r="K80" s="258"/>
      <c r="L80" s="258"/>
      <c r="M80" s="258"/>
      <c r="N80" s="258"/>
      <c r="O80" s="258"/>
      <c r="P80" s="258"/>
      <c r="Q80" s="258"/>
      <c r="R80" s="258"/>
      <c r="S80" s="258"/>
      <c r="T80" s="258"/>
      <c r="U80" s="258"/>
      <c r="V80" s="258"/>
      <c r="W80" s="258"/>
      <c r="X80" s="258"/>
      <c r="Y80" s="258"/>
      <c r="Z80" s="258"/>
    </row>
    <row r="81" ht="12.75" customHeight="1">
      <c r="A81" s="258"/>
      <c r="B81" s="258"/>
      <c r="C81" s="258"/>
      <c r="D81" s="258"/>
      <c r="E81" s="258"/>
      <c r="F81" s="314"/>
      <c r="G81" s="258"/>
      <c r="H81" s="258"/>
      <c r="I81" s="258"/>
      <c r="J81" s="258"/>
      <c r="K81" s="258"/>
      <c r="L81" s="258"/>
      <c r="M81" s="258"/>
      <c r="N81" s="258"/>
      <c r="O81" s="258"/>
      <c r="P81" s="258"/>
      <c r="Q81" s="258"/>
      <c r="R81" s="258"/>
      <c r="S81" s="258"/>
      <c r="T81" s="258"/>
      <c r="U81" s="258"/>
      <c r="V81" s="258"/>
      <c r="W81" s="258"/>
      <c r="X81" s="258"/>
      <c r="Y81" s="258"/>
      <c r="Z81" s="258"/>
    </row>
    <row r="82" ht="12.75" customHeight="1">
      <c r="A82" s="258"/>
      <c r="B82" s="258"/>
      <c r="C82" s="258"/>
      <c r="D82" s="258"/>
      <c r="E82" s="258"/>
      <c r="F82" s="314"/>
      <c r="G82" s="258"/>
      <c r="H82" s="258"/>
      <c r="I82" s="258"/>
      <c r="J82" s="258"/>
      <c r="K82" s="258"/>
      <c r="L82" s="258"/>
      <c r="M82" s="258"/>
      <c r="N82" s="258"/>
      <c r="O82" s="258"/>
      <c r="P82" s="258"/>
      <c r="Q82" s="258"/>
      <c r="R82" s="258"/>
      <c r="S82" s="258"/>
      <c r="T82" s="258"/>
      <c r="U82" s="258"/>
      <c r="V82" s="258"/>
      <c r="W82" s="258"/>
      <c r="X82" s="258"/>
      <c r="Y82" s="258"/>
      <c r="Z82" s="258"/>
    </row>
    <row r="83" ht="12.75" customHeight="1">
      <c r="A83" s="258"/>
      <c r="B83" s="258"/>
      <c r="C83" s="258"/>
      <c r="D83" s="258"/>
      <c r="E83" s="258"/>
      <c r="F83" s="314"/>
      <c r="G83" s="258"/>
      <c r="H83" s="258"/>
      <c r="I83" s="258"/>
      <c r="J83" s="258"/>
      <c r="K83" s="258"/>
      <c r="L83" s="258"/>
      <c r="M83" s="258"/>
      <c r="N83" s="258"/>
      <c r="O83" s="258"/>
      <c r="P83" s="258"/>
      <c r="Q83" s="258"/>
      <c r="R83" s="258"/>
      <c r="S83" s="258"/>
      <c r="T83" s="258"/>
      <c r="U83" s="258"/>
      <c r="V83" s="258"/>
      <c r="W83" s="258"/>
      <c r="X83" s="258"/>
      <c r="Y83" s="258"/>
      <c r="Z83" s="258"/>
    </row>
    <row r="84" ht="12.75" customHeight="1">
      <c r="A84" s="258"/>
      <c r="B84" s="258"/>
      <c r="C84" s="258"/>
      <c r="D84" s="258"/>
      <c r="E84" s="258"/>
      <c r="F84" s="314"/>
      <c r="G84" s="258"/>
      <c r="H84" s="258"/>
      <c r="I84" s="258"/>
      <c r="J84" s="258"/>
      <c r="K84" s="258"/>
      <c r="L84" s="258"/>
      <c r="M84" s="258"/>
      <c r="N84" s="258"/>
      <c r="O84" s="258"/>
      <c r="P84" s="258"/>
      <c r="Q84" s="258"/>
      <c r="R84" s="258"/>
      <c r="S84" s="258"/>
      <c r="T84" s="258"/>
      <c r="U84" s="258"/>
      <c r="V84" s="258"/>
      <c r="W84" s="258"/>
      <c r="X84" s="258"/>
      <c r="Y84" s="258"/>
      <c r="Z84" s="258"/>
    </row>
    <row r="85" ht="12.75" customHeight="1">
      <c r="A85" s="258"/>
      <c r="B85" s="258"/>
      <c r="C85" s="258"/>
      <c r="D85" s="258"/>
      <c r="E85" s="258"/>
      <c r="F85" s="314"/>
      <c r="G85" s="258"/>
      <c r="H85" s="258"/>
      <c r="I85" s="258"/>
      <c r="J85" s="258"/>
      <c r="K85" s="258"/>
      <c r="L85" s="258"/>
      <c r="M85" s="258"/>
      <c r="N85" s="258"/>
      <c r="O85" s="258"/>
      <c r="P85" s="258"/>
      <c r="Q85" s="258"/>
      <c r="R85" s="258"/>
      <c r="S85" s="258"/>
      <c r="T85" s="258"/>
      <c r="U85" s="258"/>
      <c r="V85" s="258"/>
      <c r="W85" s="258"/>
      <c r="X85" s="258"/>
      <c r="Y85" s="258"/>
      <c r="Z85" s="258"/>
    </row>
    <row r="86" ht="12.75" customHeight="1">
      <c r="A86" s="258"/>
      <c r="B86" s="258"/>
      <c r="C86" s="258"/>
      <c r="D86" s="258"/>
      <c r="E86" s="258"/>
      <c r="F86" s="314"/>
      <c r="G86" s="258"/>
      <c r="H86" s="258"/>
      <c r="I86" s="258"/>
      <c r="J86" s="258"/>
      <c r="K86" s="258"/>
      <c r="L86" s="258"/>
      <c r="M86" s="258"/>
      <c r="N86" s="258"/>
      <c r="O86" s="258"/>
      <c r="P86" s="258"/>
      <c r="Q86" s="258"/>
      <c r="R86" s="258"/>
      <c r="S86" s="258"/>
      <c r="T86" s="258"/>
      <c r="U86" s="258"/>
      <c r="V86" s="258"/>
      <c r="W86" s="258"/>
      <c r="X86" s="258"/>
      <c r="Y86" s="258"/>
      <c r="Z86" s="258"/>
    </row>
    <row r="87" ht="12.75" customHeight="1">
      <c r="A87" s="258"/>
      <c r="B87" s="258"/>
      <c r="C87" s="258"/>
      <c r="D87" s="258"/>
      <c r="E87" s="258"/>
      <c r="F87" s="314"/>
      <c r="G87" s="258"/>
      <c r="H87" s="258"/>
      <c r="I87" s="258"/>
      <c r="J87" s="258"/>
      <c r="K87" s="258"/>
      <c r="L87" s="258"/>
      <c r="M87" s="258"/>
      <c r="N87" s="258"/>
      <c r="O87" s="258"/>
      <c r="P87" s="258"/>
      <c r="Q87" s="258"/>
      <c r="R87" s="258"/>
      <c r="S87" s="258"/>
      <c r="T87" s="258"/>
      <c r="U87" s="258"/>
      <c r="V87" s="258"/>
      <c r="W87" s="258"/>
      <c r="X87" s="258"/>
      <c r="Y87" s="258"/>
      <c r="Z87" s="258"/>
    </row>
    <row r="88" ht="12.75" customHeight="1">
      <c r="A88" s="258"/>
      <c r="B88" s="258"/>
      <c r="C88" s="258"/>
      <c r="D88" s="258"/>
      <c r="E88" s="258"/>
      <c r="F88" s="314"/>
      <c r="G88" s="258"/>
      <c r="H88" s="258"/>
      <c r="I88" s="258"/>
      <c r="J88" s="258"/>
      <c r="K88" s="258"/>
      <c r="L88" s="258"/>
      <c r="M88" s="258"/>
      <c r="N88" s="258"/>
      <c r="O88" s="258"/>
      <c r="P88" s="258"/>
      <c r="Q88" s="258"/>
      <c r="R88" s="258"/>
      <c r="S88" s="258"/>
      <c r="T88" s="258"/>
      <c r="U88" s="258"/>
      <c r="V88" s="258"/>
      <c r="W88" s="258"/>
      <c r="X88" s="258"/>
      <c r="Y88" s="258"/>
      <c r="Z88" s="258"/>
    </row>
    <row r="89" ht="12.75" customHeight="1">
      <c r="A89" s="258"/>
      <c r="B89" s="258"/>
      <c r="C89" s="258"/>
      <c r="D89" s="258"/>
      <c r="E89" s="258"/>
      <c r="F89" s="314"/>
      <c r="G89" s="258"/>
      <c r="H89" s="258"/>
      <c r="I89" s="258"/>
      <c r="J89" s="258"/>
      <c r="K89" s="258"/>
      <c r="L89" s="258"/>
      <c r="M89" s="258"/>
      <c r="N89" s="258"/>
      <c r="O89" s="258"/>
      <c r="P89" s="258"/>
      <c r="Q89" s="258"/>
      <c r="R89" s="258"/>
      <c r="S89" s="258"/>
      <c r="T89" s="258"/>
      <c r="U89" s="258"/>
      <c r="V89" s="258"/>
      <c r="W89" s="258"/>
      <c r="X89" s="258"/>
      <c r="Y89" s="258"/>
      <c r="Z89" s="258"/>
    </row>
    <row r="90" ht="12.75" customHeight="1">
      <c r="A90" s="258"/>
      <c r="B90" s="258"/>
      <c r="C90" s="258"/>
      <c r="D90" s="258"/>
      <c r="E90" s="258"/>
      <c r="F90" s="314"/>
      <c r="G90" s="258"/>
      <c r="H90" s="258"/>
      <c r="I90" s="258"/>
      <c r="J90" s="258"/>
      <c r="K90" s="258"/>
      <c r="L90" s="258"/>
      <c r="M90" s="258"/>
      <c r="N90" s="258"/>
      <c r="O90" s="258"/>
      <c r="P90" s="258"/>
      <c r="Q90" s="258"/>
      <c r="R90" s="258"/>
      <c r="S90" s="258"/>
      <c r="T90" s="258"/>
      <c r="U90" s="258"/>
      <c r="V90" s="258"/>
      <c r="W90" s="258"/>
      <c r="X90" s="258"/>
      <c r="Y90" s="258"/>
      <c r="Z90" s="258"/>
    </row>
    <row r="91" ht="12.75" customHeight="1">
      <c r="A91" s="258"/>
      <c r="B91" s="258"/>
      <c r="C91" s="258"/>
      <c r="D91" s="258"/>
      <c r="E91" s="258"/>
      <c r="F91" s="314"/>
      <c r="G91" s="258"/>
      <c r="H91" s="258"/>
      <c r="I91" s="258"/>
      <c r="J91" s="258"/>
      <c r="K91" s="258"/>
      <c r="L91" s="258"/>
      <c r="M91" s="258"/>
      <c r="N91" s="258"/>
      <c r="O91" s="258"/>
      <c r="P91" s="258"/>
      <c r="Q91" s="258"/>
      <c r="R91" s="258"/>
      <c r="S91" s="258"/>
      <c r="T91" s="258"/>
      <c r="U91" s="258"/>
      <c r="V91" s="258"/>
      <c r="W91" s="258"/>
      <c r="X91" s="258"/>
      <c r="Y91" s="258"/>
      <c r="Z91" s="258"/>
    </row>
    <row r="92" ht="12.75" customHeight="1">
      <c r="A92" s="258"/>
      <c r="B92" s="258"/>
      <c r="C92" s="258"/>
      <c r="D92" s="258"/>
      <c r="E92" s="258"/>
      <c r="F92" s="314"/>
      <c r="G92" s="258"/>
      <c r="H92" s="258"/>
      <c r="I92" s="258"/>
      <c r="J92" s="258"/>
      <c r="K92" s="258"/>
      <c r="L92" s="258"/>
      <c r="M92" s="258"/>
      <c r="N92" s="258"/>
      <c r="O92" s="258"/>
      <c r="P92" s="258"/>
      <c r="Q92" s="258"/>
      <c r="R92" s="258"/>
      <c r="S92" s="258"/>
      <c r="T92" s="258"/>
      <c r="U92" s="258"/>
      <c r="V92" s="258"/>
      <c r="W92" s="258"/>
      <c r="X92" s="258"/>
      <c r="Y92" s="258"/>
      <c r="Z92" s="258"/>
    </row>
    <row r="93" ht="12.75" customHeight="1">
      <c r="A93" s="258"/>
      <c r="B93" s="258"/>
      <c r="C93" s="258"/>
      <c r="D93" s="258"/>
      <c r="E93" s="258"/>
      <c r="F93" s="314"/>
      <c r="G93" s="258"/>
      <c r="H93" s="258"/>
      <c r="I93" s="258"/>
      <c r="J93" s="258"/>
      <c r="K93" s="258"/>
      <c r="L93" s="258"/>
      <c r="M93" s="258"/>
      <c r="N93" s="258"/>
      <c r="O93" s="258"/>
      <c r="P93" s="258"/>
      <c r="Q93" s="258"/>
      <c r="R93" s="258"/>
      <c r="S93" s="258"/>
      <c r="T93" s="258"/>
      <c r="U93" s="258"/>
      <c r="V93" s="258"/>
      <c r="W93" s="258"/>
      <c r="X93" s="258"/>
      <c r="Y93" s="258"/>
      <c r="Z93" s="258"/>
    </row>
    <row r="94" ht="12.75" customHeight="1">
      <c r="A94" s="258"/>
      <c r="B94" s="258"/>
      <c r="C94" s="258"/>
      <c r="D94" s="258"/>
      <c r="E94" s="258"/>
      <c r="F94" s="314"/>
      <c r="G94" s="258"/>
      <c r="H94" s="258"/>
      <c r="I94" s="258"/>
      <c r="J94" s="258"/>
      <c r="K94" s="258"/>
      <c r="L94" s="258"/>
      <c r="M94" s="258"/>
      <c r="N94" s="258"/>
      <c r="O94" s="258"/>
      <c r="P94" s="258"/>
      <c r="Q94" s="258"/>
      <c r="R94" s="258"/>
      <c r="S94" s="258"/>
      <c r="T94" s="258"/>
      <c r="U94" s="258"/>
      <c r="V94" s="258"/>
      <c r="W94" s="258"/>
      <c r="X94" s="258"/>
      <c r="Y94" s="258"/>
      <c r="Z94" s="258"/>
    </row>
    <row r="95" ht="12.75" customHeight="1">
      <c r="A95" s="258"/>
      <c r="B95" s="258"/>
      <c r="C95" s="258"/>
      <c r="D95" s="258"/>
      <c r="E95" s="258"/>
      <c r="F95" s="314"/>
      <c r="G95" s="258"/>
      <c r="H95" s="258"/>
      <c r="I95" s="258"/>
      <c r="J95" s="258"/>
      <c r="K95" s="258"/>
      <c r="L95" s="258"/>
      <c r="M95" s="258"/>
      <c r="N95" s="258"/>
      <c r="O95" s="258"/>
      <c r="P95" s="258"/>
      <c r="Q95" s="258"/>
      <c r="R95" s="258"/>
      <c r="S95" s="258"/>
      <c r="T95" s="258"/>
      <c r="U95" s="258"/>
      <c r="V95" s="258"/>
      <c r="W95" s="258"/>
      <c r="X95" s="258"/>
      <c r="Y95" s="258"/>
      <c r="Z95" s="258"/>
    </row>
    <row r="96" ht="12.75" customHeight="1">
      <c r="A96" s="258"/>
      <c r="B96" s="258"/>
      <c r="C96" s="258"/>
      <c r="D96" s="258"/>
      <c r="E96" s="258"/>
      <c r="F96" s="314"/>
      <c r="G96" s="258"/>
      <c r="H96" s="258"/>
      <c r="I96" s="258"/>
      <c r="J96" s="258"/>
      <c r="K96" s="258"/>
      <c r="L96" s="258"/>
      <c r="M96" s="258"/>
      <c r="N96" s="258"/>
      <c r="O96" s="258"/>
      <c r="P96" s="258"/>
      <c r="Q96" s="258"/>
      <c r="R96" s="258"/>
      <c r="S96" s="258"/>
      <c r="T96" s="258"/>
      <c r="U96" s="258"/>
      <c r="V96" s="258"/>
      <c r="W96" s="258"/>
      <c r="X96" s="258"/>
      <c r="Y96" s="258"/>
      <c r="Z96" s="258"/>
    </row>
    <row r="97" ht="12.75" customHeight="1">
      <c r="A97" s="258"/>
      <c r="B97" s="258"/>
      <c r="C97" s="258"/>
      <c r="D97" s="258"/>
      <c r="E97" s="258"/>
      <c r="F97" s="314"/>
      <c r="G97" s="258"/>
      <c r="H97" s="258"/>
      <c r="I97" s="258"/>
      <c r="J97" s="258"/>
      <c r="K97" s="258"/>
      <c r="L97" s="258"/>
      <c r="M97" s="258"/>
      <c r="N97" s="258"/>
      <c r="O97" s="258"/>
      <c r="P97" s="258"/>
      <c r="Q97" s="258"/>
      <c r="R97" s="258"/>
      <c r="S97" s="258"/>
      <c r="T97" s="258"/>
      <c r="U97" s="258"/>
      <c r="V97" s="258"/>
      <c r="W97" s="258"/>
      <c r="X97" s="258"/>
      <c r="Y97" s="258"/>
      <c r="Z97" s="258"/>
    </row>
    <row r="98" ht="12.75" customHeight="1">
      <c r="A98" s="258"/>
      <c r="B98" s="258"/>
      <c r="C98" s="258"/>
      <c r="D98" s="258"/>
      <c r="E98" s="258"/>
      <c r="F98" s="314"/>
      <c r="G98" s="258"/>
      <c r="H98" s="258"/>
      <c r="I98" s="258"/>
      <c r="J98" s="258"/>
      <c r="K98" s="258"/>
      <c r="L98" s="258"/>
      <c r="M98" s="258"/>
      <c r="N98" s="258"/>
      <c r="O98" s="258"/>
      <c r="P98" s="258"/>
      <c r="Q98" s="258"/>
      <c r="R98" s="258"/>
      <c r="S98" s="258"/>
      <c r="T98" s="258"/>
      <c r="U98" s="258"/>
      <c r="V98" s="258"/>
      <c r="W98" s="258"/>
      <c r="X98" s="258"/>
      <c r="Y98" s="258"/>
      <c r="Z98" s="258"/>
    </row>
    <row r="99" ht="12.75" customHeight="1">
      <c r="A99" s="258"/>
      <c r="B99" s="258"/>
      <c r="C99" s="258"/>
      <c r="D99" s="258"/>
      <c r="E99" s="258"/>
      <c r="F99" s="314"/>
      <c r="G99" s="258"/>
      <c r="H99" s="258"/>
      <c r="I99" s="258"/>
      <c r="J99" s="258"/>
      <c r="K99" s="258"/>
      <c r="L99" s="258"/>
      <c r="M99" s="258"/>
      <c r="N99" s="258"/>
      <c r="O99" s="258"/>
      <c r="P99" s="258"/>
      <c r="Q99" s="258"/>
      <c r="R99" s="258"/>
      <c r="S99" s="258"/>
      <c r="T99" s="258"/>
      <c r="U99" s="258"/>
      <c r="V99" s="258"/>
      <c r="W99" s="258"/>
      <c r="X99" s="258"/>
      <c r="Y99" s="258"/>
      <c r="Z99" s="258"/>
    </row>
    <row r="100" ht="12.75" customHeight="1">
      <c r="A100" s="258"/>
      <c r="B100" s="258"/>
      <c r="C100" s="258"/>
      <c r="D100" s="258"/>
      <c r="E100" s="258"/>
      <c r="F100" s="314"/>
      <c r="G100" s="258"/>
      <c r="H100" s="258"/>
      <c r="I100" s="258"/>
      <c r="J100" s="258"/>
      <c r="K100" s="258"/>
      <c r="L100" s="258"/>
      <c r="M100" s="258"/>
      <c r="N100" s="258"/>
      <c r="O100" s="258"/>
      <c r="P100" s="258"/>
      <c r="Q100" s="258"/>
      <c r="R100" s="258"/>
      <c r="S100" s="258"/>
      <c r="T100" s="258"/>
      <c r="U100" s="258"/>
      <c r="V100" s="258"/>
      <c r="W100" s="258"/>
      <c r="X100" s="258"/>
      <c r="Y100" s="258"/>
      <c r="Z100" s="258"/>
    </row>
    <row r="101" ht="12.75" customHeight="1">
      <c r="A101" s="258"/>
      <c r="B101" s="258"/>
      <c r="C101" s="258"/>
      <c r="D101" s="258"/>
      <c r="E101" s="258"/>
      <c r="F101" s="314"/>
      <c r="G101" s="258"/>
      <c r="H101" s="258"/>
      <c r="I101" s="258"/>
      <c r="J101" s="258"/>
      <c r="K101" s="258"/>
      <c r="L101" s="258"/>
      <c r="M101" s="258"/>
      <c r="N101" s="258"/>
      <c r="O101" s="258"/>
      <c r="P101" s="258"/>
      <c r="Q101" s="258"/>
      <c r="R101" s="258"/>
      <c r="S101" s="258"/>
      <c r="T101" s="258"/>
      <c r="U101" s="258"/>
      <c r="V101" s="258"/>
      <c r="W101" s="258"/>
      <c r="X101" s="258"/>
      <c r="Y101" s="258"/>
      <c r="Z101" s="258"/>
    </row>
    <row r="102" ht="12.75" customHeight="1">
      <c r="A102" s="258"/>
      <c r="B102" s="258"/>
      <c r="C102" s="258"/>
      <c r="D102" s="258"/>
      <c r="E102" s="258"/>
      <c r="F102" s="314"/>
      <c r="G102" s="258"/>
      <c r="H102" s="258"/>
      <c r="I102" s="258"/>
      <c r="J102" s="258"/>
      <c r="K102" s="258"/>
      <c r="L102" s="258"/>
      <c r="M102" s="258"/>
      <c r="N102" s="258"/>
      <c r="O102" s="258"/>
      <c r="P102" s="258"/>
      <c r="Q102" s="258"/>
      <c r="R102" s="258"/>
      <c r="S102" s="258"/>
      <c r="T102" s="258"/>
      <c r="U102" s="258"/>
      <c r="V102" s="258"/>
      <c r="W102" s="258"/>
      <c r="X102" s="258"/>
      <c r="Y102" s="258"/>
      <c r="Z102" s="258"/>
    </row>
    <row r="103" ht="12.75" customHeight="1">
      <c r="A103" s="258"/>
      <c r="B103" s="258"/>
      <c r="C103" s="258"/>
      <c r="D103" s="258"/>
      <c r="E103" s="258"/>
      <c r="F103" s="314"/>
      <c r="G103" s="258"/>
      <c r="H103" s="258"/>
      <c r="I103" s="258"/>
      <c r="J103" s="258"/>
      <c r="K103" s="258"/>
      <c r="L103" s="258"/>
      <c r="M103" s="258"/>
      <c r="N103" s="258"/>
      <c r="O103" s="258"/>
      <c r="P103" s="258"/>
      <c r="Q103" s="258"/>
      <c r="R103" s="258"/>
      <c r="S103" s="258"/>
      <c r="T103" s="258"/>
      <c r="U103" s="258"/>
      <c r="V103" s="258"/>
      <c r="W103" s="258"/>
      <c r="X103" s="258"/>
      <c r="Y103" s="258"/>
      <c r="Z103" s="258"/>
    </row>
    <row r="104" ht="12.75" customHeight="1">
      <c r="A104" s="258"/>
      <c r="B104" s="258"/>
      <c r="C104" s="258"/>
      <c r="D104" s="258"/>
      <c r="E104" s="258"/>
      <c r="F104" s="314"/>
      <c r="G104" s="258"/>
      <c r="H104" s="258"/>
      <c r="I104" s="258"/>
      <c r="J104" s="258"/>
      <c r="K104" s="258"/>
      <c r="L104" s="258"/>
      <c r="M104" s="258"/>
      <c r="N104" s="258"/>
      <c r="O104" s="258"/>
      <c r="P104" s="258"/>
      <c r="Q104" s="258"/>
      <c r="R104" s="258"/>
      <c r="S104" s="258"/>
      <c r="T104" s="258"/>
      <c r="U104" s="258"/>
      <c r="V104" s="258"/>
      <c r="W104" s="258"/>
      <c r="X104" s="258"/>
      <c r="Y104" s="258"/>
      <c r="Z104" s="258"/>
    </row>
    <row r="105" ht="12.75" customHeight="1">
      <c r="A105" s="258"/>
      <c r="B105" s="258"/>
      <c r="C105" s="258"/>
      <c r="D105" s="258"/>
      <c r="E105" s="258"/>
      <c r="F105" s="314"/>
      <c r="G105" s="258"/>
      <c r="H105" s="258"/>
      <c r="I105" s="258"/>
      <c r="J105" s="258"/>
      <c r="K105" s="258"/>
      <c r="L105" s="258"/>
      <c r="M105" s="258"/>
      <c r="N105" s="258"/>
      <c r="O105" s="258"/>
      <c r="P105" s="258"/>
      <c r="Q105" s="258"/>
      <c r="R105" s="258"/>
      <c r="S105" s="258"/>
      <c r="T105" s="258"/>
      <c r="U105" s="258"/>
      <c r="V105" s="258"/>
      <c r="W105" s="258"/>
      <c r="X105" s="258"/>
      <c r="Y105" s="258"/>
      <c r="Z105" s="258"/>
    </row>
    <row r="106" ht="12.75" customHeight="1">
      <c r="A106" s="258"/>
      <c r="B106" s="258"/>
      <c r="C106" s="258"/>
      <c r="D106" s="258"/>
      <c r="E106" s="258"/>
      <c r="F106" s="314"/>
      <c r="G106" s="258"/>
      <c r="H106" s="258"/>
      <c r="I106" s="258"/>
      <c r="J106" s="258"/>
      <c r="K106" s="258"/>
      <c r="L106" s="258"/>
      <c r="M106" s="258"/>
      <c r="N106" s="258"/>
      <c r="O106" s="258"/>
      <c r="P106" s="258"/>
      <c r="Q106" s="258"/>
      <c r="R106" s="258"/>
      <c r="S106" s="258"/>
      <c r="T106" s="258"/>
      <c r="U106" s="258"/>
      <c r="V106" s="258"/>
      <c r="W106" s="258"/>
      <c r="X106" s="258"/>
      <c r="Y106" s="258"/>
      <c r="Z106" s="258"/>
    </row>
    <row r="107" ht="12.75" customHeight="1">
      <c r="A107" s="258"/>
      <c r="B107" s="258"/>
      <c r="C107" s="258"/>
      <c r="D107" s="258"/>
      <c r="E107" s="258"/>
      <c r="F107" s="314"/>
      <c r="G107" s="258"/>
      <c r="H107" s="258"/>
      <c r="I107" s="258"/>
      <c r="J107" s="258"/>
      <c r="K107" s="258"/>
      <c r="L107" s="258"/>
      <c r="M107" s="258"/>
      <c r="N107" s="258"/>
      <c r="O107" s="258"/>
      <c r="P107" s="258"/>
      <c r="Q107" s="258"/>
      <c r="R107" s="258"/>
      <c r="S107" s="258"/>
      <c r="T107" s="258"/>
      <c r="U107" s="258"/>
      <c r="V107" s="258"/>
      <c r="W107" s="258"/>
      <c r="X107" s="258"/>
      <c r="Y107" s="258"/>
      <c r="Z107" s="258"/>
    </row>
    <row r="108" ht="12.75" customHeight="1">
      <c r="A108" s="258"/>
      <c r="B108" s="258"/>
      <c r="C108" s="258"/>
      <c r="D108" s="258"/>
      <c r="E108" s="258"/>
      <c r="F108" s="314"/>
      <c r="G108" s="258"/>
      <c r="H108" s="258"/>
      <c r="I108" s="258"/>
      <c r="J108" s="258"/>
      <c r="K108" s="258"/>
      <c r="L108" s="258"/>
      <c r="M108" s="258"/>
      <c r="N108" s="258"/>
      <c r="O108" s="258"/>
      <c r="P108" s="258"/>
      <c r="Q108" s="258"/>
      <c r="R108" s="258"/>
      <c r="S108" s="258"/>
      <c r="T108" s="258"/>
      <c r="U108" s="258"/>
      <c r="V108" s="258"/>
      <c r="W108" s="258"/>
      <c r="X108" s="258"/>
      <c r="Y108" s="258"/>
      <c r="Z108" s="258"/>
    </row>
    <row r="109" ht="12.75" customHeight="1">
      <c r="A109" s="258"/>
      <c r="B109" s="258"/>
      <c r="C109" s="258"/>
      <c r="D109" s="258"/>
      <c r="E109" s="258"/>
      <c r="F109" s="314"/>
      <c r="G109" s="258"/>
      <c r="H109" s="258"/>
      <c r="I109" s="258"/>
      <c r="J109" s="258"/>
      <c r="K109" s="258"/>
      <c r="L109" s="258"/>
      <c r="M109" s="258"/>
      <c r="N109" s="258"/>
      <c r="O109" s="258"/>
      <c r="P109" s="258"/>
      <c r="Q109" s="258"/>
      <c r="R109" s="258"/>
      <c r="S109" s="258"/>
      <c r="T109" s="258"/>
      <c r="U109" s="258"/>
      <c r="V109" s="258"/>
      <c r="W109" s="258"/>
      <c r="X109" s="258"/>
      <c r="Y109" s="258"/>
      <c r="Z109" s="258"/>
    </row>
    <row r="110" ht="12.75" customHeight="1">
      <c r="A110" s="258"/>
      <c r="B110" s="258"/>
      <c r="C110" s="258"/>
      <c r="D110" s="258"/>
      <c r="E110" s="258"/>
      <c r="F110" s="314"/>
      <c r="G110" s="258"/>
      <c r="H110" s="258"/>
      <c r="I110" s="258"/>
      <c r="J110" s="258"/>
      <c r="K110" s="258"/>
      <c r="L110" s="258"/>
      <c r="M110" s="258"/>
      <c r="N110" s="258"/>
      <c r="O110" s="258"/>
      <c r="P110" s="258"/>
      <c r="Q110" s="258"/>
      <c r="R110" s="258"/>
      <c r="S110" s="258"/>
      <c r="T110" s="258"/>
      <c r="U110" s="258"/>
      <c r="V110" s="258"/>
      <c r="W110" s="258"/>
      <c r="X110" s="258"/>
      <c r="Y110" s="258"/>
      <c r="Z110" s="258"/>
    </row>
    <row r="111" ht="12.75" customHeight="1">
      <c r="A111" s="258"/>
      <c r="B111" s="258"/>
      <c r="C111" s="258"/>
      <c r="D111" s="258"/>
      <c r="E111" s="258"/>
      <c r="F111" s="314"/>
      <c r="G111" s="258"/>
      <c r="H111" s="258"/>
      <c r="I111" s="258"/>
      <c r="J111" s="258"/>
      <c r="K111" s="258"/>
      <c r="L111" s="258"/>
      <c r="M111" s="258"/>
      <c r="N111" s="258"/>
      <c r="O111" s="258"/>
      <c r="P111" s="258"/>
      <c r="Q111" s="258"/>
      <c r="R111" s="258"/>
      <c r="S111" s="258"/>
      <c r="T111" s="258"/>
      <c r="U111" s="258"/>
      <c r="V111" s="258"/>
      <c r="W111" s="258"/>
      <c r="X111" s="258"/>
      <c r="Y111" s="258"/>
      <c r="Z111" s="258"/>
    </row>
    <row r="112" ht="12.75" customHeight="1">
      <c r="A112" s="258"/>
      <c r="B112" s="258"/>
      <c r="C112" s="258"/>
      <c r="D112" s="258"/>
      <c r="E112" s="258"/>
      <c r="F112" s="314"/>
      <c r="G112" s="258"/>
      <c r="H112" s="258"/>
      <c r="I112" s="258"/>
      <c r="J112" s="258"/>
      <c r="K112" s="258"/>
      <c r="L112" s="258"/>
      <c r="M112" s="258"/>
      <c r="N112" s="258"/>
      <c r="O112" s="258"/>
      <c r="P112" s="258"/>
      <c r="Q112" s="258"/>
      <c r="R112" s="258"/>
      <c r="S112" s="258"/>
      <c r="T112" s="258"/>
      <c r="U112" s="258"/>
      <c r="V112" s="258"/>
      <c r="W112" s="258"/>
      <c r="X112" s="258"/>
      <c r="Y112" s="258"/>
      <c r="Z112" s="258"/>
    </row>
    <row r="113" ht="12.75" customHeight="1">
      <c r="A113" s="258"/>
      <c r="B113" s="258"/>
      <c r="C113" s="258"/>
      <c r="D113" s="258"/>
      <c r="E113" s="258"/>
      <c r="F113" s="314"/>
      <c r="G113" s="258"/>
      <c r="H113" s="258"/>
      <c r="I113" s="258"/>
      <c r="J113" s="258"/>
      <c r="K113" s="258"/>
      <c r="L113" s="258"/>
      <c r="M113" s="258"/>
      <c r="N113" s="258"/>
      <c r="O113" s="258"/>
      <c r="P113" s="258"/>
      <c r="Q113" s="258"/>
      <c r="R113" s="258"/>
      <c r="S113" s="258"/>
      <c r="T113" s="258"/>
      <c r="U113" s="258"/>
      <c r="V113" s="258"/>
      <c r="W113" s="258"/>
      <c r="X113" s="258"/>
      <c r="Y113" s="258"/>
      <c r="Z113" s="258"/>
    </row>
    <row r="114" ht="12.75" customHeight="1">
      <c r="A114" s="258"/>
      <c r="B114" s="258"/>
      <c r="C114" s="258"/>
      <c r="D114" s="258"/>
      <c r="E114" s="258"/>
      <c r="F114" s="314"/>
      <c r="G114" s="258"/>
      <c r="H114" s="258"/>
      <c r="I114" s="258"/>
      <c r="J114" s="258"/>
      <c r="K114" s="258"/>
      <c r="L114" s="258"/>
      <c r="M114" s="258"/>
      <c r="N114" s="258"/>
      <c r="O114" s="258"/>
      <c r="P114" s="258"/>
      <c r="Q114" s="258"/>
      <c r="R114" s="258"/>
      <c r="S114" s="258"/>
      <c r="T114" s="258"/>
      <c r="U114" s="258"/>
      <c r="V114" s="258"/>
      <c r="W114" s="258"/>
      <c r="X114" s="258"/>
      <c r="Y114" s="258"/>
      <c r="Z114" s="258"/>
    </row>
    <row r="115" ht="12.75" customHeight="1">
      <c r="A115" s="258"/>
      <c r="B115" s="258"/>
      <c r="C115" s="258"/>
      <c r="D115" s="258"/>
      <c r="E115" s="258"/>
      <c r="F115" s="314"/>
      <c r="G115" s="258"/>
      <c r="H115" s="258"/>
      <c r="I115" s="258"/>
      <c r="J115" s="258"/>
      <c r="K115" s="258"/>
      <c r="L115" s="258"/>
      <c r="M115" s="258"/>
      <c r="N115" s="258"/>
      <c r="O115" s="258"/>
      <c r="P115" s="258"/>
      <c r="Q115" s="258"/>
      <c r="R115" s="258"/>
      <c r="S115" s="258"/>
      <c r="T115" s="258"/>
      <c r="U115" s="258"/>
      <c r="V115" s="258"/>
      <c r="W115" s="258"/>
      <c r="X115" s="258"/>
      <c r="Y115" s="258"/>
      <c r="Z115" s="258"/>
    </row>
    <row r="116" ht="12.75" customHeight="1">
      <c r="A116" s="258"/>
      <c r="B116" s="258"/>
      <c r="C116" s="258"/>
      <c r="D116" s="258"/>
      <c r="E116" s="258"/>
      <c r="F116" s="314"/>
      <c r="G116" s="258"/>
      <c r="H116" s="258"/>
      <c r="I116" s="258"/>
      <c r="J116" s="258"/>
      <c r="K116" s="258"/>
      <c r="L116" s="258"/>
      <c r="M116" s="258"/>
      <c r="N116" s="258"/>
      <c r="O116" s="258"/>
      <c r="P116" s="258"/>
      <c r="Q116" s="258"/>
      <c r="R116" s="258"/>
      <c r="S116" s="258"/>
      <c r="T116" s="258"/>
      <c r="U116" s="258"/>
      <c r="V116" s="258"/>
      <c r="W116" s="258"/>
      <c r="X116" s="258"/>
      <c r="Y116" s="258"/>
      <c r="Z116" s="258"/>
    </row>
    <row r="117" ht="12.75" customHeight="1">
      <c r="A117" s="258"/>
      <c r="B117" s="258"/>
      <c r="C117" s="258"/>
      <c r="D117" s="258"/>
      <c r="E117" s="258"/>
      <c r="F117" s="314"/>
      <c r="G117" s="258"/>
      <c r="H117" s="258"/>
      <c r="I117" s="258"/>
      <c r="J117" s="258"/>
      <c r="K117" s="258"/>
      <c r="L117" s="258"/>
      <c r="M117" s="258"/>
      <c r="N117" s="258"/>
      <c r="O117" s="258"/>
      <c r="P117" s="258"/>
      <c r="Q117" s="258"/>
      <c r="R117" s="258"/>
      <c r="S117" s="258"/>
      <c r="T117" s="258"/>
      <c r="U117" s="258"/>
      <c r="V117" s="258"/>
      <c r="W117" s="258"/>
      <c r="X117" s="258"/>
      <c r="Y117" s="258"/>
      <c r="Z117" s="258"/>
    </row>
    <row r="118" ht="12.75" customHeight="1">
      <c r="A118" s="258"/>
      <c r="B118" s="258"/>
      <c r="C118" s="258"/>
      <c r="D118" s="258"/>
      <c r="E118" s="258"/>
      <c r="F118" s="314"/>
      <c r="G118" s="258"/>
      <c r="H118" s="258"/>
      <c r="I118" s="258"/>
      <c r="J118" s="258"/>
      <c r="K118" s="258"/>
      <c r="L118" s="258"/>
      <c r="M118" s="258"/>
      <c r="N118" s="258"/>
      <c r="O118" s="258"/>
      <c r="P118" s="258"/>
      <c r="Q118" s="258"/>
      <c r="R118" s="258"/>
      <c r="S118" s="258"/>
      <c r="T118" s="258"/>
      <c r="U118" s="258"/>
      <c r="V118" s="258"/>
      <c r="W118" s="258"/>
      <c r="X118" s="258"/>
      <c r="Y118" s="258"/>
      <c r="Z118" s="258"/>
    </row>
    <row r="119" ht="12.75" customHeight="1">
      <c r="A119" s="258"/>
      <c r="B119" s="258"/>
      <c r="C119" s="258"/>
      <c r="D119" s="258"/>
      <c r="E119" s="258"/>
      <c r="F119" s="314"/>
      <c r="G119" s="258"/>
      <c r="H119" s="258"/>
      <c r="I119" s="258"/>
      <c r="J119" s="258"/>
      <c r="K119" s="258"/>
      <c r="L119" s="258"/>
      <c r="M119" s="258"/>
      <c r="N119" s="258"/>
      <c r="O119" s="258"/>
      <c r="P119" s="258"/>
      <c r="Q119" s="258"/>
      <c r="R119" s="258"/>
      <c r="S119" s="258"/>
      <c r="T119" s="258"/>
      <c r="U119" s="258"/>
      <c r="V119" s="258"/>
      <c r="W119" s="258"/>
      <c r="X119" s="258"/>
      <c r="Y119" s="258"/>
      <c r="Z119" s="258"/>
    </row>
    <row r="120" ht="12.75" customHeight="1">
      <c r="A120" s="258"/>
      <c r="B120" s="258"/>
      <c r="C120" s="258"/>
      <c r="D120" s="258"/>
      <c r="E120" s="258"/>
      <c r="F120" s="314"/>
      <c r="G120" s="258"/>
      <c r="H120" s="258"/>
      <c r="I120" s="258"/>
      <c r="J120" s="258"/>
      <c r="K120" s="258"/>
      <c r="L120" s="258"/>
      <c r="M120" s="258"/>
      <c r="N120" s="258"/>
      <c r="O120" s="258"/>
      <c r="P120" s="258"/>
      <c r="Q120" s="258"/>
      <c r="R120" s="258"/>
      <c r="S120" s="258"/>
      <c r="T120" s="258"/>
      <c r="U120" s="258"/>
      <c r="V120" s="258"/>
      <c r="W120" s="258"/>
      <c r="X120" s="258"/>
      <c r="Y120" s="258"/>
      <c r="Z120" s="258"/>
    </row>
    <row r="121" ht="12.75" customHeight="1">
      <c r="A121" s="258"/>
      <c r="B121" s="258"/>
      <c r="C121" s="258"/>
      <c r="D121" s="258"/>
      <c r="E121" s="258"/>
      <c r="F121" s="314"/>
      <c r="G121" s="258"/>
      <c r="H121" s="258"/>
      <c r="I121" s="258"/>
      <c r="J121" s="258"/>
      <c r="K121" s="258"/>
      <c r="L121" s="258"/>
      <c r="M121" s="258"/>
      <c r="N121" s="258"/>
      <c r="O121" s="258"/>
      <c r="P121" s="258"/>
      <c r="Q121" s="258"/>
      <c r="R121" s="258"/>
      <c r="S121" s="258"/>
      <c r="T121" s="258"/>
      <c r="U121" s="258"/>
      <c r="V121" s="258"/>
      <c r="W121" s="258"/>
      <c r="X121" s="258"/>
      <c r="Y121" s="258"/>
      <c r="Z121" s="258"/>
    </row>
    <row r="122" ht="12.75" customHeight="1">
      <c r="A122" s="258"/>
      <c r="B122" s="258"/>
      <c r="C122" s="258"/>
      <c r="D122" s="258"/>
      <c r="E122" s="258"/>
      <c r="F122" s="314"/>
      <c r="G122" s="258"/>
      <c r="H122" s="258"/>
      <c r="I122" s="258"/>
      <c r="J122" s="258"/>
      <c r="K122" s="258"/>
      <c r="L122" s="258"/>
      <c r="M122" s="258"/>
      <c r="N122" s="258"/>
      <c r="O122" s="258"/>
      <c r="P122" s="258"/>
      <c r="Q122" s="258"/>
      <c r="R122" s="258"/>
      <c r="S122" s="258"/>
      <c r="T122" s="258"/>
      <c r="U122" s="258"/>
      <c r="V122" s="258"/>
      <c r="W122" s="258"/>
      <c r="X122" s="258"/>
      <c r="Y122" s="258"/>
      <c r="Z122" s="258"/>
    </row>
    <row r="123" ht="12.75" customHeight="1">
      <c r="A123" s="258"/>
      <c r="B123" s="258"/>
      <c r="C123" s="258"/>
      <c r="D123" s="258"/>
      <c r="E123" s="258"/>
      <c r="F123" s="314"/>
      <c r="G123" s="258"/>
      <c r="H123" s="258"/>
      <c r="I123" s="258"/>
      <c r="J123" s="258"/>
      <c r="K123" s="258"/>
      <c r="L123" s="258"/>
      <c r="M123" s="258"/>
      <c r="N123" s="258"/>
      <c r="O123" s="258"/>
      <c r="P123" s="258"/>
      <c r="Q123" s="258"/>
      <c r="R123" s="258"/>
      <c r="S123" s="258"/>
      <c r="T123" s="258"/>
      <c r="U123" s="258"/>
      <c r="V123" s="258"/>
      <c r="W123" s="258"/>
      <c r="X123" s="258"/>
      <c r="Y123" s="258"/>
      <c r="Z123" s="258"/>
    </row>
    <row r="124" ht="12.75" customHeight="1">
      <c r="A124" s="258"/>
      <c r="B124" s="258"/>
      <c r="C124" s="258"/>
      <c r="D124" s="258"/>
      <c r="E124" s="258"/>
      <c r="F124" s="314"/>
      <c r="G124" s="258"/>
      <c r="H124" s="258"/>
      <c r="I124" s="258"/>
      <c r="J124" s="258"/>
      <c r="K124" s="258"/>
      <c r="L124" s="258"/>
      <c r="M124" s="258"/>
      <c r="N124" s="258"/>
      <c r="O124" s="258"/>
      <c r="P124" s="258"/>
      <c r="Q124" s="258"/>
      <c r="R124" s="258"/>
      <c r="S124" s="258"/>
      <c r="T124" s="258"/>
      <c r="U124" s="258"/>
      <c r="V124" s="258"/>
      <c r="W124" s="258"/>
      <c r="X124" s="258"/>
      <c r="Y124" s="258"/>
      <c r="Z124" s="258"/>
    </row>
    <row r="125" ht="12.75" customHeight="1">
      <c r="A125" s="258"/>
      <c r="B125" s="258"/>
      <c r="C125" s="258"/>
      <c r="D125" s="258"/>
      <c r="E125" s="258"/>
      <c r="F125" s="314"/>
      <c r="G125" s="258"/>
      <c r="H125" s="258"/>
      <c r="I125" s="258"/>
      <c r="J125" s="258"/>
      <c r="K125" s="258"/>
      <c r="L125" s="258"/>
      <c r="M125" s="258"/>
      <c r="N125" s="258"/>
      <c r="O125" s="258"/>
      <c r="P125" s="258"/>
      <c r="Q125" s="258"/>
      <c r="R125" s="258"/>
      <c r="S125" s="258"/>
      <c r="T125" s="258"/>
      <c r="U125" s="258"/>
      <c r="V125" s="258"/>
      <c r="W125" s="258"/>
      <c r="X125" s="258"/>
      <c r="Y125" s="258"/>
      <c r="Z125" s="258"/>
    </row>
    <row r="126" ht="12.75" customHeight="1">
      <c r="A126" s="258"/>
      <c r="B126" s="258"/>
      <c r="C126" s="258"/>
      <c r="D126" s="258"/>
      <c r="E126" s="258"/>
      <c r="F126" s="314"/>
      <c r="G126" s="258"/>
      <c r="H126" s="258"/>
      <c r="I126" s="258"/>
      <c r="J126" s="258"/>
      <c r="K126" s="258"/>
      <c r="L126" s="258"/>
      <c r="M126" s="258"/>
      <c r="N126" s="258"/>
      <c r="O126" s="258"/>
      <c r="P126" s="258"/>
      <c r="Q126" s="258"/>
      <c r="R126" s="258"/>
      <c r="S126" s="258"/>
      <c r="T126" s="258"/>
      <c r="U126" s="258"/>
      <c r="V126" s="258"/>
      <c r="W126" s="258"/>
      <c r="X126" s="258"/>
      <c r="Y126" s="258"/>
      <c r="Z126" s="258"/>
    </row>
    <row r="127" ht="12.75" customHeight="1">
      <c r="A127" s="258"/>
      <c r="B127" s="258"/>
      <c r="C127" s="258"/>
      <c r="D127" s="258"/>
      <c r="E127" s="258"/>
      <c r="F127" s="314"/>
      <c r="G127" s="258"/>
      <c r="H127" s="258"/>
      <c r="I127" s="258"/>
      <c r="J127" s="258"/>
      <c r="K127" s="258"/>
      <c r="L127" s="258"/>
      <c r="M127" s="258"/>
      <c r="N127" s="258"/>
      <c r="O127" s="258"/>
      <c r="P127" s="258"/>
      <c r="Q127" s="258"/>
      <c r="R127" s="258"/>
      <c r="S127" s="258"/>
      <c r="T127" s="258"/>
      <c r="U127" s="258"/>
      <c r="V127" s="258"/>
      <c r="W127" s="258"/>
      <c r="X127" s="258"/>
      <c r="Y127" s="258"/>
      <c r="Z127" s="258"/>
    </row>
    <row r="128" ht="12.75" customHeight="1">
      <c r="A128" s="258"/>
      <c r="B128" s="258"/>
      <c r="C128" s="258"/>
      <c r="D128" s="258"/>
      <c r="E128" s="258"/>
      <c r="F128" s="314"/>
      <c r="G128" s="258"/>
      <c r="H128" s="258"/>
      <c r="I128" s="258"/>
      <c r="J128" s="258"/>
      <c r="K128" s="258"/>
      <c r="L128" s="258"/>
      <c r="M128" s="258"/>
      <c r="N128" s="258"/>
      <c r="O128" s="258"/>
      <c r="P128" s="258"/>
      <c r="Q128" s="258"/>
      <c r="R128" s="258"/>
      <c r="S128" s="258"/>
      <c r="T128" s="258"/>
      <c r="U128" s="258"/>
      <c r="V128" s="258"/>
      <c r="W128" s="258"/>
      <c r="X128" s="258"/>
      <c r="Y128" s="258"/>
      <c r="Z128" s="258"/>
    </row>
    <row r="129" ht="12.75" customHeight="1">
      <c r="A129" s="258"/>
      <c r="B129" s="258"/>
      <c r="C129" s="258"/>
      <c r="D129" s="258"/>
      <c r="E129" s="258"/>
      <c r="F129" s="314"/>
      <c r="G129" s="258"/>
      <c r="H129" s="258"/>
      <c r="I129" s="258"/>
      <c r="J129" s="258"/>
      <c r="K129" s="258"/>
      <c r="L129" s="258"/>
      <c r="M129" s="258"/>
      <c r="N129" s="258"/>
      <c r="O129" s="258"/>
      <c r="P129" s="258"/>
      <c r="Q129" s="258"/>
      <c r="R129" s="258"/>
      <c r="S129" s="258"/>
      <c r="T129" s="258"/>
      <c r="U129" s="258"/>
      <c r="V129" s="258"/>
      <c r="W129" s="258"/>
      <c r="X129" s="258"/>
      <c r="Y129" s="258"/>
      <c r="Z129" s="258"/>
    </row>
    <row r="130" ht="12.75" customHeight="1">
      <c r="A130" s="258"/>
      <c r="B130" s="258"/>
      <c r="C130" s="258"/>
      <c r="D130" s="258"/>
      <c r="E130" s="258"/>
      <c r="F130" s="314"/>
      <c r="G130" s="258"/>
      <c r="H130" s="258"/>
      <c r="I130" s="258"/>
      <c r="J130" s="258"/>
      <c r="K130" s="258"/>
      <c r="L130" s="258"/>
      <c r="M130" s="258"/>
      <c r="N130" s="258"/>
      <c r="O130" s="258"/>
      <c r="P130" s="258"/>
      <c r="Q130" s="258"/>
      <c r="R130" s="258"/>
      <c r="S130" s="258"/>
      <c r="T130" s="258"/>
      <c r="U130" s="258"/>
      <c r="V130" s="258"/>
      <c r="W130" s="258"/>
      <c r="X130" s="258"/>
      <c r="Y130" s="258"/>
      <c r="Z130" s="258"/>
    </row>
    <row r="131" ht="12.75" customHeight="1">
      <c r="A131" s="258"/>
      <c r="B131" s="258"/>
      <c r="C131" s="258"/>
      <c r="D131" s="258"/>
      <c r="E131" s="258"/>
      <c r="F131" s="314"/>
      <c r="G131" s="258"/>
      <c r="H131" s="258"/>
      <c r="I131" s="258"/>
      <c r="J131" s="258"/>
      <c r="K131" s="258"/>
      <c r="L131" s="258"/>
      <c r="M131" s="258"/>
      <c r="N131" s="258"/>
      <c r="O131" s="258"/>
      <c r="P131" s="258"/>
      <c r="Q131" s="258"/>
      <c r="R131" s="258"/>
      <c r="S131" s="258"/>
      <c r="T131" s="258"/>
      <c r="U131" s="258"/>
      <c r="V131" s="258"/>
      <c r="W131" s="258"/>
      <c r="X131" s="258"/>
      <c r="Y131" s="258"/>
      <c r="Z131" s="258"/>
    </row>
    <row r="132" ht="12.75" customHeight="1">
      <c r="A132" s="258"/>
      <c r="B132" s="258"/>
      <c r="C132" s="258"/>
      <c r="D132" s="258"/>
      <c r="E132" s="258"/>
      <c r="F132" s="314"/>
      <c r="G132" s="258"/>
      <c r="H132" s="258"/>
      <c r="I132" s="258"/>
      <c r="J132" s="258"/>
      <c r="K132" s="258"/>
      <c r="L132" s="258"/>
      <c r="M132" s="258"/>
      <c r="N132" s="258"/>
      <c r="O132" s="258"/>
      <c r="P132" s="258"/>
      <c r="Q132" s="258"/>
      <c r="R132" s="258"/>
      <c r="S132" s="258"/>
      <c r="T132" s="258"/>
      <c r="U132" s="258"/>
      <c r="V132" s="258"/>
      <c r="W132" s="258"/>
      <c r="X132" s="258"/>
      <c r="Y132" s="258"/>
      <c r="Z132" s="258"/>
    </row>
    <row r="133" ht="12.75" customHeight="1">
      <c r="A133" s="258"/>
      <c r="B133" s="258"/>
      <c r="C133" s="258"/>
      <c r="D133" s="258"/>
      <c r="E133" s="258"/>
      <c r="F133" s="314"/>
      <c r="G133" s="258"/>
      <c r="H133" s="258"/>
      <c r="I133" s="258"/>
      <c r="J133" s="258"/>
      <c r="K133" s="258"/>
      <c r="L133" s="258"/>
      <c r="M133" s="258"/>
      <c r="N133" s="258"/>
      <c r="O133" s="258"/>
      <c r="P133" s="258"/>
      <c r="Q133" s="258"/>
      <c r="R133" s="258"/>
      <c r="S133" s="258"/>
      <c r="T133" s="258"/>
      <c r="U133" s="258"/>
      <c r="V133" s="258"/>
      <c r="W133" s="258"/>
      <c r="X133" s="258"/>
      <c r="Y133" s="258"/>
      <c r="Z133" s="258"/>
    </row>
    <row r="134" ht="12.75" customHeight="1">
      <c r="A134" s="258"/>
      <c r="B134" s="258"/>
      <c r="C134" s="258"/>
      <c r="D134" s="258"/>
      <c r="E134" s="258"/>
      <c r="F134" s="314"/>
      <c r="G134" s="258"/>
      <c r="H134" s="258"/>
      <c r="I134" s="258"/>
      <c r="J134" s="258"/>
      <c r="K134" s="258"/>
      <c r="L134" s="258"/>
      <c r="M134" s="258"/>
      <c r="N134" s="258"/>
      <c r="O134" s="258"/>
      <c r="P134" s="258"/>
      <c r="Q134" s="258"/>
      <c r="R134" s="258"/>
      <c r="S134" s="258"/>
      <c r="T134" s="258"/>
      <c r="U134" s="258"/>
      <c r="V134" s="258"/>
      <c r="W134" s="258"/>
      <c r="X134" s="258"/>
      <c r="Y134" s="258"/>
      <c r="Z134" s="258"/>
    </row>
    <row r="135" ht="12.75" customHeight="1">
      <c r="A135" s="258"/>
      <c r="B135" s="258"/>
      <c r="C135" s="258"/>
      <c r="D135" s="258"/>
      <c r="E135" s="258"/>
      <c r="F135" s="314"/>
      <c r="G135" s="258"/>
      <c r="H135" s="258"/>
      <c r="I135" s="258"/>
      <c r="J135" s="258"/>
      <c r="K135" s="258"/>
      <c r="L135" s="258"/>
      <c r="M135" s="258"/>
      <c r="N135" s="258"/>
      <c r="O135" s="258"/>
      <c r="P135" s="258"/>
      <c r="Q135" s="258"/>
      <c r="R135" s="258"/>
      <c r="S135" s="258"/>
      <c r="T135" s="258"/>
      <c r="U135" s="258"/>
      <c r="V135" s="258"/>
      <c r="W135" s="258"/>
      <c r="X135" s="258"/>
      <c r="Y135" s="258"/>
      <c r="Z135" s="258"/>
    </row>
    <row r="136" ht="12.75" customHeight="1">
      <c r="A136" s="258"/>
      <c r="B136" s="258"/>
      <c r="C136" s="258"/>
      <c r="D136" s="258"/>
      <c r="E136" s="258"/>
      <c r="F136" s="314"/>
      <c r="G136" s="258"/>
      <c r="H136" s="258"/>
      <c r="I136" s="258"/>
      <c r="J136" s="258"/>
      <c r="K136" s="258"/>
      <c r="L136" s="258"/>
      <c r="M136" s="258"/>
      <c r="N136" s="258"/>
      <c r="O136" s="258"/>
      <c r="P136" s="258"/>
      <c r="Q136" s="258"/>
      <c r="R136" s="258"/>
      <c r="S136" s="258"/>
      <c r="T136" s="258"/>
      <c r="U136" s="258"/>
      <c r="V136" s="258"/>
      <c r="W136" s="258"/>
      <c r="X136" s="258"/>
      <c r="Y136" s="258"/>
      <c r="Z136" s="258"/>
    </row>
    <row r="137" ht="12.75" customHeight="1">
      <c r="A137" s="258"/>
      <c r="B137" s="258"/>
      <c r="C137" s="258"/>
      <c r="D137" s="258"/>
      <c r="E137" s="258"/>
      <c r="F137" s="314"/>
      <c r="G137" s="258"/>
      <c r="H137" s="258"/>
      <c r="I137" s="258"/>
      <c r="J137" s="258"/>
      <c r="K137" s="258"/>
      <c r="L137" s="258"/>
      <c r="M137" s="258"/>
      <c r="N137" s="258"/>
      <c r="O137" s="258"/>
      <c r="P137" s="258"/>
      <c r="Q137" s="258"/>
      <c r="R137" s="258"/>
      <c r="S137" s="258"/>
      <c r="T137" s="258"/>
      <c r="U137" s="258"/>
      <c r="V137" s="258"/>
      <c r="W137" s="258"/>
      <c r="X137" s="258"/>
      <c r="Y137" s="258"/>
      <c r="Z137" s="258"/>
    </row>
    <row r="138" ht="12.75" customHeight="1">
      <c r="A138" s="258"/>
      <c r="B138" s="258"/>
      <c r="C138" s="258"/>
      <c r="D138" s="258"/>
      <c r="E138" s="258"/>
      <c r="F138" s="314"/>
      <c r="G138" s="258"/>
      <c r="H138" s="258"/>
      <c r="I138" s="258"/>
      <c r="J138" s="258"/>
      <c r="K138" s="258"/>
      <c r="L138" s="258"/>
      <c r="M138" s="258"/>
      <c r="N138" s="258"/>
      <c r="O138" s="258"/>
      <c r="P138" s="258"/>
      <c r="Q138" s="258"/>
      <c r="R138" s="258"/>
      <c r="S138" s="258"/>
      <c r="T138" s="258"/>
      <c r="U138" s="258"/>
      <c r="V138" s="258"/>
      <c r="W138" s="258"/>
      <c r="X138" s="258"/>
      <c r="Y138" s="258"/>
      <c r="Z138" s="258"/>
    </row>
    <row r="139" ht="12.75" customHeight="1">
      <c r="A139" s="258"/>
      <c r="B139" s="258"/>
      <c r="C139" s="258"/>
      <c r="D139" s="258"/>
      <c r="E139" s="258"/>
      <c r="F139" s="314"/>
      <c r="G139" s="258"/>
      <c r="H139" s="258"/>
      <c r="I139" s="258"/>
      <c r="J139" s="258"/>
      <c r="K139" s="258"/>
      <c r="L139" s="258"/>
      <c r="M139" s="258"/>
      <c r="N139" s="258"/>
      <c r="O139" s="258"/>
      <c r="P139" s="258"/>
      <c r="Q139" s="258"/>
      <c r="R139" s="258"/>
      <c r="S139" s="258"/>
      <c r="T139" s="258"/>
      <c r="U139" s="258"/>
      <c r="V139" s="258"/>
      <c r="W139" s="258"/>
      <c r="X139" s="258"/>
      <c r="Y139" s="258"/>
      <c r="Z139" s="258"/>
    </row>
    <row r="140" ht="12.75" customHeight="1">
      <c r="A140" s="258"/>
      <c r="B140" s="258"/>
      <c r="C140" s="258"/>
      <c r="D140" s="258"/>
      <c r="E140" s="258"/>
      <c r="F140" s="314"/>
      <c r="G140" s="258"/>
      <c r="H140" s="258"/>
      <c r="I140" s="258"/>
      <c r="J140" s="258"/>
      <c r="K140" s="258"/>
      <c r="L140" s="258"/>
      <c r="M140" s="258"/>
      <c r="N140" s="258"/>
      <c r="O140" s="258"/>
      <c r="P140" s="258"/>
      <c r="Q140" s="258"/>
      <c r="R140" s="258"/>
      <c r="S140" s="258"/>
      <c r="T140" s="258"/>
      <c r="U140" s="258"/>
      <c r="V140" s="258"/>
      <c r="W140" s="258"/>
      <c r="X140" s="258"/>
      <c r="Y140" s="258"/>
      <c r="Z140" s="258"/>
    </row>
    <row r="141" ht="12.75" customHeight="1">
      <c r="A141" s="258"/>
      <c r="B141" s="258"/>
      <c r="C141" s="258"/>
      <c r="D141" s="258"/>
      <c r="E141" s="258"/>
      <c r="F141" s="314"/>
      <c r="G141" s="258"/>
      <c r="H141" s="258"/>
      <c r="I141" s="258"/>
      <c r="J141" s="258"/>
      <c r="K141" s="258"/>
      <c r="L141" s="258"/>
      <c r="M141" s="258"/>
      <c r="N141" s="258"/>
      <c r="O141" s="258"/>
      <c r="P141" s="258"/>
      <c r="Q141" s="258"/>
      <c r="R141" s="258"/>
      <c r="S141" s="258"/>
      <c r="T141" s="258"/>
      <c r="U141" s="258"/>
      <c r="V141" s="258"/>
      <c r="W141" s="258"/>
      <c r="X141" s="258"/>
      <c r="Y141" s="258"/>
      <c r="Z141" s="258"/>
    </row>
    <row r="142" ht="12.75" customHeight="1">
      <c r="A142" s="258"/>
      <c r="B142" s="258"/>
      <c r="C142" s="258"/>
      <c r="D142" s="258"/>
      <c r="E142" s="258"/>
      <c r="F142" s="314"/>
      <c r="G142" s="258"/>
      <c r="H142" s="258"/>
      <c r="I142" s="258"/>
      <c r="J142" s="258"/>
      <c r="K142" s="258"/>
      <c r="L142" s="258"/>
      <c r="M142" s="258"/>
      <c r="N142" s="258"/>
      <c r="O142" s="258"/>
      <c r="P142" s="258"/>
      <c r="Q142" s="258"/>
      <c r="R142" s="258"/>
      <c r="S142" s="258"/>
      <c r="T142" s="258"/>
      <c r="U142" s="258"/>
      <c r="V142" s="258"/>
      <c r="W142" s="258"/>
      <c r="X142" s="258"/>
      <c r="Y142" s="258"/>
      <c r="Z142" s="258"/>
    </row>
    <row r="143" ht="12.75" customHeight="1">
      <c r="A143" s="258"/>
      <c r="B143" s="258"/>
      <c r="C143" s="258"/>
      <c r="D143" s="258"/>
      <c r="E143" s="258"/>
      <c r="F143" s="314"/>
      <c r="G143" s="258"/>
      <c r="H143" s="258"/>
      <c r="I143" s="258"/>
      <c r="J143" s="258"/>
      <c r="K143" s="258"/>
      <c r="L143" s="258"/>
      <c r="M143" s="258"/>
      <c r="N143" s="258"/>
      <c r="O143" s="258"/>
      <c r="P143" s="258"/>
      <c r="Q143" s="258"/>
      <c r="R143" s="258"/>
      <c r="S143" s="258"/>
      <c r="T143" s="258"/>
      <c r="U143" s="258"/>
      <c r="V143" s="258"/>
      <c r="W143" s="258"/>
      <c r="X143" s="258"/>
      <c r="Y143" s="258"/>
      <c r="Z143" s="258"/>
    </row>
    <row r="144" ht="12.75" customHeight="1">
      <c r="A144" s="258"/>
      <c r="B144" s="258"/>
      <c r="C144" s="258"/>
      <c r="D144" s="258"/>
      <c r="E144" s="258"/>
      <c r="F144" s="314"/>
      <c r="G144" s="258"/>
      <c r="H144" s="258"/>
      <c r="I144" s="258"/>
      <c r="J144" s="258"/>
      <c r="K144" s="258"/>
      <c r="L144" s="258"/>
      <c r="M144" s="258"/>
      <c r="N144" s="258"/>
      <c r="O144" s="258"/>
      <c r="P144" s="258"/>
      <c r="Q144" s="258"/>
      <c r="R144" s="258"/>
      <c r="S144" s="258"/>
      <c r="T144" s="258"/>
      <c r="U144" s="258"/>
      <c r="V144" s="258"/>
      <c r="W144" s="258"/>
      <c r="X144" s="258"/>
      <c r="Y144" s="258"/>
      <c r="Z144" s="258"/>
    </row>
    <row r="145" ht="12.75" customHeight="1">
      <c r="A145" s="258"/>
      <c r="B145" s="258"/>
      <c r="C145" s="258"/>
      <c r="D145" s="258"/>
      <c r="E145" s="258"/>
      <c r="F145" s="314"/>
      <c r="G145" s="258"/>
      <c r="H145" s="258"/>
      <c r="I145" s="258"/>
      <c r="J145" s="258"/>
      <c r="K145" s="258"/>
      <c r="L145" s="258"/>
      <c r="M145" s="258"/>
      <c r="N145" s="258"/>
      <c r="O145" s="258"/>
      <c r="P145" s="258"/>
      <c r="Q145" s="258"/>
      <c r="R145" s="258"/>
      <c r="S145" s="258"/>
      <c r="T145" s="258"/>
      <c r="U145" s="258"/>
      <c r="V145" s="258"/>
      <c r="W145" s="258"/>
      <c r="X145" s="258"/>
      <c r="Y145" s="258"/>
      <c r="Z145" s="258"/>
    </row>
    <row r="146" ht="12.75" customHeight="1">
      <c r="A146" s="258"/>
      <c r="B146" s="258"/>
      <c r="C146" s="258"/>
      <c r="D146" s="258"/>
      <c r="E146" s="258"/>
      <c r="F146" s="314"/>
      <c r="G146" s="258"/>
      <c r="H146" s="258"/>
      <c r="I146" s="258"/>
      <c r="J146" s="258"/>
      <c r="K146" s="258"/>
      <c r="L146" s="258"/>
      <c r="M146" s="258"/>
      <c r="N146" s="258"/>
      <c r="O146" s="258"/>
      <c r="P146" s="258"/>
      <c r="Q146" s="258"/>
      <c r="R146" s="258"/>
      <c r="S146" s="258"/>
      <c r="T146" s="258"/>
      <c r="U146" s="258"/>
      <c r="V146" s="258"/>
      <c r="W146" s="258"/>
      <c r="X146" s="258"/>
      <c r="Y146" s="258"/>
      <c r="Z146" s="258"/>
    </row>
    <row r="147" ht="12.75" customHeight="1">
      <c r="A147" s="258"/>
      <c r="B147" s="258"/>
      <c r="C147" s="258"/>
      <c r="D147" s="258"/>
      <c r="E147" s="258"/>
      <c r="F147" s="314"/>
      <c r="G147" s="258"/>
      <c r="H147" s="258"/>
      <c r="I147" s="258"/>
      <c r="J147" s="258"/>
      <c r="K147" s="258"/>
      <c r="L147" s="258"/>
      <c r="M147" s="258"/>
      <c r="N147" s="258"/>
      <c r="O147" s="258"/>
      <c r="P147" s="258"/>
      <c r="Q147" s="258"/>
      <c r="R147" s="258"/>
      <c r="S147" s="258"/>
      <c r="T147" s="258"/>
      <c r="U147" s="258"/>
      <c r="V147" s="258"/>
      <c r="W147" s="258"/>
      <c r="X147" s="258"/>
      <c r="Y147" s="258"/>
      <c r="Z147" s="258"/>
    </row>
    <row r="148" ht="12.75" customHeight="1">
      <c r="A148" s="258"/>
      <c r="B148" s="258"/>
      <c r="C148" s="258"/>
      <c r="D148" s="258"/>
      <c r="E148" s="258"/>
      <c r="F148" s="314"/>
      <c r="G148" s="258"/>
      <c r="H148" s="258"/>
      <c r="I148" s="258"/>
      <c r="J148" s="258"/>
      <c r="K148" s="258"/>
      <c r="L148" s="258"/>
      <c r="M148" s="258"/>
      <c r="N148" s="258"/>
      <c r="O148" s="258"/>
      <c r="P148" s="258"/>
      <c r="Q148" s="258"/>
      <c r="R148" s="258"/>
      <c r="S148" s="258"/>
      <c r="T148" s="258"/>
      <c r="U148" s="258"/>
      <c r="V148" s="258"/>
      <c r="W148" s="258"/>
      <c r="X148" s="258"/>
      <c r="Y148" s="258"/>
      <c r="Z148" s="258"/>
    </row>
    <row r="149" ht="12.75" customHeight="1">
      <c r="A149" s="258"/>
      <c r="B149" s="258"/>
      <c r="C149" s="258"/>
      <c r="D149" s="258"/>
      <c r="E149" s="258"/>
      <c r="F149" s="314"/>
      <c r="G149" s="258"/>
      <c r="H149" s="258"/>
      <c r="I149" s="258"/>
      <c r="J149" s="258"/>
      <c r="K149" s="258"/>
      <c r="L149" s="258"/>
      <c r="M149" s="258"/>
      <c r="N149" s="258"/>
      <c r="O149" s="258"/>
      <c r="P149" s="258"/>
      <c r="Q149" s="258"/>
      <c r="R149" s="258"/>
      <c r="S149" s="258"/>
      <c r="T149" s="258"/>
      <c r="U149" s="258"/>
      <c r="V149" s="258"/>
      <c r="W149" s="258"/>
      <c r="X149" s="258"/>
      <c r="Y149" s="258"/>
      <c r="Z149" s="258"/>
    </row>
    <row r="150" ht="12.75" customHeight="1">
      <c r="A150" s="258"/>
      <c r="B150" s="258"/>
      <c r="C150" s="258"/>
      <c r="D150" s="258"/>
      <c r="E150" s="258"/>
      <c r="F150" s="314"/>
      <c r="G150" s="258"/>
      <c r="H150" s="258"/>
      <c r="I150" s="258"/>
      <c r="J150" s="258"/>
      <c r="K150" s="258"/>
      <c r="L150" s="258"/>
      <c r="M150" s="258"/>
      <c r="N150" s="258"/>
      <c r="O150" s="258"/>
      <c r="P150" s="258"/>
      <c r="Q150" s="258"/>
      <c r="R150" s="258"/>
      <c r="S150" s="258"/>
      <c r="T150" s="258"/>
      <c r="U150" s="258"/>
      <c r="V150" s="258"/>
      <c r="W150" s="258"/>
      <c r="X150" s="258"/>
      <c r="Y150" s="258"/>
      <c r="Z150" s="258"/>
    </row>
    <row r="151" ht="12.75" customHeight="1">
      <c r="A151" s="258"/>
      <c r="B151" s="258"/>
      <c r="C151" s="258"/>
      <c r="D151" s="258"/>
      <c r="E151" s="258"/>
      <c r="F151" s="314"/>
      <c r="G151" s="258"/>
      <c r="H151" s="258"/>
      <c r="I151" s="258"/>
      <c r="J151" s="258"/>
      <c r="K151" s="258"/>
      <c r="L151" s="258"/>
      <c r="M151" s="258"/>
      <c r="N151" s="258"/>
      <c r="O151" s="258"/>
      <c r="P151" s="258"/>
      <c r="Q151" s="258"/>
      <c r="R151" s="258"/>
      <c r="S151" s="258"/>
      <c r="T151" s="258"/>
      <c r="U151" s="258"/>
      <c r="V151" s="258"/>
      <c r="W151" s="258"/>
      <c r="X151" s="258"/>
      <c r="Y151" s="258"/>
      <c r="Z151" s="258"/>
    </row>
    <row r="152" ht="12.75" customHeight="1">
      <c r="A152" s="258"/>
      <c r="B152" s="258"/>
      <c r="C152" s="258"/>
      <c r="D152" s="258"/>
      <c r="E152" s="258"/>
      <c r="F152" s="314"/>
      <c r="G152" s="258"/>
      <c r="H152" s="258"/>
      <c r="I152" s="258"/>
      <c r="J152" s="258"/>
      <c r="K152" s="258"/>
      <c r="L152" s="258"/>
      <c r="M152" s="258"/>
      <c r="N152" s="258"/>
      <c r="O152" s="258"/>
      <c r="P152" s="258"/>
      <c r="Q152" s="258"/>
      <c r="R152" s="258"/>
      <c r="S152" s="258"/>
      <c r="T152" s="258"/>
      <c r="U152" s="258"/>
      <c r="V152" s="258"/>
      <c r="W152" s="258"/>
      <c r="X152" s="258"/>
      <c r="Y152" s="258"/>
      <c r="Z152" s="258"/>
    </row>
    <row r="153" ht="12.75" customHeight="1">
      <c r="A153" s="258"/>
      <c r="B153" s="258"/>
      <c r="C153" s="258"/>
      <c r="D153" s="258"/>
      <c r="E153" s="258"/>
      <c r="F153" s="314"/>
      <c r="G153" s="258"/>
      <c r="H153" s="258"/>
      <c r="I153" s="258"/>
      <c r="J153" s="258"/>
      <c r="K153" s="258"/>
      <c r="L153" s="258"/>
      <c r="M153" s="258"/>
      <c r="N153" s="258"/>
      <c r="O153" s="258"/>
      <c r="P153" s="258"/>
      <c r="Q153" s="258"/>
      <c r="R153" s="258"/>
      <c r="S153" s="258"/>
      <c r="T153" s="258"/>
      <c r="U153" s="258"/>
      <c r="V153" s="258"/>
      <c r="W153" s="258"/>
      <c r="X153" s="258"/>
      <c r="Y153" s="258"/>
      <c r="Z153" s="258"/>
    </row>
    <row r="154" ht="12.75" customHeight="1">
      <c r="A154" s="258"/>
      <c r="B154" s="258"/>
      <c r="C154" s="258"/>
      <c r="D154" s="258"/>
      <c r="E154" s="258"/>
      <c r="F154" s="314"/>
      <c r="G154" s="258"/>
      <c r="H154" s="258"/>
      <c r="I154" s="258"/>
      <c r="J154" s="258"/>
      <c r="K154" s="258"/>
      <c r="L154" s="258"/>
      <c r="M154" s="258"/>
      <c r="N154" s="258"/>
      <c r="O154" s="258"/>
      <c r="P154" s="258"/>
      <c r="Q154" s="258"/>
      <c r="R154" s="258"/>
      <c r="S154" s="258"/>
      <c r="T154" s="258"/>
      <c r="U154" s="258"/>
      <c r="V154" s="258"/>
      <c r="W154" s="258"/>
      <c r="X154" s="258"/>
      <c r="Y154" s="258"/>
      <c r="Z154" s="258"/>
    </row>
    <row r="155" ht="12.75" customHeight="1">
      <c r="A155" s="258"/>
      <c r="B155" s="258"/>
      <c r="C155" s="258"/>
      <c r="D155" s="258"/>
      <c r="E155" s="258"/>
      <c r="F155" s="314"/>
      <c r="G155" s="258"/>
      <c r="H155" s="258"/>
      <c r="I155" s="258"/>
      <c r="J155" s="258"/>
      <c r="K155" s="258"/>
      <c r="L155" s="258"/>
      <c r="M155" s="258"/>
      <c r="N155" s="258"/>
      <c r="O155" s="258"/>
      <c r="P155" s="258"/>
      <c r="Q155" s="258"/>
      <c r="R155" s="258"/>
      <c r="S155" s="258"/>
      <c r="T155" s="258"/>
      <c r="U155" s="258"/>
      <c r="V155" s="258"/>
      <c r="W155" s="258"/>
      <c r="X155" s="258"/>
      <c r="Y155" s="258"/>
      <c r="Z155" s="258"/>
    </row>
    <row r="156" ht="12.75" customHeight="1">
      <c r="A156" s="258"/>
      <c r="B156" s="258"/>
      <c r="C156" s="258"/>
      <c r="D156" s="258"/>
      <c r="E156" s="258"/>
      <c r="F156" s="314"/>
      <c r="G156" s="258"/>
      <c r="H156" s="258"/>
      <c r="I156" s="258"/>
      <c r="J156" s="258"/>
      <c r="K156" s="258"/>
      <c r="L156" s="258"/>
      <c r="M156" s="258"/>
      <c r="N156" s="258"/>
      <c r="O156" s="258"/>
      <c r="P156" s="258"/>
      <c r="Q156" s="258"/>
      <c r="R156" s="258"/>
      <c r="S156" s="258"/>
      <c r="T156" s="258"/>
      <c r="U156" s="258"/>
      <c r="V156" s="258"/>
      <c r="W156" s="258"/>
      <c r="X156" s="258"/>
      <c r="Y156" s="258"/>
      <c r="Z156" s="258"/>
    </row>
    <row r="157" ht="12.75" customHeight="1">
      <c r="A157" s="258"/>
      <c r="B157" s="258"/>
      <c r="C157" s="258"/>
      <c r="D157" s="258"/>
      <c r="E157" s="258"/>
      <c r="F157" s="314"/>
      <c r="G157" s="258"/>
      <c r="H157" s="258"/>
      <c r="I157" s="258"/>
      <c r="J157" s="258"/>
      <c r="K157" s="258"/>
      <c r="L157" s="258"/>
      <c r="M157" s="258"/>
      <c r="N157" s="258"/>
      <c r="O157" s="258"/>
      <c r="P157" s="258"/>
      <c r="Q157" s="258"/>
      <c r="R157" s="258"/>
      <c r="S157" s="258"/>
      <c r="T157" s="258"/>
      <c r="U157" s="258"/>
      <c r="V157" s="258"/>
      <c r="W157" s="258"/>
      <c r="X157" s="258"/>
      <c r="Y157" s="258"/>
      <c r="Z157" s="258"/>
    </row>
    <row r="158" ht="12.75" customHeight="1">
      <c r="A158" s="258"/>
      <c r="B158" s="258"/>
      <c r="C158" s="258"/>
      <c r="D158" s="258"/>
      <c r="E158" s="258"/>
      <c r="F158" s="314"/>
      <c r="G158" s="258"/>
      <c r="H158" s="258"/>
      <c r="I158" s="258"/>
      <c r="J158" s="258"/>
      <c r="K158" s="258"/>
      <c r="L158" s="258"/>
      <c r="M158" s="258"/>
      <c r="N158" s="258"/>
      <c r="O158" s="258"/>
      <c r="P158" s="258"/>
      <c r="Q158" s="258"/>
      <c r="R158" s="258"/>
      <c r="S158" s="258"/>
      <c r="T158" s="258"/>
      <c r="U158" s="258"/>
      <c r="V158" s="258"/>
      <c r="W158" s="258"/>
      <c r="X158" s="258"/>
      <c r="Y158" s="258"/>
      <c r="Z158" s="258"/>
    </row>
    <row r="159" ht="12.75" customHeight="1">
      <c r="A159" s="258"/>
      <c r="B159" s="258"/>
      <c r="C159" s="258"/>
      <c r="D159" s="258"/>
      <c r="E159" s="258"/>
      <c r="F159" s="314"/>
      <c r="G159" s="258"/>
      <c r="H159" s="258"/>
      <c r="I159" s="258"/>
      <c r="J159" s="258"/>
      <c r="K159" s="258"/>
      <c r="L159" s="258"/>
      <c r="M159" s="258"/>
      <c r="N159" s="258"/>
      <c r="O159" s="258"/>
      <c r="P159" s="258"/>
      <c r="Q159" s="258"/>
      <c r="R159" s="258"/>
      <c r="S159" s="258"/>
      <c r="T159" s="258"/>
      <c r="U159" s="258"/>
      <c r="V159" s="258"/>
      <c r="W159" s="258"/>
      <c r="X159" s="258"/>
      <c r="Y159" s="258"/>
      <c r="Z159" s="258"/>
    </row>
    <row r="160" ht="12.75" customHeight="1">
      <c r="A160" s="258"/>
      <c r="B160" s="258"/>
      <c r="C160" s="258"/>
      <c r="D160" s="258"/>
      <c r="E160" s="258"/>
      <c r="F160" s="314"/>
      <c r="G160" s="258"/>
      <c r="H160" s="258"/>
      <c r="I160" s="258"/>
      <c r="J160" s="258"/>
      <c r="K160" s="258"/>
      <c r="L160" s="258"/>
      <c r="M160" s="258"/>
      <c r="N160" s="258"/>
      <c r="O160" s="258"/>
      <c r="P160" s="258"/>
      <c r="Q160" s="258"/>
      <c r="R160" s="258"/>
      <c r="S160" s="258"/>
      <c r="T160" s="258"/>
      <c r="U160" s="258"/>
      <c r="V160" s="258"/>
      <c r="W160" s="258"/>
      <c r="X160" s="258"/>
      <c r="Y160" s="258"/>
      <c r="Z160" s="258"/>
    </row>
    <row r="161" ht="12.75" customHeight="1">
      <c r="A161" s="258"/>
      <c r="B161" s="258"/>
      <c r="C161" s="258"/>
      <c r="D161" s="258"/>
      <c r="E161" s="258"/>
      <c r="F161" s="314"/>
      <c r="G161" s="258"/>
      <c r="H161" s="258"/>
      <c r="I161" s="258"/>
      <c r="J161" s="258"/>
      <c r="K161" s="258"/>
      <c r="L161" s="258"/>
      <c r="M161" s="258"/>
      <c r="N161" s="258"/>
      <c r="O161" s="258"/>
      <c r="P161" s="258"/>
      <c r="Q161" s="258"/>
      <c r="R161" s="258"/>
      <c r="S161" s="258"/>
      <c r="T161" s="258"/>
      <c r="U161" s="258"/>
      <c r="V161" s="258"/>
      <c r="W161" s="258"/>
      <c r="X161" s="258"/>
      <c r="Y161" s="258"/>
      <c r="Z161" s="258"/>
    </row>
    <row r="162" ht="12.75" customHeight="1">
      <c r="A162" s="258"/>
      <c r="B162" s="258"/>
      <c r="C162" s="258"/>
      <c r="D162" s="258"/>
      <c r="E162" s="258"/>
      <c r="F162" s="314"/>
      <c r="G162" s="258"/>
      <c r="H162" s="258"/>
      <c r="I162" s="258"/>
      <c r="J162" s="258"/>
      <c r="K162" s="258"/>
      <c r="L162" s="258"/>
      <c r="M162" s="258"/>
      <c r="N162" s="258"/>
      <c r="O162" s="258"/>
      <c r="P162" s="258"/>
      <c r="Q162" s="258"/>
      <c r="R162" s="258"/>
      <c r="S162" s="258"/>
      <c r="T162" s="258"/>
      <c r="U162" s="258"/>
      <c r="V162" s="258"/>
      <c r="W162" s="258"/>
      <c r="X162" s="258"/>
      <c r="Y162" s="258"/>
      <c r="Z162" s="258"/>
    </row>
    <row r="163" ht="12.75" customHeight="1">
      <c r="A163" s="258"/>
      <c r="B163" s="258"/>
      <c r="C163" s="258"/>
      <c r="D163" s="258"/>
      <c r="E163" s="258"/>
      <c r="F163" s="314"/>
      <c r="G163" s="258"/>
      <c r="H163" s="258"/>
      <c r="I163" s="258"/>
      <c r="J163" s="258"/>
      <c r="K163" s="258"/>
      <c r="L163" s="258"/>
      <c r="M163" s="258"/>
      <c r="N163" s="258"/>
      <c r="O163" s="258"/>
      <c r="P163" s="258"/>
      <c r="Q163" s="258"/>
      <c r="R163" s="258"/>
      <c r="S163" s="258"/>
      <c r="T163" s="258"/>
      <c r="U163" s="258"/>
      <c r="V163" s="258"/>
      <c r="W163" s="258"/>
      <c r="X163" s="258"/>
      <c r="Y163" s="258"/>
      <c r="Z163" s="258"/>
    </row>
    <row r="164" ht="12.75" customHeight="1">
      <c r="A164" s="258"/>
      <c r="B164" s="258"/>
      <c r="C164" s="258"/>
      <c r="D164" s="258"/>
      <c r="E164" s="258"/>
      <c r="F164" s="314"/>
      <c r="G164" s="258"/>
      <c r="H164" s="258"/>
      <c r="I164" s="258"/>
      <c r="J164" s="258"/>
      <c r="K164" s="258"/>
      <c r="L164" s="258"/>
      <c r="M164" s="258"/>
      <c r="N164" s="258"/>
      <c r="O164" s="258"/>
      <c r="P164" s="258"/>
      <c r="Q164" s="258"/>
      <c r="R164" s="258"/>
      <c r="S164" s="258"/>
      <c r="T164" s="258"/>
      <c r="U164" s="258"/>
      <c r="V164" s="258"/>
      <c r="W164" s="258"/>
      <c r="X164" s="258"/>
      <c r="Y164" s="258"/>
      <c r="Z164" s="258"/>
    </row>
    <row r="165" ht="12.75" customHeight="1">
      <c r="A165" s="258"/>
      <c r="B165" s="258"/>
      <c r="C165" s="258"/>
      <c r="D165" s="258"/>
      <c r="E165" s="258"/>
      <c r="F165" s="314"/>
      <c r="G165" s="258"/>
      <c r="H165" s="258"/>
      <c r="I165" s="258"/>
      <c r="J165" s="258"/>
      <c r="K165" s="258"/>
      <c r="L165" s="258"/>
      <c r="M165" s="258"/>
      <c r="N165" s="258"/>
      <c r="O165" s="258"/>
      <c r="P165" s="258"/>
      <c r="Q165" s="258"/>
      <c r="R165" s="258"/>
      <c r="S165" s="258"/>
      <c r="T165" s="258"/>
      <c r="U165" s="258"/>
      <c r="V165" s="258"/>
      <c r="W165" s="258"/>
      <c r="X165" s="258"/>
      <c r="Y165" s="258"/>
      <c r="Z165" s="258"/>
    </row>
    <row r="166" ht="12.75" customHeight="1">
      <c r="A166" s="258"/>
      <c r="B166" s="258"/>
      <c r="C166" s="258"/>
      <c r="D166" s="258"/>
      <c r="E166" s="258"/>
      <c r="F166" s="314"/>
      <c r="G166" s="258"/>
      <c r="H166" s="258"/>
      <c r="I166" s="258"/>
      <c r="J166" s="258"/>
      <c r="K166" s="258"/>
      <c r="L166" s="258"/>
      <c r="M166" s="258"/>
      <c r="N166" s="258"/>
      <c r="O166" s="258"/>
      <c r="P166" s="258"/>
      <c r="Q166" s="258"/>
      <c r="R166" s="258"/>
      <c r="S166" s="258"/>
      <c r="T166" s="258"/>
      <c r="U166" s="258"/>
      <c r="V166" s="258"/>
      <c r="W166" s="258"/>
      <c r="X166" s="258"/>
      <c r="Y166" s="258"/>
      <c r="Z166" s="258"/>
    </row>
    <row r="167" ht="12.75" customHeight="1">
      <c r="A167" s="258"/>
      <c r="B167" s="258"/>
      <c r="C167" s="258"/>
      <c r="D167" s="258"/>
      <c r="E167" s="258"/>
      <c r="F167" s="314"/>
      <c r="G167" s="258"/>
      <c r="H167" s="258"/>
      <c r="I167" s="258"/>
      <c r="J167" s="258"/>
      <c r="K167" s="258"/>
      <c r="L167" s="258"/>
      <c r="M167" s="258"/>
      <c r="N167" s="258"/>
      <c r="O167" s="258"/>
      <c r="P167" s="258"/>
      <c r="Q167" s="258"/>
      <c r="R167" s="258"/>
      <c r="S167" s="258"/>
      <c r="T167" s="258"/>
      <c r="U167" s="258"/>
      <c r="V167" s="258"/>
      <c r="W167" s="258"/>
      <c r="X167" s="258"/>
      <c r="Y167" s="258"/>
      <c r="Z167" s="258"/>
    </row>
    <row r="168" ht="12.75" customHeight="1">
      <c r="A168" s="258"/>
      <c r="B168" s="258"/>
      <c r="C168" s="258"/>
      <c r="D168" s="258"/>
      <c r="E168" s="258"/>
      <c r="F168" s="314"/>
      <c r="G168" s="258"/>
      <c r="H168" s="258"/>
      <c r="I168" s="258"/>
      <c r="J168" s="258"/>
      <c r="K168" s="258"/>
      <c r="L168" s="258"/>
      <c r="M168" s="258"/>
      <c r="N168" s="258"/>
      <c r="O168" s="258"/>
      <c r="P168" s="258"/>
      <c r="Q168" s="258"/>
      <c r="R168" s="258"/>
      <c r="S168" s="258"/>
      <c r="T168" s="258"/>
      <c r="U168" s="258"/>
      <c r="V168" s="258"/>
      <c r="W168" s="258"/>
      <c r="X168" s="258"/>
      <c r="Y168" s="258"/>
      <c r="Z168" s="258"/>
    </row>
    <row r="169" ht="12.75" customHeight="1">
      <c r="A169" s="258"/>
      <c r="B169" s="258"/>
      <c r="C169" s="258"/>
      <c r="D169" s="258"/>
      <c r="E169" s="258"/>
      <c r="F169" s="314"/>
      <c r="G169" s="258"/>
      <c r="H169" s="258"/>
      <c r="I169" s="258"/>
      <c r="J169" s="258"/>
      <c r="K169" s="258"/>
      <c r="L169" s="258"/>
      <c r="M169" s="258"/>
      <c r="N169" s="258"/>
      <c r="O169" s="258"/>
      <c r="P169" s="258"/>
      <c r="Q169" s="258"/>
      <c r="R169" s="258"/>
      <c r="S169" s="258"/>
      <c r="T169" s="258"/>
      <c r="U169" s="258"/>
      <c r="V169" s="258"/>
      <c r="W169" s="258"/>
      <c r="X169" s="258"/>
      <c r="Y169" s="258"/>
      <c r="Z169" s="258"/>
    </row>
    <row r="170" ht="12.75" customHeight="1">
      <c r="A170" s="258"/>
      <c r="B170" s="258"/>
      <c r="C170" s="258"/>
      <c r="D170" s="258"/>
      <c r="E170" s="258"/>
      <c r="F170" s="314"/>
      <c r="G170" s="258"/>
      <c r="H170" s="258"/>
      <c r="I170" s="258"/>
      <c r="J170" s="258"/>
      <c r="K170" s="258"/>
      <c r="L170" s="258"/>
      <c r="M170" s="258"/>
      <c r="N170" s="258"/>
      <c r="O170" s="258"/>
      <c r="P170" s="258"/>
      <c r="Q170" s="258"/>
      <c r="R170" s="258"/>
      <c r="S170" s="258"/>
      <c r="T170" s="258"/>
      <c r="U170" s="258"/>
      <c r="V170" s="258"/>
      <c r="W170" s="258"/>
      <c r="X170" s="258"/>
      <c r="Y170" s="258"/>
      <c r="Z170" s="258"/>
    </row>
    <row r="171" ht="12.75" customHeight="1">
      <c r="A171" s="258"/>
      <c r="B171" s="258"/>
      <c r="C171" s="258"/>
      <c r="D171" s="258"/>
      <c r="E171" s="258"/>
      <c r="F171" s="314"/>
      <c r="G171" s="258"/>
      <c r="H171" s="258"/>
      <c r="I171" s="258"/>
      <c r="J171" s="258"/>
      <c r="K171" s="258"/>
      <c r="L171" s="258"/>
      <c r="M171" s="258"/>
      <c r="N171" s="258"/>
      <c r="O171" s="258"/>
      <c r="P171" s="258"/>
      <c r="Q171" s="258"/>
      <c r="R171" s="258"/>
      <c r="S171" s="258"/>
      <c r="T171" s="258"/>
      <c r="U171" s="258"/>
      <c r="V171" s="258"/>
      <c r="W171" s="258"/>
      <c r="X171" s="258"/>
      <c r="Y171" s="258"/>
      <c r="Z171" s="258"/>
    </row>
    <row r="172" ht="12.75" customHeight="1">
      <c r="A172" s="258"/>
      <c r="B172" s="258"/>
      <c r="C172" s="258"/>
      <c r="D172" s="258"/>
      <c r="E172" s="258"/>
      <c r="F172" s="314"/>
      <c r="G172" s="258"/>
      <c r="H172" s="258"/>
      <c r="I172" s="258"/>
      <c r="J172" s="258"/>
      <c r="K172" s="258"/>
      <c r="L172" s="258"/>
      <c r="M172" s="258"/>
      <c r="N172" s="258"/>
      <c r="O172" s="258"/>
      <c r="P172" s="258"/>
      <c r="Q172" s="258"/>
      <c r="R172" s="258"/>
      <c r="S172" s="258"/>
      <c r="T172" s="258"/>
      <c r="U172" s="258"/>
      <c r="V172" s="258"/>
      <c r="W172" s="258"/>
      <c r="X172" s="258"/>
      <c r="Y172" s="258"/>
      <c r="Z172" s="258"/>
    </row>
    <row r="173" ht="12.75" customHeight="1">
      <c r="A173" s="258"/>
      <c r="B173" s="258"/>
      <c r="C173" s="258"/>
      <c r="D173" s="258"/>
      <c r="E173" s="258"/>
      <c r="F173" s="314"/>
      <c r="G173" s="258"/>
      <c r="H173" s="258"/>
      <c r="I173" s="258"/>
      <c r="J173" s="258"/>
      <c r="K173" s="258"/>
      <c r="L173" s="258"/>
      <c r="M173" s="258"/>
      <c r="N173" s="258"/>
      <c r="O173" s="258"/>
      <c r="P173" s="258"/>
      <c r="Q173" s="258"/>
      <c r="R173" s="258"/>
      <c r="S173" s="258"/>
      <c r="T173" s="258"/>
      <c r="U173" s="258"/>
      <c r="V173" s="258"/>
      <c r="W173" s="258"/>
      <c r="X173" s="258"/>
      <c r="Y173" s="258"/>
      <c r="Z173" s="258"/>
    </row>
    <row r="174" ht="12.75" customHeight="1">
      <c r="A174" s="258"/>
      <c r="B174" s="258"/>
      <c r="C174" s="258"/>
      <c r="D174" s="258"/>
      <c r="E174" s="258"/>
      <c r="F174" s="314"/>
      <c r="G174" s="258"/>
      <c r="H174" s="258"/>
      <c r="I174" s="258"/>
      <c r="J174" s="258"/>
      <c r="K174" s="258"/>
      <c r="L174" s="258"/>
      <c r="M174" s="258"/>
      <c r="N174" s="258"/>
      <c r="O174" s="258"/>
      <c r="P174" s="258"/>
      <c r="Q174" s="258"/>
      <c r="R174" s="258"/>
      <c r="S174" s="258"/>
      <c r="T174" s="258"/>
      <c r="U174" s="258"/>
      <c r="V174" s="258"/>
      <c r="W174" s="258"/>
      <c r="X174" s="258"/>
      <c r="Y174" s="258"/>
      <c r="Z174" s="258"/>
    </row>
    <row r="175" ht="12.75" customHeight="1">
      <c r="A175" s="258"/>
      <c r="B175" s="258"/>
      <c r="C175" s="258"/>
      <c r="D175" s="258"/>
      <c r="E175" s="258"/>
      <c r="F175" s="314"/>
      <c r="G175" s="258"/>
      <c r="H175" s="258"/>
      <c r="I175" s="258"/>
      <c r="J175" s="258"/>
      <c r="K175" s="258"/>
      <c r="L175" s="258"/>
      <c r="M175" s="258"/>
      <c r="N175" s="258"/>
      <c r="O175" s="258"/>
      <c r="P175" s="258"/>
      <c r="Q175" s="258"/>
      <c r="R175" s="258"/>
      <c r="S175" s="258"/>
      <c r="T175" s="258"/>
      <c r="U175" s="258"/>
      <c r="V175" s="258"/>
      <c r="W175" s="258"/>
      <c r="X175" s="258"/>
      <c r="Y175" s="258"/>
      <c r="Z175" s="258"/>
    </row>
    <row r="176" ht="12.75" customHeight="1">
      <c r="A176" s="258"/>
      <c r="B176" s="258"/>
      <c r="C176" s="258"/>
      <c r="D176" s="258"/>
      <c r="E176" s="258"/>
      <c r="F176" s="314"/>
      <c r="G176" s="258"/>
      <c r="H176" s="258"/>
      <c r="I176" s="258"/>
      <c r="J176" s="258"/>
      <c r="K176" s="258"/>
      <c r="L176" s="258"/>
      <c r="M176" s="258"/>
      <c r="N176" s="258"/>
      <c r="O176" s="258"/>
      <c r="P176" s="258"/>
      <c r="Q176" s="258"/>
      <c r="R176" s="258"/>
      <c r="S176" s="258"/>
      <c r="T176" s="258"/>
      <c r="U176" s="258"/>
      <c r="V176" s="258"/>
      <c r="W176" s="258"/>
      <c r="X176" s="258"/>
      <c r="Y176" s="258"/>
      <c r="Z176" s="258"/>
    </row>
    <row r="177" ht="12.75" customHeight="1">
      <c r="A177" s="258"/>
      <c r="B177" s="258"/>
      <c r="C177" s="258"/>
      <c r="D177" s="258"/>
      <c r="E177" s="258"/>
      <c r="F177" s="314"/>
      <c r="G177" s="258"/>
      <c r="H177" s="258"/>
      <c r="I177" s="258"/>
      <c r="J177" s="258"/>
      <c r="K177" s="258"/>
      <c r="L177" s="258"/>
      <c r="M177" s="258"/>
      <c r="N177" s="258"/>
      <c r="O177" s="258"/>
      <c r="P177" s="258"/>
      <c r="Q177" s="258"/>
      <c r="R177" s="258"/>
      <c r="S177" s="258"/>
      <c r="T177" s="258"/>
      <c r="U177" s="258"/>
      <c r="V177" s="258"/>
      <c r="W177" s="258"/>
      <c r="X177" s="258"/>
      <c r="Y177" s="258"/>
      <c r="Z177" s="258"/>
    </row>
    <row r="178" ht="12.75" customHeight="1">
      <c r="A178" s="258"/>
      <c r="B178" s="258"/>
      <c r="C178" s="258"/>
      <c r="D178" s="258"/>
      <c r="E178" s="258"/>
      <c r="F178" s="314"/>
      <c r="G178" s="258"/>
      <c r="H178" s="258"/>
      <c r="I178" s="258"/>
      <c r="J178" s="258"/>
      <c r="K178" s="258"/>
      <c r="L178" s="258"/>
      <c r="M178" s="258"/>
      <c r="N178" s="258"/>
      <c r="O178" s="258"/>
      <c r="P178" s="258"/>
      <c r="Q178" s="258"/>
      <c r="R178" s="258"/>
      <c r="S178" s="258"/>
      <c r="T178" s="258"/>
      <c r="U178" s="258"/>
      <c r="V178" s="258"/>
      <c r="W178" s="258"/>
      <c r="X178" s="258"/>
      <c r="Y178" s="258"/>
      <c r="Z178" s="258"/>
    </row>
    <row r="179" ht="12.75" customHeight="1">
      <c r="A179" s="258"/>
      <c r="B179" s="258"/>
      <c r="C179" s="258"/>
      <c r="D179" s="258"/>
      <c r="E179" s="258"/>
      <c r="F179" s="314"/>
      <c r="G179" s="258"/>
      <c r="H179" s="258"/>
      <c r="I179" s="258"/>
      <c r="J179" s="258"/>
      <c r="K179" s="258"/>
      <c r="L179" s="258"/>
      <c r="M179" s="258"/>
      <c r="N179" s="258"/>
      <c r="O179" s="258"/>
      <c r="P179" s="258"/>
      <c r="Q179" s="258"/>
      <c r="R179" s="258"/>
      <c r="S179" s="258"/>
      <c r="T179" s="258"/>
      <c r="U179" s="258"/>
      <c r="V179" s="258"/>
      <c r="W179" s="258"/>
      <c r="X179" s="258"/>
      <c r="Y179" s="258"/>
      <c r="Z179" s="258"/>
    </row>
    <row r="180" ht="12.75" customHeight="1">
      <c r="A180" s="258"/>
      <c r="B180" s="258"/>
      <c r="C180" s="258"/>
      <c r="D180" s="258"/>
      <c r="E180" s="258"/>
      <c r="F180" s="314"/>
      <c r="G180" s="258"/>
      <c r="H180" s="258"/>
      <c r="I180" s="258"/>
      <c r="J180" s="258"/>
      <c r="K180" s="258"/>
      <c r="L180" s="258"/>
      <c r="M180" s="258"/>
      <c r="N180" s="258"/>
      <c r="O180" s="258"/>
      <c r="P180" s="258"/>
      <c r="Q180" s="258"/>
      <c r="R180" s="258"/>
      <c r="S180" s="258"/>
      <c r="T180" s="258"/>
      <c r="U180" s="258"/>
      <c r="V180" s="258"/>
      <c r="W180" s="258"/>
      <c r="X180" s="258"/>
      <c r="Y180" s="258"/>
      <c r="Z180" s="258"/>
    </row>
    <row r="181" ht="12.75" customHeight="1">
      <c r="A181" s="258"/>
      <c r="B181" s="258"/>
      <c r="C181" s="258"/>
      <c r="D181" s="258"/>
      <c r="E181" s="258"/>
      <c r="F181" s="314"/>
      <c r="G181" s="258"/>
      <c r="H181" s="258"/>
      <c r="I181" s="258"/>
      <c r="J181" s="258"/>
      <c r="K181" s="258"/>
      <c r="L181" s="258"/>
      <c r="M181" s="258"/>
      <c r="N181" s="258"/>
      <c r="O181" s="258"/>
      <c r="P181" s="258"/>
      <c r="Q181" s="258"/>
      <c r="R181" s="258"/>
      <c r="S181" s="258"/>
      <c r="T181" s="258"/>
      <c r="U181" s="258"/>
      <c r="V181" s="258"/>
      <c r="W181" s="258"/>
      <c r="X181" s="258"/>
      <c r="Y181" s="258"/>
      <c r="Z181" s="258"/>
    </row>
    <row r="182" ht="12.75" customHeight="1">
      <c r="A182" s="258"/>
      <c r="B182" s="258"/>
      <c r="C182" s="258"/>
      <c r="D182" s="258"/>
      <c r="E182" s="258"/>
      <c r="F182" s="314"/>
      <c r="G182" s="258"/>
      <c r="H182" s="258"/>
      <c r="I182" s="258"/>
      <c r="J182" s="258"/>
      <c r="K182" s="258"/>
      <c r="L182" s="258"/>
      <c r="M182" s="258"/>
      <c r="N182" s="258"/>
      <c r="O182" s="258"/>
      <c r="P182" s="258"/>
      <c r="Q182" s="258"/>
      <c r="R182" s="258"/>
      <c r="S182" s="258"/>
      <c r="T182" s="258"/>
      <c r="U182" s="258"/>
      <c r="V182" s="258"/>
      <c r="W182" s="258"/>
      <c r="X182" s="258"/>
      <c r="Y182" s="258"/>
      <c r="Z182" s="258"/>
    </row>
    <row r="183" ht="12.75" customHeight="1">
      <c r="A183" s="258"/>
      <c r="B183" s="258"/>
      <c r="C183" s="258"/>
      <c r="D183" s="258"/>
      <c r="E183" s="258"/>
      <c r="F183" s="314"/>
      <c r="G183" s="258"/>
      <c r="H183" s="258"/>
      <c r="I183" s="258"/>
      <c r="J183" s="258"/>
      <c r="K183" s="258"/>
      <c r="L183" s="258"/>
      <c r="M183" s="258"/>
      <c r="N183" s="258"/>
      <c r="O183" s="258"/>
      <c r="P183" s="258"/>
      <c r="Q183" s="258"/>
      <c r="R183" s="258"/>
      <c r="S183" s="258"/>
      <c r="T183" s="258"/>
      <c r="U183" s="258"/>
      <c r="V183" s="258"/>
      <c r="W183" s="258"/>
      <c r="X183" s="258"/>
      <c r="Y183" s="258"/>
      <c r="Z183" s="258"/>
    </row>
    <row r="184" ht="12.75" customHeight="1">
      <c r="A184" s="258"/>
      <c r="B184" s="258"/>
      <c r="C184" s="258"/>
      <c r="D184" s="258"/>
      <c r="E184" s="258"/>
      <c r="F184" s="314"/>
      <c r="G184" s="258"/>
      <c r="H184" s="258"/>
      <c r="I184" s="258"/>
      <c r="J184" s="258"/>
      <c r="K184" s="258"/>
      <c r="L184" s="258"/>
      <c r="M184" s="258"/>
      <c r="N184" s="258"/>
      <c r="O184" s="258"/>
      <c r="P184" s="258"/>
      <c r="Q184" s="258"/>
      <c r="R184" s="258"/>
      <c r="S184" s="258"/>
      <c r="T184" s="258"/>
      <c r="U184" s="258"/>
      <c r="V184" s="258"/>
      <c r="W184" s="258"/>
      <c r="X184" s="258"/>
      <c r="Y184" s="258"/>
      <c r="Z184" s="258"/>
    </row>
    <row r="185" ht="12.75" customHeight="1">
      <c r="A185" s="258"/>
      <c r="B185" s="258"/>
      <c r="C185" s="258"/>
      <c r="D185" s="258"/>
      <c r="E185" s="258"/>
      <c r="F185" s="314"/>
      <c r="G185" s="258"/>
      <c r="H185" s="258"/>
      <c r="I185" s="258"/>
      <c r="J185" s="258"/>
      <c r="K185" s="258"/>
      <c r="L185" s="258"/>
      <c r="M185" s="258"/>
      <c r="N185" s="258"/>
      <c r="O185" s="258"/>
      <c r="P185" s="258"/>
      <c r="Q185" s="258"/>
      <c r="R185" s="258"/>
      <c r="S185" s="258"/>
      <c r="T185" s="258"/>
      <c r="U185" s="258"/>
      <c r="V185" s="258"/>
      <c r="W185" s="258"/>
      <c r="X185" s="258"/>
      <c r="Y185" s="258"/>
      <c r="Z185" s="258"/>
    </row>
    <row r="186" ht="12.75" customHeight="1">
      <c r="A186" s="258"/>
      <c r="B186" s="258"/>
      <c r="C186" s="258"/>
      <c r="D186" s="258"/>
      <c r="E186" s="258"/>
      <c r="F186" s="314"/>
      <c r="G186" s="258"/>
      <c r="H186" s="258"/>
      <c r="I186" s="258"/>
      <c r="J186" s="258"/>
      <c r="K186" s="258"/>
      <c r="L186" s="258"/>
      <c r="M186" s="258"/>
      <c r="N186" s="258"/>
      <c r="O186" s="258"/>
      <c r="P186" s="258"/>
      <c r="Q186" s="258"/>
      <c r="R186" s="258"/>
      <c r="S186" s="258"/>
      <c r="T186" s="258"/>
      <c r="U186" s="258"/>
      <c r="V186" s="258"/>
      <c r="W186" s="258"/>
      <c r="X186" s="258"/>
      <c r="Y186" s="258"/>
      <c r="Z186" s="258"/>
    </row>
    <row r="187" ht="12.75" customHeight="1">
      <c r="A187" s="258"/>
      <c r="B187" s="258"/>
      <c r="C187" s="258"/>
      <c r="D187" s="258"/>
      <c r="E187" s="258"/>
      <c r="F187" s="314"/>
      <c r="G187" s="258"/>
      <c r="H187" s="258"/>
      <c r="I187" s="258"/>
      <c r="J187" s="258"/>
      <c r="K187" s="258"/>
      <c r="L187" s="258"/>
      <c r="M187" s="258"/>
      <c r="N187" s="258"/>
      <c r="O187" s="258"/>
      <c r="P187" s="258"/>
      <c r="Q187" s="258"/>
      <c r="R187" s="258"/>
      <c r="S187" s="258"/>
      <c r="T187" s="258"/>
      <c r="U187" s="258"/>
      <c r="V187" s="258"/>
      <c r="W187" s="258"/>
      <c r="X187" s="258"/>
      <c r="Y187" s="258"/>
      <c r="Z187" s="258"/>
    </row>
    <row r="188" ht="12.75" customHeight="1">
      <c r="A188" s="258"/>
      <c r="B188" s="258"/>
      <c r="C188" s="258"/>
      <c r="D188" s="258"/>
      <c r="E188" s="258"/>
      <c r="F188" s="314"/>
      <c r="G188" s="258"/>
      <c r="H188" s="258"/>
      <c r="I188" s="258"/>
      <c r="J188" s="258"/>
      <c r="K188" s="258"/>
      <c r="L188" s="258"/>
      <c r="M188" s="258"/>
      <c r="N188" s="258"/>
      <c r="O188" s="258"/>
      <c r="P188" s="258"/>
      <c r="Q188" s="258"/>
      <c r="R188" s="258"/>
      <c r="S188" s="258"/>
      <c r="T188" s="258"/>
      <c r="U188" s="258"/>
      <c r="V188" s="258"/>
      <c r="W188" s="258"/>
      <c r="X188" s="258"/>
      <c r="Y188" s="258"/>
      <c r="Z188" s="258"/>
    </row>
    <row r="189" ht="12.75" customHeight="1">
      <c r="A189" s="258"/>
      <c r="B189" s="258"/>
      <c r="C189" s="258"/>
      <c r="D189" s="258"/>
      <c r="E189" s="258"/>
      <c r="F189" s="314"/>
      <c r="G189" s="258"/>
      <c r="H189" s="258"/>
      <c r="I189" s="258"/>
      <c r="J189" s="258"/>
      <c r="K189" s="258"/>
      <c r="L189" s="258"/>
      <c r="M189" s="258"/>
      <c r="N189" s="258"/>
      <c r="O189" s="258"/>
      <c r="P189" s="258"/>
      <c r="Q189" s="258"/>
      <c r="R189" s="258"/>
      <c r="S189" s="258"/>
      <c r="T189" s="258"/>
      <c r="U189" s="258"/>
      <c r="V189" s="258"/>
      <c r="W189" s="258"/>
      <c r="X189" s="258"/>
      <c r="Y189" s="258"/>
      <c r="Z189" s="258"/>
    </row>
    <row r="190" ht="12.75" customHeight="1">
      <c r="A190" s="258"/>
      <c r="B190" s="258"/>
      <c r="C190" s="258"/>
      <c r="D190" s="258"/>
      <c r="E190" s="258"/>
      <c r="F190" s="314"/>
      <c r="G190" s="258"/>
      <c r="H190" s="258"/>
      <c r="I190" s="258"/>
      <c r="J190" s="258"/>
      <c r="K190" s="258"/>
      <c r="L190" s="258"/>
      <c r="M190" s="258"/>
      <c r="N190" s="258"/>
      <c r="O190" s="258"/>
      <c r="P190" s="258"/>
      <c r="Q190" s="258"/>
      <c r="R190" s="258"/>
      <c r="S190" s="258"/>
      <c r="T190" s="258"/>
      <c r="U190" s="258"/>
      <c r="V190" s="258"/>
      <c r="W190" s="258"/>
      <c r="X190" s="258"/>
      <c r="Y190" s="258"/>
      <c r="Z190" s="258"/>
    </row>
    <row r="191" ht="12.75" customHeight="1">
      <c r="A191" s="258"/>
      <c r="B191" s="258"/>
      <c r="C191" s="258"/>
      <c r="D191" s="258"/>
      <c r="E191" s="258"/>
      <c r="F191" s="314"/>
      <c r="G191" s="258"/>
      <c r="H191" s="258"/>
      <c r="I191" s="258"/>
      <c r="J191" s="258"/>
      <c r="K191" s="258"/>
      <c r="L191" s="258"/>
      <c r="M191" s="258"/>
      <c r="N191" s="258"/>
      <c r="O191" s="258"/>
      <c r="P191" s="258"/>
      <c r="Q191" s="258"/>
      <c r="R191" s="258"/>
      <c r="S191" s="258"/>
      <c r="T191" s="258"/>
      <c r="U191" s="258"/>
      <c r="V191" s="258"/>
      <c r="W191" s="258"/>
      <c r="X191" s="258"/>
      <c r="Y191" s="258"/>
      <c r="Z191" s="258"/>
    </row>
    <row r="192" ht="12.75" customHeight="1">
      <c r="A192" s="258"/>
      <c r="B192" s="258"/>
      <c r="C192" s="258"/>
      <c r="D192" s="258"/>
      <c r="E192" s="258"/>
      <c r="F192" s="314"/>
      <c r="G192" s="258"/>
      <c r="H192" s="258"/>
      <c r="I192" s="258"/>
      <c r="J192" s="258"/>
      <c r="K192" s="258"/>
      <c r="L192" s="258"/>
      <c r="M192" s="258"/>
      <c r="N192" s="258"/>
      <c r="O192" s="258"/>
      <c r="P192" s="258"/>
      <c r="Q192" s="258"/>
      <c r="R192" s="258"/>
      <c r="S192" s="258"/>
      <c r="T192" s="258"/>
      <c r="U192" s="258"/>
      <c r="V192" s="258"/>
      <c r="W192" s="258"/>
      <c r="X192" s="258"/>
      <c r="Y192" s="258"/>
      <c r="Z192" s="258"/>
    </row>
    <row r="193" ht="12.75" customHeight="1">
      <c r="A193" s="258"/>
      <c r="B193" s="258"/>
      <c r="C193" s="258"/>
      <c r="D193" s="258"/>
      <c r="E193" s="258"/>
      <c r="F193" s="314"/>
      <c r="G193" s="258"/>
      <c r="H193" s="258"/>
      <c r="I193" s="258"/>
      <c r="J193" s="258"/>
      <c r="K193" s="258"/>
      <c r="L193" s="258"/>
      <c r="M193" s="258"/>
      <c r="N193" s="258"/>
      <c r="O193" s="258"/>
      <c r="P193" s="258"/>
      <c r="Q193" s="258"/>
      <c r="R193" s="258"/>
      <c r="S193" s="258"/>
      <c r="T193" s="258"/>
      <c r="U193" s="258"/>
      <c r="V193" s="258"/>
      <c r="W193" s="258"/>
      <c r="X193" s="258"/>
      <c r="Y193" s="258"/>
      <c r="Z193" s="258"/>
    </row>
    <row r="194" ht="12.75" customHeight="1">
      <c r="A194" s="258"/>
      <c r="B194" s="258"/>
      <c r="C194" s="258"/>
      <c r="D194" s="258"/>
      <c r="E194" s="258"/>
      <c r="F194" s="314"/>
      <c r="G194" s="258"/>
      <c r="H194" s="258"/>
      <c r="I194" s="258"/>
      <c r="J194" s="258"/>
      <c r="K194" s="258"/>
      <c r="L194" s="258"/>
      <c r="M194" s="258"/>
      <c r="N194" s="258"/>
      <c r="O194" s="258"/>
      <c r="P194" s="258"/>
      <c r="Q194" s="258"/>
      <c r="R194" s="258"/>
      <c r="S194" s="258"/>
      <c r="T194" s="258"/>
      <c r="U194" s="258"/>
      <c r="V194" s="258"/>
      <c r="W194" s="258"/>
      <c r="X194" s="258"/>
      <c r="Y194" s="258"/>
      <c r="Z194" s="258"/>
    </row>
    <row r="195" ht="12.75" customHeight="1">
      <c r="A195" s="258"/>
      <c r="B195" s="258"/>
      <c r="C195" s="258"/>
      <c r="D195" s="258"/>
      <c r="E195" s="258"/>
      <c r="F195" s="314"/>
      <c r="G195" s="258"/>
      <c r="H195" s="258"/>
      <c r="I195" s="258"/>
      <c r="J195" s="258"/>
      <c r="K195" s="258"/>
      <c r="L195" s="258"/>
      <c r="M195" s="258"/>
      <c r="N195" s="258"/>
      <c r="O195" s="258"/>
      <c r="P195" s="258"/>
      <c r="Q195" s="258"/>
      <c r="R195" s="258"/>
      <c r="S195" s="258"/>
      <c r="T195" s="258"/>
      <c r="U195" s="258"/>
      <c r="V195" s="258"/>
      <c r="W195" s="258"/>
      <c r="X195" s="258"/>
      <c r="Y195" s="258"/>
      <c r="Z195" s="258"/>
    </row>
    <row r="196" ht="12.75" customHeight="1">
      <c r="A196" s="258"/>
      <c r="B196" s="258"/>
      <c r="C196" s="258"/>
      <c r="D196" s="258"/>
      <c r="E196" s="258"/>
      <c r="F196" s="314"/>
      <c r="G196" s="258"/>
      <c r="H196" s="258"/>
      <c r="I196" s="258"/>
      <c r="J196" s="258"/>
      <c r="K196" s="258"/>
      <c r="L196" s="258"/>
      <c r="M196" s="258"/>
      <c r="N196" s="258"/>
      <c r="O196" s="258"/>
      <c r="P196" s="258"/>
      <c r="Q196" s="258"/>
      <c r="R196" s="258"/>
      <c r="S196" s="258"/>
      <c r="T196" s="258"/>
      <c r="U196" s="258"/>
      <c r="V196" s="258"/>
      <c r="W196" s="258"/>
      <c r="X196" s="258"/>
      <c r="Y196" s="258"/>
      <c r="Z196" s="258"/>
    </row>
    <row r="197" ht="12.75" customHeight="1">
      <c r="A197" s="258"/>
      <c r="B197" s="258"/>
      <c r="C197" s="258"/>
      <c r="D197" s="258"/>
      <c r="E197" s="258"/>
      <c r="F197" s="314"/>
      <c r="G197" s="258"/>
      <c r="H197" s="258"/>
      <c r="I197" s="258"/>
      <c r="J197" s="258"/>
      <c r="K197" s="258"/>
      <c r="L197" s="258"/>
      <c r="M197" s="258"/>
      <c r="N197" s="258"/>
      <c r="O197" s="258"/>
      <c r="P197" s="258"/>
      <c r="Q197" s="258"/>
      <c r="R197" s="258"/>
      <c r="S197" s="258"/>
      <c r="T197" s="258"/>
      <c r="U197" s="258"/>
      <c r="V197" s="258"/>
      <c r="W197" s="258"/>
      <c r="X197" s="258"/>
      <c r="Y197" s="258"/>
      <c r="Z197" s="258"/>
    </row>
    <row r="198" ht="12.75" customHeight="1">
      <c r="A198" s="258"/>
      <c r="B198" s="258"/>
      <c r="C198" s="258"/>
      <c r="D198" s="258"/>
      <c r="E198" s="258"/>
      <c r="F198" s="314"/>
      <c r="G198" s="258"/>
      <c r="H198" s="258"/>
      <c r="I198" s="258"/>
      <c r="J198" s="258"/>
      <c r="K198" s="258"/>
      <c r="L198" s="258"/>
      <c r="M198" s="258"/>
      <c r="N198" s="258"/>
      <c r="O198" s="258"/>
      <c r="P198" s="258"/>
      <c r="Q198" s="258"/>
      <c r="R198" s="258"/>
      <c r="S198" s="258"/>
      <c r="T198" s="258"/>
      <c r="U198" s="258"/>
      <c r="V198" s="258"/>
      <c r="W198" s="258"/>
      <c r="X198" s="258"/>
      <c r="Y198" s="258"/>
      <c r="Z198" s="258"/>
    </row>
    <row r="199" ht="12.75" customHeight="1">
      <c r="A199" s="258"/>
      <c r="B199" s="258"/>
      <c r="C199" s="258"/>
      <c r="D199" s="258"/>
      <c r="E199" s="258"/>
      <c r="F199" s="314"/>
      <c r="G199" s="258"/>
      <c r="H199" s="258"/>
      <c r="I199" s="258"/>
      <c r="J199" s="258"/>
      <c r="K199" s="258"/>
      <c r="L199" s="258"/>
      <c r="M199" s="258"/>
      <c r="N199" s="258"/>
      <c r="O199" s="258"/>
      <c r="P199" s="258"/>
      <c r="Q199" s="258"/>
      <c r="R199" s="258"/>
      <c r="S199" s="258"/>
      <c r="T199" s="258"/>
      <c r="U199" s="258"/>
      <c r="V199" s="258"/>
      <c r="W199" s="258"/>
      <c r="X199" s="258"/>
      <c r="Y199" s="258"/>
      <c r="Z199" s="258"/>
    </row>
    <row r="200" ht="12.75" customHeight="1">
      <c r="A200" s="258"/>
      <c r="B200" s="258"/>
      <c r="C200" s="258"/>
      <c r="D200" s="258"/>
      <c r="E200" s="258"/>
      <c r="F200" s="314"/>
      <c r="G200" s="258"/>
      <c r="H200" s="258"/>
      <c r="I200" s="258"/>
      <c r="J200" s="258"/>
      <c r="K200" s="258"/>
      <c r="L200" s="258"/>
      <c r="M200" s="258"/>
      <c r="N200" s="258"/>
      <c r="O200" s="258"/>
      <c r="P200" s="258"/>
      <c r="Q200" s="258"/>
      <c r="R200" s="258"/>
      <c r="S200" s="258"/>
      <c r="T200" s="258"/>
      <c r="U200" s="258"/>
      <c r="V200" s="258"/>
      <c r="W200" s="258"/>
      <c r="X200" s="258"/>
      <c r="Y200" s="258"/>
      <c r="Z200" s="258"/>
    </row>
    <row r="201" ht="12.75" customHeight="1">
      <c r="A201" s="258"/>
      <c r="B201" s="258"/>
      <c r="C201" s="258"/>
      <c r="D201" s="258"/>
      <c r="E201" s="258"/>
      <c r="F201" s="314"/>
      <c r="G201" s="258"/>
      <c r="H201" s="258"/>
      <c r="I201" s="258"/>
      <c r="J201" s="258"/>
      <c r="K201" s="258"/>
      <c r="L201" s="258"/>
      <c r="M201" s="258"/>
      <c r="N201" s="258"/>
      <c r="O201" s="258"/>
      <c r="P201" s="258"/>
      <c r="Q201" s="258"/>
      <c r="R201" s="258"/>
      <c r="S201" s="258"/>
      <c r="T201" s="258"/>
      <c r="U201" s="258"/>
      <c r="V201" s="258"/>
      <c r="W201" s="258"/>
      <c r="X201" s="258"/>
      <c r="Y201" s="258"/>
      <c r="Z201" s="258"/>
    </row>
    <row r="202" ht="12.75" customHeight="1">
      <c r="A202" s="258"/>
      <c r="B202" s="258"/>
      <c r="C202" s="258"/>
      <c r="D202" s="258"/>
      <c r="E202" s="258"/>
      <c r="F202" s="314"/>
      <c r="G202" s="258"/>
      <c r="H202" s="258"/>
      <c r="I202" s="258"/>
      <c r="J202" s="258"/>
      <c r="K202" s="258"/>
      <c r="L202" s="258"/>
      <c r="M202" s="258"/>
      <c r="N202" s="258"/>
      <c r="O202" s="258"/>
      <c r="P202" s="258"/>
      <c r="Q202" s="258"/>
      <c r="R202" s="258"/>
      <c r="S202" s="258"/>
      <c r="T202" s="258"/>
      <c r="U202" s="258"/>
      <c r="V202" s="258"/>
      <c r="W202" s="258"/>
      <c r="X202" s="258"/>
      <c r="Y202" s="258"/>
      <c r="Z202" s="258"/>
    </row>
    <row r="203" ht="12.75" customHeight="1">
      <c r="A203" s="258"/>
      <c r="B203" s="258"/>
      <c r="C203" s="258"/>
      <c r="D203" s="258"/>
      <c r="E203" s="258"/>
      <c r="F203" s="314"/>
      <c r="G203" s="258"/>
      <c r="H203" s="258"/>
      <c r="I203" s="258"/>
      <c r="J203" s="258"/>
      <c r="K203" s="258"/>
      <c r="L203" s="258"/>
      <c r="M203" s="258"/>
      <c r="N203" s="258"/>
      <c r="O203" s="258"/>
      <c r="P203" s="258"/>
      <c r="Q203" s="258"/>
      <c r="R203" s="258"/>
      <c r="S203" s="258"/>
      <c r="T203" s="258"/>
      <c r="U203" s="258"/>
      <c r="V203" s="258"/>
      <c r="W203" s="258"/>
      <c r="X203" s="258"/>
      <c r="Y203" s="258"/>
      <c r="Z203" s="258"/>
    </row>
    <row r="204" ht="12.75" customHeight="1">
      <c r="A204" s="258"/>
      <c r="B204" s="258"/>
      <c r="C204" s="258"/>
      <c r="D204" s="258"/>
      <c r="E204" s="258"/>
      <c r="F204" s="314"/>
      <c r="G204" s="258"/>
      <c r="H204" s="258"/>
      <c r="I204" s="258"/>
      <c r="J204" s="258"/>
      <c r="K204" s="258"/>
      <c r="L204" s="258"/>
      <c r="M204" s="258"/>
      <c r="N204" s="258"/>
      <c r="O204" s="258"/>
      <c r="P204" s="258"/>
      <c r="Q204" s="258"/>
      <c r="R204" s="258"/>
      <c r="S204" s="258"/>
      <c r="T204" s="258"/>
      <c r="U204" s="258"/>
      <c r="V204" s="258"/>
      <c r="W204" s="258"/>
      <c r="X204" s="258"/>
      <c r="Y204" s="258"/>
      <c r="Z204" s="258"/>
    </row>
    <row r="205" ht="12.75" customHeight="1">
      <c r="A205" s="258"/>
      <c r="B205" s="258"/>
      <c r="C205" s="258"/>
      <c r="D205" s="258"/>
      <c r="E205" s="258"/>
      <c r="F205" s="314"/>
      <c r="G205" s="258"/>
      <c r="H205" s="258"/>
      <c r="I205" s="258"/>
      <c r="J205" s="258"/>
      <c r="K205" s="258"/>
      <c r="L205" s="258"/>
      <c r="M205" s="258"/>
      <c r="N205" s="258"/>
      <c r="O205" s="258"/>
      <c r="P205" s="258"/>
      <c r="Q205" s="258"/>
      <c r="R205" s="258"/>
      <c r="S205" s="258"/>
      <c r="T205" s="258"/>
      <c r="U205" s="258"/>
      <c r="V205" s="258"/>
      <c r="W205" s="258"/>
      <c r="X205" s="258"/>
      <c r="Y205" s="258"/>
      <c r="Z205" s="258"/>
    </row>
    <row r="206" ht="12.75" customHeight="1">
      <c r="A206" s="258"/>
      <c r="B206" s="258"/>
      <c r="C206" s="258"/>
      <c r="D206" s="258"/>
      <c r="E206" s="258"/>
      <c r="F206" s="314"/>
      <c r="G206" s="258"/>
      <c r="H206" s="258"/>
      <c r="I206" s="258"/>
      <c r="J206" s="258"/>
      <c r="K206" s="258"/>
      <c r="L206" s="258"/>
      <c r="M206" s="258"/>
      <c r="N206" s="258"/>
      <c r="O206" s="258"/>
      <c r="P206" s="258"/>
      <c r="Q206" s="258"/>
      <c r="R206" s="258"/>
      <c r="S206" s="258"/>
      <c r="T206" s="258"/>
      <c r="U206" s="258"/>
      <c r="V206" s="258"/>
      <c r="W206" s="258"/>
      <c r="X206" s="258"/>
      <c r="Y206" s="258"/>
      <c r="Z206" s="258"/>
    </row>
    <row r="207" ht="12.75" customHeight="1">
      <c r="A207" s="258"/>
      <c r="B207" s="258"/>
      <c r="C207" s="258"/>
      <c r="D207" s="258"/>
      <c r="E207" s="258"/>
      <c r="F207" s="314"/>
      <c r="G207" s="258"/>
      <c r="H207" s="258"/>
      <c r="I207" s="258"/>
      <c r="J207" s="258"/>
      <c r="K207" s="258"/>
      <c r="L207" s="258"/>
      <c r="M207" s="258"/>
      <c r="N207" s="258"/>
      <c r="O207" s="258"/>
      <c r="P207" s="258"/>
      <c r="Q207" s="258"/>
      <c r="R207" s="258"/>
      <c r="S207" s="258"/>
      <c r="T207" s="258"/>
      <c r="U207" s="258"/>
      <c r="V207" s="258"/>
      <c r="W207" s="258"/>
      <c r="X207" s="258"/>
      <c r="Y207" s="258"/>
      <c r="Z207" s="258"/>
    </row>
    <row r="208" ht="12.75" customHeight="1">
      <c r="A208" s="258"/>
      <c r="B208" s="258"/>
      <c r="C208" s="258"/>
      <c r="D208" s="258"/>
      <c r="E208" s="258"/>
      <c r="F208" s="314"/>
      <c r="G208" s="258"/>
      <c r="H208" s="258"/>
      <c r="I208" s="258"/>
      <c r="J208" s="258"/>
      <c r="K208" s="258"/>
      <c r="L208" s="258"/>
      <c r="M208" s="258"/>
      <c r="N208" s="258"/>
      <c r="O208" s="258"/>
      <c r="P208" s="258"/>
      <c r="Q208" s="258"/>
      <c r="R208" s="258"/>
      <c r="S208" s="258"/>
      <c r="T208" s="258"/>
      <c r="U208" s="258"/>
      <c r="V208" s="258"/>
      <c r="W208" s="258"/>
      <c r="X208" s="258"/>
      <c r="Y208" s="258"/>
      <c r="Z208" s="258"/>
    </row>
    <row r="209" ht="12.75" customHeight="1">
      <c r="A209" s="258"/>
      <c r="B209" s="258"/>
      <c r="C209" s="258"/>
      <c r="D209" s="258"/>
      <c r="E209" s="258"/>
      <c r="F209" s="314"/>
      <c r="G209" s="258"/>
      <c r="H209" s="258"/>
      <c r="I209" s="258"/>
      <c r="J209" s="258"/>
      <c r="K209" s="258"/>
      <c r="L209" s="258"/>
      <c r="M209" s="258"/>
      <c r="N209" s="258"/>
      <c r="O209" s="258"/>
      <c r="P209" s="258"/>
      <c r="Q209" s="258"/>
      <c r="R209" s="258"/>
      <c r="S209" s="258"/>
      <c r="T209" s="258"/>
      <c r="U209" s="258"/>
      <c r="V209" s="258"/>
      <c r="W209" s="258"/>
      <c r="X209" s="258"/>
      <c r="Y209" s="258"/>
      <c r="Z209" s="258"/>
    </row>
    <row r="210" ht="12.75" customHeight="1">
      <c r="A210" s="258"/>
      <c r="B210" s="258"/>
      <c r="C210" s="258"/>
      <c r="D210" s="258"/>
      <c r="E210" s="258"/>
      <c r="F210" s="314"/>
      <c r="G210" s="258"/>
      <c r="H210" s="258"/>
      <c r="I210" s="258"/>
      <c r="J210" s="258"/>
      <c r="K210" s="258"/>
      <c r="L210" s="258"/>
      <c r="M210" s="258"/>
      <c r="N210" s="258"/>
      <c r="O210" s="258"/>
      <c r="P210" s="258"/>
      <c r="Q210" s="258"/>
      <c r="R210" s="258"/>
      <c r="S210" s="258"/>
      <c r="T210" s="258"/>
      <c r="U210" s="258"/>
      <c r="V210" s="258"/>
      <c r="W210" s="258"/>
      <c r="X210" s="258"/>
      <c r="Y210" s="258"/>
      <c r="Z210" s="258"/>
    </row>
    <row r="211" ht="12.75" customHeight="1">
      <c r="A211" s="258"/>
      <c r="B211" s="258"/>
      <c r="C211" s="258"/>
      <c r="D211" s="258"/>
      <c r="E211" s="258"/>
      <c r="F211" s="314"/>
      <c r="G211" s="258"/>
      <c r="H211" s="258"/>
      <c r="I211" s="258"/>
      <c r="J211" s="258"/>
      <c r="K211" s="258"/>
      <c r="L211" s="258"/>
      <c r="M211" s="258"/>
      <c r="N211" s="258"/>
      <c r="O211" s="258"/>
      <c r="P211" s="258"/>
      <c r="Q211" s="258"/>
      <c r="R211" s="258"/>
      <c r="S211" s="258"/>
      <c r="T211" s="258"/>
      <c r="U211" s="258"/>
      <c r="V211" s="258"/>
      <c r="W211" s="258"/>
      <c r="X211" s="258"/>
      <c r="Y211" s="258"/>
      <c r="Z211" s="258"/>
    </row>
    <row r="212" ht="12.75" customHeight="1">
      <c r="A212" s="258"/>
      <c r="B212" s="258"/>
      <c r="C212" s="258"/>
      <c r="D212" s="258"/>
      <c r="E212" s="258"/>
      <c r="F212" s="314"/>
      <c r="G212" s="258"/>
      <c r="H212" s="258"/>
      <c r="I212" s="258"/>
      <c r="J212" s="258"/>
      <c r="K212" s="258"/>
      <c r="L212" s="258"/>
      <c r="M212" s="258"/>
      <c r="N212" s="258"/>
      <c r="O212" s="258"/>
      <c r="P212" s="258"/>
      <c r="Q212" s="258"/>
      <c r="R212" s="258"/>
      <c r="S212" s="258"/>
      <c r="T212" s="258"/>
      <c r="U212" s="258"/>
      <c r="V212" s="258"/>
      <c r="W212" s="258"/>
      <c r="X212" s="258"/>
      <c r="Y212" s="258"/>
      <c r="Z212" s="258"/>
    </row>
    <row r="213" ht="12.75" customHeight="1">
      <c r="A213" s="258"/>
      <c r="B213" s="258"/>
      <c r="C213" s="258"/>
      <c r="D213" s="258"/>
      <c r="E213" s="258"/>
      <c r="F213" s="314"/>
      <c r="G213" s="258"/>
      <c r="H213" s="258"/>
      <c r="I213" s="258"/>
      <c r="J213" s="258"/>
      <c r="K213" s="258"/>
      <c r="L213" s="258"/>
      <c r="M213" s="258"/>
      <c r="N213" s="258"/>
      <c r="O213" s="258"/>
      <c r="P213" s="258"/>
      <c r="Q213" s="258"/>
      <c r="R213" s="258"/>
      <c r="S213" s="258"/>
      <c r="T213" s="258"/>
      <c r="U213" s="258"/>
      <c r="V213" s="258"/>
      <c r="W213" s="258"/>
      <c r="X213" s="258"/>
      <c r="Y213" s="258"/>
      <c r="Z213" s="258"/>
    </row>
    <row r="214" ht="12.75" customHeight="1">
      <c r="A214" s="258"/>
      <c r="B214" s="258"/>
      <c r="C214" s="258"/>
      <c r="D214" s="258"/>
      <c r="E214" s="258"/>
      <c r="F214" s="314"/>
      <c r="G214" s="258"/>
      <c r="H214" s="258"/>
      <c r="I214" s="258"/>
      <c r="J214" s="258"/>
      <c r="K214" s="258"/>
      <c r="L214" s="258"/>
      <c r="M214" s="258"/>
      <c r="N214" s="258"/>
      <c r="O214" s="258"/>
      <c r="P214" s="258"/>
      <c r="Q214" s="258"/>
      <c r="R214" s="258"/>
      <c r="S214" s="258"/>
      <c r="T214" s="258"/>
      <c r="U214" s="258"/>
      <c r="V214" s="258"/>
      <c r="W214" s="258"/>
      <c r="X214" s="258"/>
      <c r="Y214" s="258"/>
      <c r="Z214" s="258"/>
    </row>
    <row r="215" ht="12.75" customHeight="1">
      <c r="A215" s="258"/>
      <c r="B215" s="258"/>
      <c r="C215" s="258"/>
      <c r="D215" s="258"/>
      <c r="E215" s="258"/>
      <c r="F215" s="314"/>
      <c r="G215" s="258"/>
      <c r="H215" s="258"/>
      <c r="I215" s="258"/>
      <c r="J215" s="258"/>
      <c r="K215" s="258"/>
      <c r="L215" s="258"/>
      <c r="M215" s="258"/>
      <c r="N215" s="258"/>
      <c r="O215" s="258"/>
      <c r="P215" s="258"/>
      <c r="Q215" s="258"/>
      <c r="R215" s="258"/>
      <c r="S215" s="258"/>
      <c r="T215" s="258"/>
      <c r="U215" s="258"/>
      <c r="V215" s="258"/>
      <c r="W215" s="258"/>
      <c r="X215" s="258"/>
      <c r="Y215" s="258"/>
      <c r="Z215" s="258"/>
    </row>
    <row r="216" ht="12.75" customHeight="1">
      <c r="A216" s="258"/>
      <c r="B216" s="258"/>
      <c r="C216" s="258"/>
      <c r="D216" s="258"/>
      <c r="E216" s="258"/>
      <c r="F216" s="314"/>
      <c r="G216" s="258"/>
      <c r="H216" s="258"/>
      <c r="I216" s="258"/>
      <c r="J216" s="258"/>
      <c r="K216" s="258"/>
      <c r="L216" s="258"/>
      <c r="M216" s="258"/>
      <c r="N216" s="258"/>
      <c r="O216" s="258"/>
      <c r="P216" s="258"/>
      <c r="Q216" s="258"/>
      <c r="R216" s="258"/>
      <c r="S216" s="258"/>
      <c r="T216" s="258"/>
      <c r="U216" s="258"/>
      <c r="V216" s="258"/>
      <c r="W216" s="258"/>
      <c r="X216" s="258"/>
      <c r="Y216" s="258"/>
      <c r="Z216" s="258"/>
    </row>
    <row r="217" ht="12.75" customHeight="1">
      <c r="A217" s="258"/>
      <c r="B217" s="258"/>
      <c r="C217" s="258"/>
      <c r="D217" s="258"/>
      <c r="E217" s="258"/>
      <c r="F217" s="314"/>
      <c r="G217" s="258"/>
      <c r="H217" s="258"/>
      <c r="I217" s="258"/>
      <c r="J217" s="258"/>
      <c r="K217" s="258"/>
      <c r="L217" s="258"/>
      <c r="M217" s="258"/>
      <c r="N217" s="258"/>
      <c r="O217" s="258"/>
      <c r="P217" s="258"/>
      <c r="Q217" s="258"/>
      <c r="R217" s="258"/>
      <c r="S217" s="258"/>
      <c r="T217" s="258"/>
      <c r="U217" s="258"/>
      <c r="V217" s="258"/>
      <c r="W217" s="258"/>
      <c r="X217" s="258"/>
      <c r="Y217" s="258"/>
      <c r="Z217" s="258"/>
    </row>
    <row r="218" ht="12.75" customHeight="1">
      <c r="A218" s="258"/>
      <c r="B218" s="258"/>
      <c r="C218" s="258"/>
      <c r="D218" s="258"/>
      <c r="E218" s="258"/>
      <c r="F218" s="314"/>
      <c r="G218" s="258"/>
      <c r="H218" s="258"/>
      <c r="I218" s="258"/>
      <c r="J218" s="258"/>
      <c r="K218" s="258"/>
      <c r="L218" s="258"/>
      <c r="M218" s="258"/>
      <c r="N218" s="258"/>
      <c r="O218" s="258"/>
      <c r="P218" s="258"/>
      <c r="Q218" s="258"/>
      <c r="R218" s="258"/>
      <c r="S218" s="258"/>
      <c r="T218" s="258"/>
      <c r="U218" s="258"/>
      <c r="V218" s="258"/>
      <c r="W218" s="258"/>
      <c r="X218" s="258"/>
      <c r="Y218" s="258"/>
      <c r="Z218" s="258"/>
    </row>
    <row r="219" ht="12.75" customHeight="1">
      <c r="A219" s="258"/>
      <c r="B219" s="258"/>
      <c r="C219" s="258"/>
      <c r="D219" s="258"/>
      <c r="E219" s="258"/>
      <c r="F219" s="314"/>
      <c r="G219" s="258"/>
      <c r="H219" s="258"/>
      <c r="I219" s="258"/>
      <c r="J219" s="258"/>
      <c r="K219" s="258"/>
      <c r="L219" s="258"/>
      <c r="M219" s="258"/>
      <c r="N219" s="258"/>
      <c r="O219" s="258"/>
      <c r="P219" s="258"/>
      <c r="Q219" s="258"/>
      <c r="R219" s="258"/>
      <c r="S219" s="258"/>
      <c r="T219" s="258"/>
      <c r="U219" s="258"/>
      <c r="V219" s="258"/>
      <c r="W219" s="258"/>
      <c r="X219" s="258"/>
      <c r="Y219" s="258"/>
      <c r="Z219" s="258"/>
    </row>
    <row r="220" ht="12.75" customHeight="1">
      <c r="A220" s="258"/>
      <c r="B220" s="258"/>
      <c r="C220" s="258"/>
      <c r="D220" s="258"/>
      <c r="E220" s="258"/>
      <c r="F220" s="314"/>
      <c r="G220" s="258"/>
      <c r="H220" s="258"/>
      <c r="I220" s="258"/>
      <c r="J220" s="258"/>
      <c r="K220" s="258"/>
      <c r="L220" s="258"/>
      <c r="M220" s="258"/>
      <c r="N220" s="258"/>
      <c r="O220" s="258"/>
      <c r="P220" s="258"/>
      <c r="Q220" s="258"/>
      <c r="R220" s="258"/>
      <c r="S220" s="258"/>
      <c r="T220" s="258"/>
      <c r="U220" s="258"/>
      <c r="V220" s="258"/>
      <c r="W220" s="258"/>
      <c r="X220" s="258"/>
      <c r="Y220" s="258"/>
      <c r="Z220" s="258"/>
    </row>
  </sheetData>
  <pageMargins left="0.7875" right="0.7875" top="1.025" bottom="1.025" header="0" footer="0"/>
  <pageSetup firstPageNumber="1" fitToHeight="1" fitToWidth="1" scale="100" useFirstPageNumber="0" orientation="portrait" pageOrder="downThenOver"/>
  <headerFooter>
    <oddHeader>&amp;C&amp;"Calibri,Regular"&amp;10&amp;K000000ELECTRICIDAD</oddHeader>
    <oddFooter>&amp;C&amp;"Calibri,Regular"&amp;10&amp;K000000Página &amp;P</oddFooter>
  </headerFooter>
</worksheet>
</file>

<file path=xl/worksheets/sheet7.xml><?xml version="1.0" encoding="utf-8"?>
<worksheet xmlns:r="http://schemas.openxmlformats.org/officeDocument/2006/relationships" xmlns="http://schemas.openxmlformats.org/spreadsheetml/2006/main">
  <dimension ref="A1:Z220"/>
  <sheetViews>
    <sheetView workbookViewId="0" showGridLines="0" defaultGridColor="1"/>
  </sheetViews>
  <sheetFormatPr defaultColWidth="14.4" defaultRowHeight="15" customHeight="1" outlineLevelRow="0" outlineLevelCol="0"/>
  <cols>
    <col min="1" max="2" width="10.8125" style="436" customWidth="1"/>
    <col min="3" max="3" width="17.4219" style="436" customWidth="1"/>
    <col min="4" max="4" width="17.8125" style="436" customWidth="1"/>
    <col min="5" max="5" width="14" style="436" customWidth="1"/>
    <col min="6" max="6" width="14.2109" style="436" customWidth="1"/>
    <col min="7" max="26" width="8.8125" style="436" customWidth="1"/>
    <col min="27" max="16384" width="14.4219" style="436" customWidth="1"/>
  </cols>
  <sheetData>
    <row r="1" ht="12.75" customHeight="1">
      <c r="A1" t="s" s="259">
        <v>1136</v>
      </c>
      <c r="B1" t="s" s="260">
        <v>23</v>
      </c>
      <c r="C1" t="s" s="260">
        <v>24</v>
      </c>
      <c r="D1" t="s" s="260">
        <v>1137</v>
      </c>
      <c r="E1" t="s" s="260">
        <v>26</v>
      </c>
      <c r="F1" t="s" s="260">
        <v>27</v>
      </c>
      <c r="G1" t="s" s="371">
        <v>28</v>
      </c>
      <c r="H1" s="257"/>
      <c r="I1" s="258"/>
      <c r="J1" s="258"/>
      <c r="K1" s="258"/>
      <c r="L1" s="258"/>
      <c r="M1" s="258"/>
      <c r="N1" s="258"/>
      <c r="O1" s="258"/>
      <c r="P1" s="258"/>
      <c r="Q1" s="258"/>
      <c r="R1" s="258"/>
      <c r="S1" s="258"/>
      <c r="T1" s="258"/>
      <c r="U1" s="258"/>
      <c r="V1" s="258"/>
      <c r="W1" s="258"/>
      <c r="X1" s="258"/>
      <c r="Y1" s="258"/>
      <c r="Z1" s="258"/>
    </row>
    <row r="2" ht="12.75" customHeight="1">
      <c r="A2" s="287">
        <v>43123</v>
      </c>
      <c r="B2" s="282"/>
      <c r="C2" t="s" s="259">
        <v>255</v>
      </c>
      <c r="D2" t="s" s="293">
        <v>1199</v>
      </c>
      <c r="E2" s="373">
        <v>21450</v>
      </c>
      <c r="F2" s="374">
        <v>1100</v>
      </c>
      <c r="G2" s="373" cm="1">
        <f t="array" ref="G2">E2/F2</f>
        <v>19.5</v>
      </c>
      <c r="H2" s="257"/>
      <c r="I2" s="258"/>
      <c r="J2" s="258"/>
      <c r="K2" s="258"/>
      <c r="L2" s="258"/>
      <c r="M2" s="258"/>
      <c r="N2" s="258"/>
      <c r="O2" s="258"/>
      <c r="P2" s="258"/>
      <c r="Q2" s="258"/>
      <c r="R2" s="258"/>
      <c r="S2" s="258"/>
      <c r="T2" s="258"/>
      <c r="U2" s="258"/>
      <c r="V2" s="258"/>
      <c r="W2" s="258"/>
      <c r="X2" s="258"/>
      <c r="Y2" s="258"/>
      <c r="Z2" s="258"/>
    </row>
    <row r="3" ht="12.75" customHeight="1">
      <c r="A3" s="290">
        <v>43149</v>
      </c>
      <c r="B3" s="275"/>
      <c r="C3" t="s" s="274">
        <v>1589</v>
      </c>
      <c r="D3" t="s" s="375">
        <v>1199</v>
      </c>
      <c r="E3" s="376">
        <v>38000</v>
      </c>
      <c r="F3" s="377">
        <v>1800</v>
      </c>
      <c r="G3" s="376" cm="1">
        <f t="array" ref="G3">E3/F3</f>
        <v>21.1111111111111</v>
      </c>
      <c r="H3" s="257"/>
      <c r="I3" s="258"/>
      <c r="J3" s="258"/>
      <c r="K3" s="258"/>
      <c r="L3" s="258"/>
      <c r="M3" s="258"/>
      <c r="N3" s="258"/>
      <c r="O3" s="258"/>
      <c r="P3" s="258"/>
      <c r="Q3" s="258"/>
      <c r="R3" s="258"/>
      <c r="S3" s="258"/>
      <c r="T3" s="258"/>
      <c r="U3" s="258"/>
      <c r="V3" s="258"/>
      <c r="W3" s="258"/>
      <c r="X3" s="258"/>
      <c r="Y3" s="258"/>
      <c r="Z3" s="258"/>
    </row>
    <row r="4" ht="12.75" customHeight="1">
      <c r="A4" s="287">
        <v>43231</v>
      </c>
      <c r="B4" s="282"/>
      <c r="C4" t="s" s="259">
        <v>185</v>
      </c>
      <c r="D4" t="s" s="293">
        <v>1199</v>
      </c>
      <c r="E4" s="373">
        <v>3668</v>
      </c>
      <c r="F4" s="374">
        <v>158</v>
      </c>
      <c r="G4" s="373" cm="1">
        <f t="array" ref="G4">E4/F4</f>
        <v>23.2151898734177</v>
      </c>
      <c r="H4" s="257"/>
      <c r="I4" s="258"/>
      <c r="J4" s="258"/>
      <c r="K4" s="258"/>
      <c r="L4" s="258"/>
      <c r="M4" s="258"/>
      <c r="N4" s="258"/>
      <c r="O4" s="258"/>
      <c r="P4" s="258"/>
      <c r="Q4" s="258"/>
      <c r="R4" s="258"/>
      <c r="S4" s="258"/>
      <c r="T4" s="258"/>
      <c r="U4" s="258"/>
      <c r="V4" s="258"/>
      <c r="W4" s="258"/>
      <c r="X4" s="258"/>
      <c r="Y4" s="258"/>
      <c r="Z4" s="258"/>
    </row>
    <row r="5" ht="12.75" customHeight="1">
      <c r="A5" s="290">
        <v>43270</v>
      </c>
      <c r="B5" s="275"/>
      <c r="C5" t="s" s="274">
        <v>185</v>
      </c>
      <c r="D5" t="s" s="276">
        <v>1201</v>
      </c>
      <c r="E5" s="277">
        <v>20000</v>
      </c>
      <c r="F5" s="279" cm="1">
        <f t="array" ref="F5">E5/G5</f>
        <v>714.285714285714</v>
      </c>
      <c r="G5" s="277">
        <v>28</v>
      </c>
      <c r="H5" s="257"/>
      <c r="I5" s="258"/>
      <c r="J5" s="258"/>
      <c r="K5" s="258"/>
      <c r="L5" s="258"/>
      <c r="M5" s="258"/>
      <c r="N5" s="258"/>
      <c r="O5" s="258"/>
      <c r="P5" s="258"/>
      <c r="Q5" s="258"/>
      <c r="R5" s="258"/>
      <c r="S5" s="258"/>
      <c r="T5" s="258"/>
      <c r="U5" s="258"/>
      <c r="V5" s="258"/>
      <c r="W5" s="258"/>
      <c r="X5" s="258"/>
      <c r="Y5" s="258"/>
      <c r="Z5" s="258"/>
    </row>
    <row r="6" ht="12.75" customHeight="1">
      <c r="A6" s="287">
        <v>43336</v>
      </c>
      <c r="B6" s="327">
        <v>147</v>
      </c>
      <c r="C6" t="s" s="259">
        <v>1590</v>
      </c>
      <c r="D6" t="s" s="283">
        <v>1591</v>
      </c>
      <c r="E6" s="284">
        <v>3000</v>
      </c>
      <c r="F6" s="286">
        <v>90</v>
      </c>
      <c r="G6" s="284" cm="1">
        <f t="array" ref="G6">E6/F6</f>
        <v>33.3333333333333</v>
      </c>
      <c r="H6" s="257"/>
      <c r="I6" s="258"/>
      <c r="J6" s="258"/>
      <c r="K6" s="258"/>
      <c r="L6" s="258"/>
      <c r="M6" s="258"/>
      <c r="N6" s="258"/>
      <c r="O6" s="258"/>
      <c r="P6" s="258"/>
      <c r="Q6" s="258"/>
      <c r="R6" s="258"/>
      <c r="S6" s="258"/>
      <c r="T6" s="258"/>
      <c r="U6" s="258"/>
      <c r="V6" s="258"/>
      <c r="W6" s="258"/>
      <c r="X6" s="258"/>
      <c r="Y6" s="258"/>
      <c r="Z6" s="258"/>
    </row>
    <row r="7" ht="12.75" customHeight="1">
      <c r="A7" s="287"/>
      <c r="B7" s="282"/>
      <c r="C7" s="294"/>
      <c r="D7" s="282"/>
      <c r="E7" s="373"/>
      <c r="F7" s="374"/>
      <c r="G7" s="373"/>
      <c r="H7" s="257"/>
      <c r="I7" s="258"/>
      <c r="J7" s="258"/>
      <c r="K7" s="258"/>
      <c r="L7" s="258"/>
      <c r="M7" s="258"/>
      <c r="N7" s="258"/>
      <c r="O7" s="258"/>
      <c r="P7" s="258"/>
      <c r="Q7" s="258"/>
      <c r="R7" s="258"/>
      <c r="S7" s="258"/>
      <c r="T7" s="258"/>
      <c r="U7" s="258"/>
      <c r="V7" s="258"/>
      <c r="W7" s="258"/>
      <c r="X7" s="258"/>
      <c r="Y7" s="258"/>
      <c r="Z7" s="258"/>
    </row>
    <row r="8" ht="12.75" customHeight="1">
      <c r="A8" s="287"/>
      <c r="B8" s="437"/>
      <c r="C8" s="438"/>
      <c r="D8" s="437"/>
      <c r="E8" s="439"/>
      <c r="F8" s="440"/>
      <c r="G8" s="373"/>
      <c r="H8" s="257"/>
      <c r="I8" s="258"/>
      <c r="J8" s="258"/>
      <c r="K8" s="258"/>
      <c r="L8" s="258"/>
      <c r="M8" s="258"/>
      <c r="N8" s="258"/>
      <c r="O8" s="258"/>
      <c r="P8" s="258"/>
      <c r="Q8" s="258"/>
      <c r="R8" s="258"/>
      <c r="S8" s="258"/>
      <c r="T8" s="258"/>
      <c r="U8" s="258"/>
      <c r="V8" s="258"/>
      <c r="W8" s="258"/>
      <c r="X8" s="258"/>
      <c r="Y8" s="258"/>
      <c r="Z8" s="258"/>
    </row>
    <row r="9" ht="12.75" customHeight="1">
      <c r="A9" s="417"/>
      <c r="B9" t="s" s="418">
        <v>13</v>
      </c>
      <c r="C9" s="419"/>
      <c r="D9" s="419"/>
      <c r="E9" s="420" cm="1">
        <f t="array" ref="E9">SUM(E3:E7)</f>
        <v>64668</v>
      </c>
      <c r="F9" s="441" cm="1">
        <f t="array" ref="F9">SUM(F3:F7)</f>
        <v>2762.285714285710</v>
      </c>
      <c r="G9" s="421"/>
      <c r="H9" s="422"/>
      <c r="I9" s="326"/>
      <c r="J9" s="258"/>
      <c r="K9" s="258"/>
      <c r="L9" s="258"/>
      <c r="M9" s="258"/>
      <c r="N9" s="258"/>
      <c r="O9" s="258"/>
      <c r="P9" s="258"/>
      <c r="Q9" s="258"/>
      <c r="R9" s="258"/>
      <c r="S9" s="258"/>
      <c r="T9" s="258"/>
      <c r="U9" s="258"/>
      <c r="V9" s="258"/>
      <c r="W9" s="258"/>
      <c r="X9" s="258"/>
      <c r="Y9" s="258"/>
      <c r="Z9" s="258"/>
    </row>
    <row r="10" ht="12.75" customHeight="1">
      <c r="A10" s="423"/>
      <c r="B10" s="424"/>
      <c r="C10" s="425"/>
      <c r="D10" s="424"/>
      <c r="E10" s="426"/>
      <c r="F10" s="427"/>
      <c r="G10" s="428"/>
      <c r="H10" s="346"/>
      <c r="I10" s="346"/>
      <c r="J10" s="308"/>
      <c r="K10" s="258"/>
      <c r="L10" s="258"/>
      <c r="M10" s="258"/>
      <c r="N10" s="258"/>
      <c r="O10" s="258"/>
      <c r="P10" s="258"/>
      <c r="Q10" s="258"/>
      <c r="R10" s="258"/>
      <c r="S10" s="258"/>
      <c r="T10" s="258"/>
      <c r="U10" s="258"/>
      <c r="V10" s="258"/>
      <c r="W10" s="258"/>
      <c r="X10" s="258"/>
      <c r="Y10" s="258"/>
      <c r="Z10" s="258"/>
    </row>
    <row r="11" ht="12.75" customHeight="1">
      <c r="A11" s="423"/>
      <c r="B11" s="346"/>
      <c r="C11" s="429"/>
      <c r="D11" s="346"/>
      <c r="E11" s="428"/>
      <c r="F11" s="430"/>
      <c r="G11" s="428"/>
      <c r="H11" s="346"/>
      <c r="I11" s="346"/>
      <c r="J11" s="308"/>
      <c r="K11" s="258"/>
      <c r="L11" s="258"/>
      <c r="M11" s="258"/>
      <c r="N11" s="258"/>
      <c r="O11" s="258"/>
      <c r="P11" s="258"/>
      <c r="Q11" s="258"/>
      <c r="R11" s="258"/>
      <c r="S11" s="258"/>
      <c r="T11" s="258"/>
      <c r="U11" s="258"/>
      <c r="V11" s="258"/>
      <c r="W11" s="258"/>
      <c r="X11" s="258"/>
      <c r="Y11" s="258"/>
      <c r="Z11" s="258"/>
    </row>
    <row r="12" ht="12.75" customHeight="1">
      <c r="A12" s="423"/>
      <c r="B12" s="346"/>
      <c r="C12" s="429"/>
      <c r="D12" s="346"/>
      <c r="E12" s="428"/>
      <c r="F12" s="430"/>
      <c r="G12" s="428"/>
      <c r="H12" s="346"/>
      <c r="I12" s="346"/>
      <c r="J12" s="308"/>
      <c r="K12" s="258"/>
      <c r="L12" s="258"/>
      <c r="M12" s="258"/>
      <c r="N12" s="258"/>
      <c r="O12" s="258"/>
      <c r="P12" s="258"/>
      <c r="Q12" s="258"/>
      <c r="R12" s="258"/>
      <c r="S12" s="258"/>
      <c r="T12" s="258"/>
      <c r="U12" s="258"/>
      <c r="V12" s="258"/>
      <c r="W12" s="258"/>
      <c r="X12" s="258"/>
      <c r="Y12" s="258"/>
      <c r="Z12" s="258"/>
    </row>
    <row r="13" ht="12.75" customHeight="1">
      <c r="A13" s="423"/>
      <c r="B13" s="346"/>
      <c r="C13" s="429"/>
      <c r="D13" s="346"/>
      <c r="E13" s="428"/>
      <c r="F13" s="430"/>
      <c r="G13" s="428"/>
      <c r="H13" s="346"/>
      <c r="I13" s="346"/>
      <c r="J13" s="308"/>
      <c r="K13" s="258"/>
      <c r="L13" s="258"/>
      <c r="M13" s="258"/>
      <c r="N13" s="258"/>
      <c r="O13" s="258"/>
      <c r="P13" s="258"/>
      <c r="Q13" s="258"/>
      <c r="R13" s="258"/>
      <c r="S13" s="258"/>
      <c r="T13" s="258"/>
      <c r="U13" s="258"/>
      <c r="V13" s="258"/>
      <c r="W13" s="258"/>
      <c r="X13" s="258"/>
      <c r="Y13" s="258"/>
      <c r="Z13" s="258"/>
    </row>
    <row r="14" ht="12.75" customHeight="1">
      <c r="A14" s="423"/>
      <c r="B14" s="346"/>
      <c r="C14" s="429"/>
      <c r="D14" s="346"/>
      <c r="E14" s="428"/>
      <c r="F14" s="430"/>
      <c r="G14" s="428"/>
      <c r="H14" s="346"/>
      <c r="I14" s="346"/>
      <c r="J14" s="308"/>
      <c r="K14" s="258"/>
      <c r="L14" s="258"/>
      <c r="M14" s="258"/>
      <c r="N14" s="258"/>
      <c r="O14" s="258"/>
      <c r="P14" s="258"/>
      <c r="Q14" s="258"/>
      <c r="R14" s="258"/>
      <c r="S14" s="258"/>
      <c r="T14" s="258"/>
      <c r="U14" s="258"/>
      <c r="V14" s="258"/>
      <c r="W14" s="258"/>
      <c r="X14" s="258"/>
      <c r="Y14" s="258"/>
      <c r="Z14" s="258"/>
    </row>
    <row r="15" ht="12.75" customHeight="1">
      <c r="A15" s="431"/>
      <c r="B15" s="346"/>
      <c r="C15" s="346"/>
      <c r="D15" s="346"/>
      <c r="E15" s="346"/>
      <c r="F15" s="432"/>
      <c r="G15" s="346"/>
      <c r="H15" s="346"/>
      <c r="I15" s="346"/>
      <c r="J15" s="308"/>
      <c r="K15" s="258"/>
      <c r="L15" s="258"/>
      <c r="M15" s="258"/>
      <c r="N15" s="258"/>
      <c r="O15" s="258"/>
      <c r="P15" s="258"/>
      <c r="Q15" s="258"/>
      <c r="R15" s="258"/>
      <c r="S15" s="258"/>
      <c r="T15" s="258"/>
      <c r="U15" s="258"/>
      <c r="V15" s="258"/>
      <c r="W15" s="258"/>
      <c r="X15" s="258"/>
      <c r="Y15" s="258"/>
      <c r="Z15" s="258"/>
    </row>
    <row r="16" ht="12.75" customHeight="1">
      <c r="A16" s="431"/>
      <c r="B16" s="433"/>
      <c r="C16" s="346"/>
      <c r="D16" s="346"/>
      <c r="E16" s="434"/>
      <c r="F16" s="434"/>
      <c r="G16" s="346"/>
      <c r="H16" s="346"/>
      <c r="I16" s="346"/>
      <c r="J16" s="308"/>
      <c r="K16" s="258"/>
      <c r="L16" s="258"/>
      <c r="M16" s="258"/>
      <c r="N16" s="258"/>
      <c r="O16" s="258"/>
      <c r="P16" s="258"/>
      <c r="Q16" s="258"/>
      <c r="R16" s="258"/>
      <c r="S16" s="258"/>
      <c r="T16" s="258"/>
      <c r="U16" s="258"/>
      <c r="V16" s="258"/>
      <c r="W16" s="258"/>
      <c r="X16" s="258"/>
      <c r="Y16" s="258"/>
      <c r="Z16" s="258"/>
    </row>
    <row r="17" ht="12.75" customHeight="1">
      <c r="A17" s="431"/>
      <c r="B17" s="346"/>
      <c r="C17" s="346"/>
      <c r="D17" s="346"/>
      <c r="E17" s="346"/>
      <c r="F17" s="432"/>
      <c r="G17" s="346"/>
      <c r="H17" s="346"/>
      <c r="I17" s="346"/>
      <c r="J17" s="308"/>
      <c r="K17" s="258"/>
      <c r="L17" s="258"/>
      <c r="M17" s="258"/>
      <c r="N17" s="258"/>
      <c r="O17" s="258"/>
      <c r="P17" s="258"/>
      <c r="Q17" s="258"/>
      <c r="R17" s="258"/>
      <c r="S17" s="258"/>
      <c r="T17" s="258"/>
      <c r="U17" s="258"/>
      <c r="V17" s="258"/>
      <c r="W17" s="258"/>
      <c r="X17" s="258"/>
      <c r="Y17" s="258"/>
      <c r="Z17" s="258"/>
    </row>
    <row r="18" ht="12.75" customHeight="1">
      <c r="A18" s="431"/>
      <c r="B18" s="346"/>
      <c r="C18" s="346"/>
      <c r="D18" s="346"/>
      <c r="E18" s="346"/>
      <c r="F18" s="432"/>
      <c r="G18" s="346"/>
      <c r="H18" s="346"/>
      <c r="I18" s="346"/>
      <c r="J18" s="308"/>
      <c r="K18" s="258"/>
      <c r="L18" s="258"/>
      <c r="M18" s="258"/>
      <c r="N18" s="258"/>
      <c r="O18" s="258"/>
      <c r="P18" s="258"/>
      <c r="Q18" s="258"/>
      <c r="R18" s="258"/>
      <c r="S18" s="258"/>
      <c r="T18" s="258"/>
      <c r="U18" s="258"/>
      <c r="V18" s="258"/>
      <c r="W18" s="258"/>
      <c r="X18" s="258"/>
      <c r="Y18" s="258"/>
      <c r="Z18" s="258"/>
    </row>
    <row r="19" ht="12.75" customHeight="1">
      <c r="A19" s="349"/>
      <c r="B19" s="349"/>
      <c r="C19" s="349"/>
      <c r="D19" s="349"/>
      <c r="E19" s="349"/>
      <c r="F19" s="435"/>
      <c r="G19" s="349"/>
      <c r="H19" s="349"/>
      <c r="I19" s="349"/>
      <c r="J19" s="258"/>
      <c r="K19" s="258"/>
      <c r="L19" s="258"/>
      <c r="M19" s="258"/>
      <c r="N19" s="258"/>
      <c r="O19" s="258"/>
      <c r="P19" s="258"/>
      <c r="Q19" s="258"/>
      <c r="R19" s="258"/>
      <c r="S19" s="258"/>
      <c r="T19" s="258"/>
      <c r="U19" s="258"/>
      <c r="V19" s="258"/>
      <c r="W19" s="258"/>
      <c r="X19" s="258"/>
      <c r="Y19" s="258"/>
      <c r="Z19" s="258"/>
    </row>
    <row r="20" ht="12.75" customHeight="1">
      <c r="A20" s="258"/>
      <c r="B20" s="258"/>
      <c r="C20" s="258"/>
      <c r="D20" s="258"/>
      <c r="E20" s="258"/>
      <c r="F20" s="314"/>
      <c r="G20" s="258"/>
      <c r="H20" s="258"/>
      <c r="I20" s="258"/>
      <c r="J20" s="258"/>
      <c r="K20" s="258"/>
      <c r="L20" s="258"/>
      <c r="M20" s="258"/>
      <c r="N20" s="258"/>
      <c r="O20" s="258"/>
      <c r="P20" s="258"/>
      <c r="Q20" s="258"/>
      <c r="R20" s="258"/>
      <c r="S20" s="258"/>
      <c r="T20" s="258"/>
      <c r="U20" s="258"/>
      <c r="V20" s="258"/>
      <c r="W20" s="258"/>
      <c r="X20" s="258"/>
      <c r="Y20" s="258"/>
      <c r="Z20" s="258"/>
    </row>
    <row r="21" ht="12.75" customHeight="1">
      <c r="A21" s="258"/>
      <c r="B21" s="258"/>
      <c r="C21" s="258"/>
      <c r="D21" s="258"/>
      <c r="E21" s="258"/>
      <c r="F21" s="314"/>
      <c r="G21" s="258"/>
      <c r="H21" s="258"/>
      <c r="I21" s="258"/>
      <c r="J21" s="258"/>
      <c r="K21" s="258"/>
      <c r="L21" s="258"/>
      <c r="M21" s="258"/>
      <c r="N21" s="258"/>
      <c r="O21" s="258"/>
      <c r="P21" s="258"/>
      <c r="Q21" s="258"/>
      <c r="R21" s="258"/>
      <c r="S21" s="258"/>
      <c r="T21" s="258"/>
      <c r="U21" s="258"/>
      <c r="V21" s="258"/>
      <c r="W21" s="258"/>
      <c r="X21" s="258"/>
      <c r="Y21" s="258"/>
      <c r="Z21" s="258"/>
    </row>
    <row r="22" ht="12.75" customHeight="1">
      <c r="A22" s="258"/>
      <c r="B22" s="258"/>
      <c r="C22" s="258"/>
      <c r="D22" s="258"/>
      <c r="E22" s="258"/>
      <c r="F22" s="314"/>
      <c r="G22" s="258"/>
      <c r="H22" s="258"/>
      <c r="I22" s="258"/>
      <c r="J22" s="258"/>
      <c r="K22" s="258"/>
      <c r="L22" s="258"/>
      <c r="M22" s="258"/>
      <c r="N22" s="258"/>
      <c r="O22" s="258"/>
      <c r="P22" s="258"/>
      <c r="Q22" s="258"/>
      <c r="R22" s="258"/>
      <c r="S22" s="258"/>
      <c r="T22" s="258"/>
      <c r="U22" s="258"/>
      <c r="V22" s="258"/>
      <c r="W22" s="258"/>
      <c r="X22" s="258"/>
      <c r="Y22" s="258"/>
      <c r="Z22" s="258"/>
    </row>
    <row r="23" ht="12.75" customHeight="1">
      <c r="A23" s="258"/>
      <c r="B23" s="258"/>
      <c r="C23" s="258"/>
      <c r="D23" s="258"/>
      <c r="E23" s="258"/>
      <c r="F23" s="314"/>
      <c r="G23" s="258"/>
      <c r="H23" s="258"/>
      <c r="I23" s="258"/>
      <c r="J23" s="258"/>
      <c r="K23" s="258"/>
      <c r="L23" s="258"/>
      <c r="M23" s="258"/>
      <c r="N23" s="258"/>
      <c r="O23" s="258"/>
      <c r="P23" s="258"/>
      <c r="Q23" s="258"/>
      <c r="R23" s="258"/>
      <c r="S23" s="258"/>
      <c r="T23" s="258"/>
      <c r="U23" s="258"/>
      <c r="V23" s="258"/>
      <c r="W23" s="258"/>
      <c r="X23" s="258"/>
      <c r="Y23" s="258"/>
      <c r="Z23" s="258"/>
    </row>
    <row r="24" ht="12.75" customHeight="1">
      <c r="A24" s="258"/>
      <c r="B24" s="258"/>
      <c r="C24" s="258"/>
      <c r="D24" s="258"/>
      <c r="E24" s="258"/>
      <c r="F24" s="314"/>
      <c r="G24" s="258"/>
      <c r="H24" s="258"/>
      <c r="I24" s="258"/>
      <c r="J24" s="258"/>
      <c r="K24" s="258"/>
      <c r="L24" s="258"/>
      <c r="M24" s="258"/>
      <c r="N24" s="258"/>
      <c r="O24" s="258"/>
      <c r="P24" s="258"/>
      <c r="Q24" s="258"/>
      <c r="R24" s="258"/>
      <c r="S24" s="258"/>
      <c r="T24" s="258"/>
      <c r="U24" s="258"/>
      <c r="V24" s="258"/>
      <c r="W24" s="258"/>
      <c r="X24" s="258"/>
      <c r="Y24" s="258"/>
      <c r="Z24" s="258"/>
    </row>
    <row r="25" ht="12.75" customHeight="1">
      <c r="A25" s="258"/>
      <c r="B25" s="258"/>
      <c r="C25" s="258"/>
      <c r="D25" s="258"/>
      <c r="E25" s="258"/>
      <c r="F25" s="314"/>
      <c r="G25" s="258"/>
      <c r="H25" s="258"/>
      <c r="I25" s="258"/>
      <c r="J25" s="258"/>
      <c r="K25" s="258"/>
      <c r="L25" s="258"/>
      <c r="M25" s="258"/>
      <c r="N25" s="258"/>
      <c r="O25" s="258"/>
      <c r="P25" s="258"/>
      <c r="Q25" s="258"/>
      <c r="R25" s="258"/>
      <c r="S25" s="258"/>
      <c r="T25" s="258"/>
      <c r="U25" s="258"/>
      <c r="V25" s="258"/>
      <c r="W25" s="258"/>
      <c r="X25" s="258"/>
      <c r="Y25" s="258"/>
      <c r="Z25" s="258"/>
    </row>
    <row r="26" ht="12.75" customHeight="1">
      <c r="A26" s="258"/>
      <c r="B26" s="258"/>
      <c r="C26" s="258"/>
      <c r="D26" s="258"/>
      <c r="E26" s="258"/>
      <c r="F26" s="314"/>
      <c r="G26" s="258"/>
      <c r="H26" s="258"/>
      <c r="I26" s="258"/>
      <c r="J26" s="258"/>
      <c r="K26" s="258"/>
      <c r="L26" s="258"/>
      <c r="M26" s="258"/>
      <c r="N26" s="258"/>
      <c r="O26" s="258"/>
      <c r="P26" s="258"/>
      <c r="Q26" s="258"/>
      <c r="R26" s="258"/>
      <c r="S26" s="258"/>
      <c r="T26" s="258"/>
      <c r="U26" s="258"/>
      <c r="V26" s="258"/>
      <c r="W26" s="258"/>
      <c r="X26" s="258"/>
      <c r="Y26" s="258"/>
      <c r="Z26" s="258"/>
    </row>
    <row r="27" ht="12.75" customHeight="1">
      <c r="A27" s="258"/>
      <c r="B27" s="258"/>
      <c r="C27" s="258"/>
      <c r="D27" s="258"/>
      <c r="E27" s="258"/>
      <c r="F27" s="314"/>
      <c r="G27" s="258"/>
      <c r="H27" s="258"/>
      <c r="I27" s="258"/>
      <c r="J27" s="258"/>
      <c r="K27" s="258"/>
      <c r="L27" s="258"/>
      <c r="M27" s="258"/>
      <c r="N27" s="258"/>
      <c r="O27" s="258"/>
      <c r="P27" s="258"/>
      <c r="Q27" s="258"/>
      <c r="R27" s="258"/>
      <c r="S27" s="258"/>
      <c r="T27" s="258"/>
      <c r="U27" s="258"/>
      <c r="V27" s="258"/>
      <c r="W27" s="258"/>
      <c r="X27" s="258"/>
      <c r="Y27" s="258"/>
      <c r="Z27" s="258"/>
    </row>
    <row r="28" ht="12.75" customHeight="1">
      <c r="A28" s="258"/>
      <c r="B28" s="258"/>
      <c r="C28" s="258"/>
      <c r="D28" s="258"/>
      <c r="E28" s="258"/>
      <c r="F28" s="314"/>
      <c r="G28" s="258"/>
      <c r="H28" s="258"/>
      <c r="I28" s="258"/>
      <c r="J28" s="258"/>
      <c r="K28" s="258"/>
      <c r="L28" s="258"/>
      <c r="M28" s="258"/>
      <c r="N28" s="258"/>
      <c r="O28" s="258"/>
      <c r="P28" s="258"/>
      <c r="Q28" s="258"/>
      <c r="R28" s="258"/>
      <c r="S28" s="258"/>
      <c r="T28" s="258"/>
      <c r="U28" s="258"/>
      <c r="V28" s="258"/>
      <c r="W28" s="258"/>
      <c r="X28" s="258"/>
      <c r="Y28" s="258"/>
      <c r="Z28" s="258"/>
    </row>
    <row r="29" ht="12.75" customHeight="1">
      <c r="A29" s="258"/>
      <c r="B29" s="258"/>
      <c r="C29" s="258"/>
      <c r="D29" s="258"/>
      <c r="E29" s="258"/>
      <c r="F29" s="314"/>
      <c r="G29" s="258"/>
      <c r="H29" s="258"/>
      <c r="I29" s="258"/>
      <c r="J29" s="258"/>
      <c r="K29" s="258"/>
      <c r="L29" s="258"/>
      <c r="M29" s="258"/>
      <c r="N29" s="258"/>
      <c r="O29" s="258"/>
      <c r="P29" s="258"/>
      <c r="Q29" s="258"/>
      <c r="R29" s="258"/>
      <c r="S29" s="258"/>
      <c r="T29" s="258"/>
      <c r="U29" s="258"/>
      <c r="V29" s="258"/>
      <c r="W29" s="258"/>
      <c r="X29" s="258"/>
      <c r="Y29" s="258"/>
      <c r="Z29" s="258"/>
    </row>
    <row r="30" ht="12.75" customHeight="1">
      <c r="A30" s="258"/>
      <c r="B30" s="258"/>
      <c r="C30" s="258"/>
      <c r="D30" s="258"/>
      <c r="E30" s="258"/>
      <c r="F30" s="314"/>
      <c r="G30" s="258"/>
      <c r="H30" s="258"/>
      <c r="I30" s="258"/>
      <c r="J30" s="258"/>
      <c r="K30" s="258"/>
      <c r="L30" s="258"/>
      <c r="M30" s="258"/>
      <c r="N30" s="258"/>
      <c r="O30" s="258"/>
      <c r="P30" s="258"/>
      <c r="Q30" s="258"/>
      <c r="R30" s="258"/>
      <c r="S30" s="258"/>
      <c r="T30" s="258"/>
      <c r="U30" s="258"/>
      <c r="V30" s="258"/>
      <c r="W30" s="258"/>
      <c r="X30" s="258"/>
      <c r="Y30" s="258"/>
      <c r="Z30" s="258"/>
    </row>
    <row r="31" ht="12.75" customHeight="1">
      <c r="A31" s="258"/>
      <c r="B31" s="258"/>
      <c r="C31" s="258"/>
      <c r="D31" s="258"/>
      <c r="E31" s="258"/>
      <c r="F31" s="314"/>
      <c r="G31" s="258"/>
      <c r="H31" s="258"/>
      <c r="I31" s="258"/>
      <c r="J31" s="258"/>
      <c r="K31" s="258"/>
      <c r="L31" s="258"/>
      <c r="M31" s="258"/>
      <c r="N31" s="258"/>
      <c r="O31" s="258"/>
      <c r="P31" s="258"/>
      <c r="Q31" s="258"/>
      <c r="R31" s="258"/>
      <c r="S31" s="258"/>
      <c r="T31" s="258"/>
      <c r="U31" s="258"/>
      <c r="V31" s="258"/>
      <c r="W31" s="258"/>
      <c r="X31" s="258"/>
      <c r="Y31" s="258"/>
      <c r="Z31" s="258"/>
    </row>
    <row r="32" ht="12.75" customHeight="1">
      <c r="A32" s="258"/>
      <c r="B32" s="258"/>
      <c r="C32" s="258"/>
      <c r="D32" s="258"/>
      <c r="E32" s="258"/>
      <c r="F32" s="314"/>
      <c r="G32" s="258"/>
      <c r="H32" s="258"/>
      <c r="I32" s="258"/>
      <c r="J32" s="258"/>
      <c r="K32" s="258"/>
      <c r="L32" s="258"/>
      <c r="M32" s="258"/>
      <c r="N32" s="258"/>
      <c r="O32" s="258"/>
      <c r="P32" s="258"/>
      <c r="Q32" s="258"/>
      <c r="R32" s="258"/>
      <c r="S32" s="258"/>
      <c r="T32" s="258"/>
      <c r="U32" s="258"/>
      <c r="V32" s="258"/>
      <c r="W32" s="258"/>
      <c r="X32" s="258"/>
      <c r="Y32" s="258"/>
      <c r="Z32" s="258"/>
    </row>
    <row r="33" ht="12.75" customHeight="1">
      <c r="A33" s="258"/>
      <c r="B33" s="258"/>
      <c r="C33" s="258"/>
      <c r="D33" s="258"/>
      <c r="E33" s="258"/>
      <c r="F33" s="314"/>
      <c r="G33" s="258"/>
      <c r="H33" s="258"/>
      <c r="I33" s="258"/>
      <c r="J33" s="258"/>
      <c r="K33" s="258"/>
      <c r="L33" s="258"/>
      <c r="M33" s="258"/>
      <c r="N33" s="258"/>
      <c r="O33" s="258"/>
      <c r="P33" s="258"/>
      <c r="Q33" s="258"/>
      <c r="R33" s="258"/>
      <c r="S33" s="258"/>
      <c r="T33" s="258"/>
      <c r="U33" s="258"/>
      <c r="V33" s="258"/>
      <c r="W33" s="258"/>
      <c r="X33" s="258"/>
      <c r="Y33" s="258"/>
      <c r="Z33" s="258"/>
    </row>
    <row r="34" ht="12.75" customHeight="1">
      <c r="A34" s="258"/>
      <c r="B34" s="258"/>
      <c r="C34" s="258"/>
      <c r="D34" s="258"/>
      <c r="E34" s="258"/>
      <c r="F34" s="314"/>
      <c r="G34" s="258"/>
      <c r="H34" s="258"/>
      <c r="I34" s="258"/>
      <c r="J34" s="258"/>
      <c r="K34" s="258"/>
      <c r="L34" s="258"/>
      <c r="M34" s="258"/>
      <c r="N34" s="258"/>
      <c r="O34" s="258"/>
      <c r="P34" s="258"/>
      <c r="Q34" s="258"/>
      <c r="R34" s="258"/>
      <c r="S34" s="258"/>
      <c r="T34" s="258"/>
      <c r="U34" s="258"/>
      <c r="V34" s="258"/>
      <c r="W34" s="258"/>
      <c r="X34" s="258"/>
      <c r="Y34" s="258"/>
      <c r="Z34" s="258"/>
    </row>
    <row r="35" ht="12.75" customHeight="1">
      <c r="A35" s="258"/>
      <c r="B35" s="258"/>
      <c r="C35" s="258"/>
      <c r="D35" s="258"/>
      <c r="E35" s="258"/>
      <c r="F35" s="314"/>
      <c r="G35" s="258"/>
      <c r="H35" s="258"/>
      <c r="I35" s="258"/>
      <c r="J35" s="258"/>
      <c r="K35" s="258"/>
      <c r="L35" s="258"/>
      <c r="M35" s="258"/>
      <c r="N35" s="258"/>
      <c r="O35" s="258"/>
      <c r="P35" s="258"/>
      <c r="Q35" s="258"/>
      <c r="R35" s="258"/>
      <c r="S35" s="258"/>
      <c r="T35" s="258"/>
      <c r="U35" s="258"/>
      <c r="V35" s="258"/>
      <c r="W35" s="258"/>
      <c r="X35" s="258"/>
      <c r="Y35" s="258"/>
      <c r="Z35" s="258"/>
    </row>
    <row r="36" ht="12.75" customHeight="1">
      <c r="A36" s="258"/>
      <c r="B36" s="258"/>
      <c r="C36" s="258"/>
      <c r="D36" s="258"/>
      <c r="E36" s="258"/>
      <c r="F36" s="314"/>
      <c r="G36" s="258"/>
      <c r="H36" s="258"/>
      <c r="I36" s="258"/>
      <c r="J36" s="258"/>
      <c r="K36" s="258"/>
      <c r="L36" s="258"/>
      <c r="M36" s="258"/>
      <c r="N36" s="258"/>
      <c r="O36" s="258"/>
      <c r="P36" s="258"/>
      <c r="Q36" s="258"/>
      <c r="R36" s="258"/>
      <c r="S36" s="258"/>
      <c r="T36" s="258"/>
      <c r="U36" s="258"/>
      <c r="V36" s="258"/>
      <c r="W36" s="258"/>
      <c r="X36" s="258"/>
      <c r="Y36" s="258"/>
      <c r="Z36" s="258"/>
    </row>
    <row r="37" ht="12.75" customHeight="1">
      <c r="A37" s="258"/>
      <c r="B37" s="258"/>
      <c r="C37" s="258"/>
      <c r="D37" s="258"/>
      <c r="E37" s="258"/>
      <c r="F37" s="314"/>
      <c r="G37" s="258"/>
      <c r="H37" s="258"/>
      <c r="I37" s="258"/>
      <c r="J37" s="258"/>
      <c r="K37" s="258"/>
      <c r="L37" s="258"/>
      <c r="M37" s="258"/>
      <c r="N37" s="258"/>
      <c r="O37" s="258"/>
      <c r="P37" s="258"/>
      <c r="Q37" s="258"/>
      <c r="R37" s="258"/>
      <c r="S37" s="258"/>
      <c r="T37" s="258"/>
      <c r="U37" s="258"/>
      <c r="V37" s="258"/>
      <c r="W37" s="258"/>
      <c r="X37" s="258"/>
      <c r="Y37" s="258"/>
      <c r="Z37" s="258"/>
    </row>
    <row r="38" ht="12.75" customHeight="1">
      <c r="A38" s="258"/>
      <c r="B38" s="258"/>
      <c r="C38" s="258"/>
      <c r="D38" s="258"/>
      <c r="E38" s="258"/>
      <c r="F38" s="314"/>
      <c r="G38" s="258"/>
      <c r="H38" s="258"/>
      <c r="I38" s="258"/>
      <c r="J38" s="258"/>
      <c r="K38" s="258"/>
      <c r="L38" s="258"/>
      <c r="M38" s="258"/>
      <c r="N38" s="258"/>
      <c r="O38" s="258"/>
      <c r="P38" s="258"/>
      <c r="Q38" s="258"/>
      <c r="R38" s="258"/>
      <c r="S38" s="258"/>
      <c r="T38" s="258"/>
      <c r="U38" s="258"/>
      <c r="V38" s="258"/>
      <c r="W38" s="258"/>
      <c r="X38" s="258"/>
      <c r="Y38" s="258"/>
      <c r="Z38" s="258"/>
    </row>
    <row r="39" ht="12.75" customHeight="1">
      <c r="A39" s="258"/>
      <c r="B39" s="258"/>
      <c r="C39" s="258"/>
      <c r="D39" s="258"/>
      <c r="E39" s="258"/>
      <c r="F39" s="314"/>
      <c r="G39" s="258"/>
      <c r="H39" s="258"/>
      <c r="I39" s="258"/>
      <c r="J39" s="258"/>
      <c r="K39" s="258"/>
      <c r="L39" s="258"/>
      <c r="M39" s="258"/>
      <c r="N39" s="258"/>
      <c r="O39" s="258"/>
      <c r="P39" s="258"/>
      <c r="Q39" s="258"/>
      <c r="R39" s="258"/>
      <c r="S39" s="258"/>
      <c r="T39" s="258"/>
      <c r="U39" s="258"/>
      <c r="V39" s="258"/>
      <c r="W39" s="258"/>
      <c r="X39" s="258"/>
      <c r="Y39" s="258"/>
      <c r="Z39" s="258"/>
    </row>
    <row r="40" ht="12.75" customHeight="1">
      <c r="A40" s="258"/>
      <c r="B40" s="258"/>
      <c r="C40" s="258"/>
      <c r="D40" s="258"/>
      <c r="E40" s="258"/>
      <c r="F40" s="314"/>
      <c r="G40" s="258"/>
      <c r="H40" s="258"/>
      <c r="I40" s="258"/>
      <c r="J40" s="258"/>
      <c r="K40" s="258"/>
      <c r="L40" s="258"/>
      <c r="M40" s="258"/>
      <c r="N40" s="258"/>
      <c r="O40" s="258"/>
      <c r="P40" s="258"/>
      <c r="Q40" s="258"/>
      <c r="R40" s="258"/>
      <c r="S40" s="258"/>
      <c r="T40" s="258"/>
      <c r="U40" s="258"/>
      <c r="V40" s="258"/>
      <c r="W40" s="258"/>
      <c r="X40" s="258"/>
      <c r="Y40" s="258"/>
      <c r="Z40" s="258"/>
    </row>
    <row r="41" ht="12.75" customHeight="1">
      <c r="A41" s="258"/>
      <c r="B41" s="258"/>
      <c r="C41" s="258"/>
      <c r="D41" s="258"/>
      <c r="E41" s="258"/>
      <c r="F41" s="314"/>
      <c r="G41" s="258"/>
      <c r="H41" s="258"/>
      <c r="I41" s="258"/>
      <c r="J41" s="258"/>
      <c r="K41" s="258"/>
      <c r="L41" s="258"/>
      <c r="M41" s="258"/>
      <c r="N41" s="258"/>
      <c r="O41" s="258"/>
      <c r="P41" s="258"/>
      <c r="Q41" s="258"/>
      <c r="R41" s="258"/>
      <c r="S41" s="258"/>
      <c r="T41" s="258"/>
      <c r="U41" s="258"/>
      <c r="V41" s="258"/>
      <c r="W41" s="258"/>
      <c r="X41" s="258"/>
      <c r="Y41" s="258"/>
      <c r="Z41" s="258"/>
    </row>
    <row r="42" ht="12.75" customHeight="1">
      <c r="A42" s="258"/>
      <c r="B42" s="258"/>
      <c r="C42" s="258"/>
      <c r="D42" s="258"/>
      <c r="E42" s="258"/>
      <c r="F42" s="314"/>
      <c r="G42" s="258"/>
      <c r="H42" s="258"/>
      <c r="I42" s="258"/>
      <c r="J42" s="258"/>
      <c r="K42" s="258"/>
      <c r="L42" s="258"/>
      <c r="M42" s="258"/>
      <c r="N42" s="258"/>
      <c r="O42" s="258"/>
      <c r="P42" s="258"/>
      <c r="Q42" s="258"/>
      <c r="R42" s="258"/>
      <c r="S42" s="258"/>
      <c r="T42" s="258"/>
      <c r="U42" s="258"/>
      <c r="V42" s="258"/>
      <c r="W42" s="258"/>
      <c r="X42" s="258"/>
      <c r="Y42" s="258"/>
      <c r="Z42" s="258"/>
    </row>
    <row r="43" ht="12.75" customHeight="1">
      <c r="A43" s="258"/>
      <c r="B43" s="258"/>
      <c r="C43" s="258"/>
      <c r="D43" s="258"/>
      <c r="E43" s="258"/>
      <c r="F43" s="314"/>
      <c r="G43" s="258"/>
      <c r="H43" s="258"/>
      <c r="I43" s="258"/>
      <c r="J43" s="258"/>
      <c r="K43" s="258"/>
      <c r="L43" s="258"/>
      <c r="M43" s="258"/>
      <c r="N43" s="258"/>
      <c r="O43" s="258"/>
      <c r="P43" s="258"/>
      <c r="Q43" s="258"/>
      <c r="R43" s="258"/>
      <c r="S43" s="258"/>
      <c r="T43" s="258"/>
      <c r="U43" s="258"/>
      <c r="V43" s="258"/>
      <c r="W43" s="258"/>
      <c r="X43" s="258"/>
      <c r="Y43" s="258"/>
      <c r="Z43" s="258"/>
    </row>
    <row r="44" ht="12.75" customHeight="1">
      <c r="A44" s="258"/>
      <c r="B44" s="258"/>
      <c r="C44" s="258"/>
      <c r="D44" s="258"/>
      <c r="E44" s="258"/>
      <c r="F44" s="314"/>
      <c r="G44" s="258"/>
      <c r="H44" s="258"/>
      <c r="I44" s="258"/>
      <c r="J44" s="258"/>
      <c r="K44" s="258"/>
      <c r="L44" s="258"/>
      <c r="M44" s="258"/>
      <c r="N44" s="258"/>
      <c r="O44" s="258"/>
      <c r="P44" s="258"/>
      <c r="Q44" s="258"/>
      <c r="R44" s="258"/>
      <c r="S44" s="258"/>
      <c r="T44" s="258"/>
      <c r="U44" s="258"/>
      <c r="V44" s="258"/>
      <c r="W44" s="258"/>
      <c r="X44" s="258"/>
      <c r="Y44" s="258"/>
      <c r="Z44" s="258"/>
    </row>
    <row r="45" ht="12.75" customHeight="1">
      <c r="A45" s="258"/>
      <c r="B45" s="258"/>
      <c r="C45" s="258"/>
      <c r="D45" s="258"/>
      <c r="E45" s="258"/>
      <c r="F45" s="314"/>
      <c r="G45" s="258"/>
      <c r="H45" s="258"/>
      <c r="I45" s="258"/>
      <c r="J45" s="258"/>
      <c r="K45" s="258"/>
      <c r="L45" s="258"/>
      <c r="M45" s="258"/>
      <c r="N45" s="258"/>
      <c r="O45" s="258"/>
      <c r="P45" s="258"/>
      <c r="Q45" s="258"/>
      <c r="R45" s="258"/>
      <c r="S45" s="258"/>
      <c r="T45" s="258"/>
      <c r="U45" s="258"/>
      <c r="V45" s="258"/>
      <c r="W45" s="258"/>
      <c r="X45" s="258"/>
      <c r="Y45" s="258"/>
      <c r="Z45" s="258"/>
    </row>
    <row r="46" ht="12.75" customHeight="1">
      <c r="A46" s="258"/>
      <c r="B46" s="258"/>
      <c r="C46" s="258"/>
      <c r="D46" s="258"/>
      <c r="E46" s="258"/>
      <c r="F46" s="314"/>
      <c r="G46" s="258"/>
      <c r="H46" s="258"/>
      <c r="I46" s="258"/>
      <c r="J46" s="258"/>
      <c r="K46" s="258"/>
      <c r="L46" s="258"/>
      <c r="M46" s="258"/>
      <c r="N46" s="258"/>
      <c r="O46" s="258"/>
      <c r="P46" s="258"/>
      <c r="Q46" s="258"/>
      <c r="R46" s="258"/>
      <c r="S46" s="258"/>
      <c r="T46" s="258"/>
      <c r="U46" s="258"/>
      <c r="V46" s="258"/>
      <c r="W46" s="258"/>
      <c r="X46" s="258"/>
      <c r="Y46" s="258"/>
      <c r="Z46" s="258"/>
    </row>
    <row r="47" ht="12.75" customHeight="1">
      <c r="A47" s="258"/>
      <c r="B47" s="258"/>
      <c r="C47" s="258"/>
      <c r="D47" s="258"/>
      <c r="E47" s="258"/>
      <c r="F47" s="314"/>
      <c r="G47" s="258"/>
      <c r="H47" s="258"/>
      <c r="I47" s="258"/>
      <c r="J47" s="258"/>
      <c r="K47" s="258"/>
      <c r="L47" s="258"/>
      <c r="M47" s="258"/>
      <c r="N47" s="258"/>
      <c r="O47" s="258"/>
      <c r="P47" s="258"/>
      <c r="Q47" s="258"/>
      <c r="R47" s="258"/>
      <c r="S47" s="258"/>
      <c r="T47" s="258"/>
      <c r="U47" s="258"/>
      <c r="V47" s="258"/>
      <c r="W47" s="258"/>
      <c r="X47" s="258"/>
      <c r="Y47" s="258"/>
      <c r="Z47" s="258"/>
    </row>
    <row r="48" ht="12.75" customHeight="1">
      <c r="A48" s="258"/>
      <c r="B48" s="258"/>
      <c r="C48" s="258"/>
      <c r="D48" s="258"/>
      <c r="E48" s="258"/>
      <c r="F48" s="314"/>
      <c r="G48" s="258"/>
      <c r="H48" s="258"/>
      <c r="I48" s="258"/>
      <c r="J48" s="258"/>
      <c r="K48" s="258"/>
      <c r="L48" s="258"/>
      <c r="M48" s="258"/>
      <c r="N48" s="258"/>
      <c r="O48" s="258"/>
      <c r="P48" s="258"/>
      <c r="Q48" s="258"/>
      <c r="R48" s="258"/>
      <c r="S48" s="258"/>
      <c r="T48" s="258"/>
      <c r="U48" s="258"/>
      <c r="V48" s="258"/>
      <c r="W48" s="258"/>
      <c r="X48" s="258"/>
      <c r="Y48" s="258"/>
      <c r="Z48" s="258"/>
    </row>
    <row r="49" ht="12.75" customHeight="1">
      <c r="A49" s="258"/>
      <c r="B49" s="258"/>
      <c r="C49" s="258"/>
      <c r="D49" s="258"/>
      <c r="E49" s="258"/>
      <c r="F49" s="314"/>
      <c r="G49" s="258"/>
      <c r="H49" s="258"/>
      <c r="I49" s="258"/>
      <c r="J49" s="258"/>
      <c r="K49" s="258"/>
      <c r="L49" s="258"/>
      <c r="M49" s="258"/>
      <c r="N49" s="258"/>
      <c r="O49" s="258"/>
      <c r="P49" s="258"/>
      <c r="Q49" s="258"/>
      <c r="R49" s="258"/>
      <c r="S49" s="258"/>
      <c r="T49" s="258"/>
      <c r="U49" s="258"/>
      <c r="V49" s="258"/>
      <c r="W49" s="258"/>
      <c r="X49" s="258"/>
      <c r="Y49" s="258"/>
      <c r="Z49" s="258"/>
    </row>
    <row r="50" ht="12.75" customHeight="1">
      <c r="A50" s="258"/>
      <c r="B50" s="258"/>
      <c r="C50" s="258"/>
      <c r="D50" s="258"/>
      <c r="E50" s="258"/>
      <c r="F50" s="314"/>
      <c r="G50" s="258"/>
      <c r="H50" s="258"/>
      <c r="I50" s="258"/>
      <c r="J50" s="258"/>
      <c r="K50" s="258"/>
      <c r="L50" s="258"/>
      <c r="M50" s="258"/>
      <c r="N50" s="258"/>
      <c r="O50" s="258"/>
      <c r="P50" s="258"/>
      <c r="Q50" s="258"/>
      <c r="R50" s="258"/>
      <c r="S50" s="258"/>
      <c r="T50" s="258"/>
      <c r="U50" s="258"/>
      <c r="V50" s="258"/>
      <c r="W50" s="258"/>
      <c r="X50" s="258"/>
      <c r="Y50" s="258"/>
      <c r="Z50" s="258"/>
    </row>
    <row r="51" ht="12.75" customHeight="1">
      <c r="A51" s="258"/>
      <c r="B51" s="258"/>
      <c r="C51" s="258"/>
      <c r="D51" s="258"/>
      <c r="E51" s="258"/>
      <c r="F51" s="314"/>
      <c r="G51" s="258"/>
      <c r="H51" s="258"/>
      <c r="I51" s="258"/>
      <c r="J51" s="258"/>
      <c r="K51" s="258"/>
      <c r="L51" s="258"/>
      <c r="M51" s="258"/>
      <c r="N51" s="258"/>
      <c r="O51" s="258"/>
      <c r="P51" s="258"/>
      <c r="Q51" s="258"/>
      <c r="R51" s="258"/>
      <c r="S51" s="258"/>
      <c r="T51" s="258"/>
      <c r="U51" s="258"/>
      <c r="V51" s="258"/>
      <c r="W51" s="258"/>
      <c r="X51" s="258"/>
      <c r="Y51" s="258"/>
      <c r="Z51" s="258"/>
    </row>
    <row r="52" ht="12.75" customHeight="1">
      <c r="A52" s="258"/>
      <c r="B52" s="258"/>
      <c r="C52" s="258"/>
      <c r="D52" s="258"/>
      <c r="E52" s="258"/>
      <c r="F52" s="314"/>
      <c r="G52" s="258"/>
      <c r="H52" s="258"/>
      <c r="I52" s="258"/>
      <c r="J52" s="258"/>
      <c r="K52" s="258"/>
      <c r="L52" s="258"/>
      <c r="M52" s="258"/>
      <c r="N52" s="258"/>
      <c r="O52" s="258"/>
      <c r="P52" s="258"/>
      <c r="Q52" s="258"/>
      <c r="R52" s="258"/>
      <c r="S52" s="258"/>
      <c r="T52" s="258"/>
      <c r="U52" s="258"/>
      <c r="V52" s="258"/>
      <c r="W52" s="258"/>
      <c r="X52" s="258"/>
      <c r="Y52" s="258"/>
      <c r="Z52" s="258"/>
    </row>
    <row r="53" ht="12.75" customHeight="1">
      <c r="A53" s="258"/>
      <c r="B53" s="258"/>
      <c r="C53" s="258"/>
      <c r="D53" s="258"/>
      <c r="E53" s="258"/>
      <c r="F53" s="314"/>
      <c r="G53" s="258"/>
      <c r="H53" s="258"/>
      <c r="I53" s="258"/>
      <c r="J53" s="258"/>
      <c r="K53" s="258"/>
      <c r="L53" s="258"/>
      <c r="M53" s="258"/>
      <c r="N53" s="258"/>
      <c r="O53" s="258"/>
      <c r="P53" s="258"/>
      <c r="Q53" s="258"/>
      <c r="R53" s="258"/>
      <c r="S53" s="258"/>
      <c r="T53" s="258"/>
      <c r="U53" s="258"/>
      <c r="V53" s="258"/>
      <c r="W53" s="258"/>
      <c r="X53" s="258"/>
      <c r="Y53" s="258"/>
      <c r="Z53" s="258"/>
    </row>
    <row r="54" ht="12.75" customHeight="1">
      <c r="A54" s="258"/>
      <c r="B54" s="258"/>
      <c r="C54" s="258"/>
      <c r="D54" s="258"/>
      <c r="E54" s="258"/>
      <c r="F54" s="314"/>
      <c r="G54" s="258"/>
      <c r="H54" s="258"/>
      <c r="I54" s="258"/>
      <c r="J54" s="258"/>
      <c r="K54" s="258"/>
      <c r="L54" s="258"/>
      <c r="M54" s="258"/>
      <c r="N54" s="258"/>
      <c r="O54" s="258"/>
      <c r="P54" s="258"/>
      <c r="Q54" s="258"/>
      <c r="R54" s="258"/>
      <c r="S54" s="258"/>
      <c r="T54" s="258"/>
      <c r="U54" s="258"/>
      <c r="V54" s="258"/>
      <c r="W54" s="258"/>
      <c r="X54" s="258"/>
      <c r="Y54" s="258"/>
      <c r="Z54" s="258"/>
    </row>
    <row r="55" ht="12.75" customHeight="1">
      <c r="A55" s="258"/>
      <c r="B55" s="258"/>
      <c r="C55" s="258"/>
      <c r="D55" s="258"/>
      <c r="E55" s="258"/>
      <c r="F55" s="314"/>
      <c r="G55" s="258"/>
      <c r="H55" s="258"/>
      <c r="I55" s="258"/>
      <c r="J55" s="258"/>
      <c r="K55" s="258"/>
      <c r="L55" s="258"/>
      <c r="M55" s="258"/>
      <c r="N55" s="258"/>
      <c r="O55" s="258"/>
      <c r="P55" s="258"/>
      <c r="Q55" s="258"/>
      <c r="R55" s="258"/>
      <c r="S55" s="258"/>
      <c r="T55" s="258"/>
      <c r="U55" s="258"/>
      <c r="V55" s="258"/>
      <c r="W55" s="258"/>
      <c r="X55" s="258"/>
      <c r="Y55" s="258"/>
      <c r="Z55" s="258"/>
    </row>
    <row r="56" ht="12.75" customHeight="1">
      <c r="A56" s="258"/>
      <c r="B56" s="258"/>
      <c r="C56" s="258"/>
      <c r="D56" s="258"/>
      <c r="E56" s="258"/>
      <c r="F56" s="314"/>
      <c r="G56" s="258"/>
      <c r="H56" s="258"/>
      <c r="I56" s="258"/>
      <c r="J56" s="258"/>
      <c r="K56" s="258"/>
      <c r="L56" s="258"/>
      <c r="M56" s="258"/>
      <c r="N56" s="258"/>
      <c r="O56" s="258"/>
      <c r="P56" s="258"/>
      <c r="Q56" s="258"/>
      <c r="R56" s="258"/>
      <c r="S56" s="258"/>
      <c r="T56" s="258"/>
      <c r="U56" s="258"/>
      <c r="V56" s="258"/>
      <c r="W56" s="258"/>
      <c r="X56" s="258"/>
      <c r="Y56" s="258"/>
      <c r="Z56" s="258"/>
    </row>
    <row r="57" ht="12.75" customHeight="1">
      <c r="A57" s="258"/>
      <c r="B57" s="258"/>
      <c r="C57" s="258"/>
      <c r="D57" s="258"/>
      <c r="E57" s="258"/>
      <c r="F57" s="314"/>
      <c r="G57" s="258"/>
      <c r="H57" s="258"/>
      <c r="I57" s="258"/>
      <c r="J57" s="258"/>
      <c r="K57" s="258"/>
      <c r="L57" s="258"/>
      <c r="M57" s="258"/>
      <c r="N57" s="258"/>
      <c r="O57" s="258"/>
      <c r="P57" s="258"/>
      <c r="Q57" s="258"/>
      <c r="R57" s="258"/>
      <c r="S57" s="258"/>
      <c r="T57" s="258"/>
      <c r="U57" s="258"/>
      <c r="V57" s="258"/>
      <c r="W57" s="258"/>
      <c r="X57" s="258"/>
      <c r="Y57" s="258"/>
      <c r="Z57" s="258"/>
    </row>
    <row r="58" ht="12.75" customHeight="1">
      <c r="A58" s="258"/>
      <c r="B58" s="258"/>
      <c r="C58" s="258"/>
      <c r="D58" s="258"/>
      <c r="E58" s="258"/>
      <c r="F58" s="314"/>
      <c r="G58" s="258"/>
      <c r="H58" s="258"/>
      <c r="I58" s="258"/>
      <c r="J58" s="258"/>
      <c r="K58" s="258"/>
      <c r="L58" s="258"/>
      <c r="M58" s="258"/>
      <c r="N58" s="258"/>
      <c r="O58" s="258"/>
      <c r="P58" s="258"/>
      <c r="Q58" s="258"/>
      <c r="R58" s="258"/>
      <c r="S58" s="258"/>
      <c r="T58" s="258"/>
      <c r="U58" s="258"/>
      <c r="V58" s="258"/>
      <c r="W58" s="258"/>
      <c r="X58" s="258"/>
      <c r="Y58" s="258"/>
      <c r="Z58" s="258"/>
    </row>
    <row r="59" ht="12.75" customHeight="1">
      <c r="A59" s="258"/>
      <c r="B59" s="258"/>
      <c r="C59" s="258"/>
      <c r="D59" s="258"/>
      <c r="E59" s="258"/>
      <c r="F59" s="314"/>
      <c r="G59" s="258"/>
      <c r="H59" s="258"/>
      <c r="I59" s="258"/>
      <c r="J59" s="258"/>
      <c r="K59" s="258"/>
      <c r="L59" s="258"/>
      <c r="M59" s="258"/>
      <c r="N59" s="258"/>
      <c r="O59" s="258"/>
      <c r="P59" s="258"/>
      <c r="Q59" s="258"/>
      <c r="R59" s="258"/>
      <c r="S59" s="258"/>
      <c r="T59" s="258"/>
      <c r="U59" s="258"/>
      <c r="V59" s="258"/>
      <c r="W59" s="258"/>
      <c r="X59" s="258"/>
      <c r="Y59" s="258"/>
      <c r="Z59" s="258"/>
    </row>
    <row r="60" ht="12.75" customHeight="1">
      <c r="A60" s="258"/>
      <c r="B60" s="258"/>
      <c r="C60" s="258"/>
      <c r="D60" s="258"/>
      <c r="E60" s="258"/>
      <c r="F60" s="314"/>
      <c r="G60" s="258"/>
      <c r="H60" s="258"/>
      <c r="I60" s="258"/>
      <c r="J60" s="258"/>
      <c r="K60" s="258"/>
      <c r="L60" s="258"/>
      <c r="M60" s="258"/>
      <c r="N60" s="258"/>
      <c r="O60" s="258"/>
      <c r="P60" s="258"/>
      <c r="Q60" s="258"/>
      <c r="R60" s="258"/>
      <c r="S60" s="258"/>
      <c r="T60" s="258"/>
      <c r="U60" s="258"/>
      <c r="V60" s="258"/>
      <c r="W60" s="258"/>
      <c r="X60" s="258"/>
      <c r="Y60" s="258"/>
      <c r="Z60" s="258"/>
    </row>
    <row r="61" ht="12.75" customHeight="1">
      <c r="A61" s="258"/>
      <c r="B61" s="258"/>
      <c r="C61" s="258"/>
      <c r="D61" s="258"/>
      <c r="E61" s="258"/>
      <c r="F61" s="314"/>
      <c r="G61" s="258"/>
      <c r="H61" s="258"/>
      <c r="I61" s="258"/>
      <c r="J61" s="258"/>
      <c r="K61" s="258"/>
      <c r="L61" s="258"/>
      <c r="M61" s="258"/>
      <c r="N61" s="258"/>
      <c r="O61" s="258"/>
      <c r="P61" s="258"/>
      <c r="Q61" s="258"/>
      <c r="R61" s="258"/>
      <c r="S61" s="258"/>
      <c r="T61" s="258"/>
      <c r="U61" s="258"/>
      <c r="V61" s="258"/>
      <c r="W61" s="258"/>
      <c r="X61" s="258"/>
      <c r="Y61" s="258"/>
      <c r="Z61" s="258"/>
    </row>
    <row r="62" ht="12.75" customHeight="1">
      <c r="A62" s="258"/>
      <c r="B62" s="258"/>
      <c r="C62" s="258"/>
      <c r="D62" s="258"/>
      <c r="E62" s="258"/>
      <c r="F62" s="314"/>
      <c r="G62" s="258"/>
      <c r="H62" s="258"/>
      <c r="I62" s="258"/>
      <c r="J62" s="258"/>
      <c r="K62" s="258"/>
      <c r="L62" s="258"/>
      <c r="M62" s="258"/>
      <c r="N62" s="258"/>
      <c r="O62" s="258"/>
      <c r="P62" s="258"/>
      <c r="Q62" s="258"/>
      <c r="R62" s="258"/>
      <c r="S62" s="258"/>
      <c r="T62" s="258"/>
      <c r="U62" s="258"/>
      <c r="V62" s="258"/>
      <c r="W62" s="258"/>
      <c r="X62" s="258"/>
      <c r="Y62" s="258"/>
      <c r="Z62" s="258"/>
    </row>
    <row r="63" ht="12.75" customHeight="1">
      <c r="A63" s="258"/>
      <c r="B63" s="258"/>
      <c r="C63" s="258"/>
      <c r="D63" s="258"/>
      <c r="E63" s="258"/>
      <c r="F63" s="314"/>
      <c r="G63" s="258"/>
      <c r="H63" s="258"/>
      <c r="I63" s="258"/>
      <c r="J63" s="258"/>
      <c r="K63" s="258"/>
      <c r="L63" s="258"/>
      <c r="M63" s="258"/>
      <c r="N63" s="258"/>
      <c r="O63" s="258"/>
      <c r="P63" s="258"/>
      <c r="Q63" s="258"/>
      <c r="R63" s="258"/>
      <c r="S63" s="258"/>
      <c r="T63" s="258"/>
      <c r="U63" s="258"/>
      <c r="V63" s="258"/>
      <c r="W63" s="258"/>
      <c r="X63" s="258"/>
      <c r="Y63" s="258"/>
      <c r="Z63" s="258"/>
    </row>
    <row r="64" ht="12.75" customHeight="1">
      <c r="A64" s="258"/>
      <c r="B64" s="258"/>
      <c r="C64" s="258"/>
      <c r="D64" s="258"/>
      <c r="E64" s="258"/>
      <c r="F64" s="314"/>
      <c r="G64" s="258"/>
      <c r="H64" s="258"/>
      <c r="I64" s="258"/>
      <c r="J64" s="258"/>
      <c r="K64" s="258"/>
      <c r="L64" s="258"/>
      <c r="M64" s="258"/>
      <c r="N64" s="258"/>
      <c r="O64" s="258"/>
      <c r="P64" s="258"/>
      <c r="Q64" s="258"/>
      <c r="R64" s="258"/>
      <c r="S64" s="258"/>
      <c r="T64" s="258"/>
      <c r="U64" s="258"/>
      <c r="V64" s="258"/>
      <c r="W64" s="258"/>
      <c r="X64" s="258"/>
      <c r="Y64" s="258"/>
      <c r="Z64" s="258"/>
    </row>
    <row r="65" ht="12.75" customHeight="1">
      <c r="A65" s="258"/>
      <c r="B65" s="258"/>
      <c r="C65" s="258"/>
      <c r="D65" s="258"/>
      <c r="E65" s="258"/>
      <c r="F65" s="314"/>
      <c r="G65" s="258"/>
      <c r="H65" s="258"/>
      <c r="I65" s="258"/>
      <c r="J65" s="258"/>
      <c r="K65" s="258"/>
      <c r="L65" s="258"/>
      <c r="M65" s="258"/>
      <c r="N65" s="258"/>
      <c r="O65" s="258"/>
      <c r="P65" s="258"/>
      <c r="Q65" s="258"/>
      <c r="R65" s="258"/>
      <c r="S65" s="258"/>
      <c r="T65" s="258"/>
      <c r="U65" s="258"/>
      <c r="V65" s="258"/>
      <c r="W65" s="258"/>
      <c r="X65" s="258"/>
      <c r="Y65" s="258"/>
      <c r="Z65" s="258"/>
    </row>
    <row r="66" ht="12.75" customHeight="1">
      <c r="A66" s="258"/>
      <c r="B66" s="258"/>
      <c r="C66" s="258"/>
      <c r="D66" s="258"/>
      <c r="E66" s="258"/>
      <c r="F66" s="314"/>
      <c r="G66" s="258"/>
      <c r="H66" s="258"/>
      <c r="I66" s="258"/>
      <c r="J66" s="258"/>
      <c r="K66" s="258"/>
      <c r="L66" s="258"/>
      <c r="M66" s="258"/>
      <c r="N66" s="258"/>
      <c r="O66" s="258"/>
      <c r="P66" s="258"/>
      <c r="Q66" s="258"/>
      <c r="R66" s="258"/>
      <c r="S66" s="258"/>
      <c r="T66" s="258"/>
      <c r="U66" s="258"/>
      <c r="V66" s="258"/>
      <c r="W66" s="258"/>
      <c r="X66" s="258"/>
      <c r="Y66" s="258"/>
      <c r="Z66" s="258"/>
    </row>
    <row r="67" ht="12.75" customHeight="1">
      <c r="A67" s="258"/>
      <c r="B67" s="258"/>
      <c r="C67" s="258"/>
      <c r="D67" s="258"/>
      <c r="E67" s="258"/>
      <c r="F67" s="314"/>
      <c r="G67" s="258"/>
      <c r="H67" s="258"/>
      <c r="I67" s="258"/>
      <c r="J67" s="258"/>
      <c r="K67" s="258"/>
      <c r="L67" s="258"/>
      <c r="M67" s="258"/>
      <c r="N67" s="258"/>
      <c r="O67" s="258"/>
      <c r="P67" s="258"/>
      <c r="Q67" s="258"/>
      <c r="R67" s="258"/>
      <c r="S67" s="258"/>
      <c r="T67" s="258"/>
      <c r="U67" s="258"/>
      <c r="V67" s="258"/>
      <c r="W67" s="258"/>
      <c r="X67" s="258"/>
      <c r="Y67" s="258"/>
      <c r="Z67" s="258"/>
    </row>
    <row r="68" ht="12.75" customHeight="1">
      <c r="A68" s="258"/>
      <c r="B68" s="258"/>
      <c r="C68" s="258"/>
      <c r="D68" s="258"/>
      <c r="E68" s="258"/>
      <c r="F68" s="314"/>
      <c r="G68" s="258"/>
      <c r="H68" s="258"/>
      <c r="I68" s="258"/>
      <c r="J68" s="258"/>
      <c r="K68" s="258"/>
      <c r="L68" s="258"/>
      <c r="M68" s="258"/>
      <c r="N68" s="258"/>
      <c r="O68" s="258"/>
      <c r="P68" s="258"/>
      <c r="Q68" s="258"/>
      <c r="R68" s="258"/>
      <c r="S68" s="258"/>
      <c r="T68" s="258"/>
      <c r="U68" s="258"/>
      <c r="V68" s="258"/>
      <c r="W68" s="258"/>
      <c r="X68" s="258"/>
      <c r="Y68" s="258"/>
      <c r="Z68" s="258"/>
    </row>
    <row r="69" ht="12.75" customHeight="1">
      <c r="A69" s="258"/>
      <c r="B69" s="258"/>
      <c r="C69" s="258"/>
      <c r="D69" s="258"/>
      <c r="E69" s="258"/>
      <c r="F69" s="314"/>
      <c r="G69" s="258"/>
      <c r="H69" s="258"/>
      <c r="I69" s="258"/>
      <c r="J69" s="258"/>
      <c r="K69" s="258"/>
      <c r="L69" s="258"/>
      <c r="M69" s="258"/>
      <c r="N69" s="258"/>
      <c r="O69" s="258"/>
      <c r="P69" s="258"/>
      <c r="Q69" s="258"/>
      <c r="R69" s="258"/>
      <c r="S69" s="258"/>
      <c r="T69" s="258"/>
      <c r="U69" s="258"/>
      <c r="V69" s="258"/>
      <c r="W69" s="258"/>
      <c r="X69" s="258"/>
      <c r="Y69" s="258"/>
      <c r="Z69" s="258"/>
    </row>
    <row r="70" ht="12.75" customHeight="1">
      <c r="A70" s="258"/>
      <c r="B70" s="258"/>
      <c r="C70" s="258"/>
      <c r="D70" s="258"/>
      <c r="E70" s="258"/>
      <c r="F70" s="314"/>
      <c r="G70" s="258"/>
      <c r="H70" s="258"/>
      <c r="I70" s="258"/>
      <c r="J70" s="258"/>
      <c r="K70" s="258"/>
      <c r="L70" s="258"/>
      <c r="M70" s="258"/>
      <c r="N70" s="258"/>
      <c r="O70" s="258"/>
      <c r="P70" s="258"/>
      <c r="Q70" s="258"/>
      <c r="R70" s="258"/>
      <c r="S70" s="258"/>
      <c r="T70" s="258"/>
      <c r="U70" s="258"/>
      <c r="V70" s="258"/>
      <c r="W70" s="258"/>
      <c r="X70" s="258"/>
      <c r="Y70" s="258"/>
      <c r="Z70" s="258"/>
    </row>
    <row r="71" ht="12.75" customHeight="1">
      <c r="A71" s="258"/>
      <c r="B71" s="258"/>
      <c r="C71" s="258"/>
      <c r="D71" s="258"/>
      <c r="E71" s="258"/>
      <c r="F71" s="314"/>
      <c r="G71" s="258"/>
      <c r="H71" s="258"/>
      <c r="I71" s="258"/>
      <c r="J71" s="258"/>
      <c r="K71" s="258"/>
      <c r="L71" s="258"/>
      <c r="M71" s="258"/>
      <c r="N71" s="258"/>
      <c r="O71" s="258"/>
      <c r="P71" s="258"/>
      <c r="Q71" s="258"/>
      <c r="R71" s="258"/>
      <c r="S71" s="258"/>
      <c r="T71" s="258"/>
      <c r="U71" s="258"/>
      <c r="V71" s="258"/>
      <c r="W71" s="258"/>
      <c r="X71" s="258"/>
      <c r="Y71" s="258"/>
      <c r="Z71" s="258"/>
    </row>
    <row r="72" ht="12.75" customHeight="1">
      <c r="A72" s="258"/>
      <c r="B72" s="258"/>
      <c r="C72" s="258"/>
      <c r="D72" s="258"/>
      <c r="E72" s="258"/>
      <c r="F72" s="314"/>
      <c r="G72" s="258"/>
      <c r="H72" s="258"/>
      <c r="I72" s="258"/>
      <c r="J72" s="258"/>
      <c r="K72" s="258"/>
      <c r="L72" s="258"/>
      <c r="M72" s="258"/>
      <c r="N72" s="258"/>
      <c r="O72" s="258"/>
      <c r="P72" s="258"/>
      <c r="Q72" s="258"/>
      <c r="R72" s="258"/>
      <c r="S72" s="258"/>
      <c r="T72" s="258"/>
      <c r="U72" s="258"/>
      <c r="V72" s="258"/>
      <c r="W72" s="258"/>
      <c r="X72" s="258"/>
      <c r="Y72" s="258"/>
      <c r="Z72" s="258"/>
    </row>
    <row r="73" ht="12.75" customHeight="1">
      <c r="A73" s="258"/>
      <c r="B73" s="258"/>
      <c r="C73" s="258"/>
      <c r="D73" s="258"/>
      <c r="E73" s="258"/>
      <c r="F73" s="314"/>
      <c r="G73" s="258"/>
      <c r="H73" s="258"/>
      <c r="I73" s="258"/>
      <c r="J73" s="258"/>
      <c r="K73" s="258"/>
      <c r="L73" s="258"/>
      <c r="M73" s="258"/>
      <c r="N73" s="258"/>
      <c r="O73" s="258"/>
      <c r="P73" s="258"/>
      <c r="Q73" s="258"/>
      <c r="R73" s="258"/>
      <c r="S73" s="258"/>
      <c r="T73" s="258"/>
      <c r="U73" s="258"/>
      <c r="V73" s="258"/>
      <c r="W73" s="258"/>
      <c r="X73" s="258"/>
      <c r="Y73" s="258"/>
      <c r="Z73" s="258"/>
    </row>
    <row r="74" ht="12.75" customHeight="1">
      <c r="A74" s="258"/>
      <c r="B74" s="258"/>
      <c r="C74" s="258"/>
      <c r="D74" s="258"/>
      <c r="E74" s="258"/>
      <c r="F74" s="314"/>
      <c r="G74" s="258"/>
      <c r="H74" s="258"/>
      <c r="I74" s="258"/>
      <c r="J74" s="258"/>
      <c r="K74" s="258"/>
      <c r="L74" s="258"/>
      <c r="M74" s="258"/>
      <c r="N74" s="258"/>
      <c r="O74" s="258"/>
      <c r="P74" s="258"/>
      <c r="Q74" s="258"/>
      <c r="R74" s="258"/>
      <c r="S74" s="258"/>
      <c r="T74" s="258"/>
      <c r="U74" s="258"/>
      <c r="V74" s="258"/>
      <c r="W74" s="258"/>
      <c r="X74" s="258"/>
      <c r="Y74" s="258"/>
      <c r="Z74" s="258"/>
    </row>
    <row r="75" ht="12.75" customHeight="1">
      <c r="A75" s="258"/>
      <c r="B75" s="258"/>
      <c r="C75" s="258"/>
      <c r="D75" s="258"/>
      <c r="E75" s="258"/>
      <c r="F75" s="314"/>
      <c r="G75" s="258"/>
      <c r="H75" s="258"/>
      <c r="I75" s="258"/>
      <c r="J75" s="258"/>
      <c r="K75" s="258"/>
      <c r="L75" s="258"/>
      <c r="M75" s="258"/>
      <c r="N75" s="258"/>
      <c r="O75" s="258"/>
      <c r="P75" s="258"/>
      <c r="Q75" s="258"/>
      <c r="R75" s="258"/>
      <c r="S75" s="258"/>
      <c r="T75" s="258"/>
      <c r="U75" s="258"/>
      <c r="V75" s="258"/>
      <c r="W75" s="258"/>
      <c r="X75" s="258"/>
      <c r="Y75" s="258"/>
      <c r="Z75" s="258"/>
    </row>
    <row r="76" ht="12.75" customHeight="1">
      <c r="A76" s="258"/>
      <c r="B76" s="258"/>
      <c r="C76" s="258"/>
      <c r="D76" s="258"/>
      <c r="E76" s="258"/>
      <c r="F76" s="314"/>
      <c r="G76" s="258"/>
      <c r="H76" s="258"/>
      <c r="I76" s="258"/>
      <c r="J76" s="258"/>
      <c r="K76" s="258"/>
      <c r="L76" s="258"/>
      <c r="M76" s="258"/>
      <c r="N76" s="258"/>
      <c r="O76" s="258"/>
      <c r="P76" s="258"/>
      <c r="Q76" s="258"/>
      <c r="R76" s="258"/>
      <c r="S76" s="258"/>
      <c r="T76" s="258"/>
      <c r="U76" s="258"/>
      <c r="V76" s="258"/>
      <c r="W76" s="258"/>
      <c r="X76" s="258"/>
      <c r="Y76" s="258"/>
      <c r="Z76" s="258"/>
    </row>
    <row r="77" ht="12.75" customHeight="1">
      <c r="A77" s="258"/>
      <c r="B77" s="258"/>
      <c r="C77" s="258"/>
      <c r="D77" s="258"/>
      <c r="E77" s="258"/>
      <c r="F77" s="314"/>
      <c r="G77" s="258"/>
      <c r="H77" s="258"/>
      <c r="I77" s="258"/>
      <c r="J77" s="258"/>
      <c r="K77" s="258"/>
      <c r="L77" s="258"/>
      <c r="M77" s="258"/>
      <c r="N77" s="258"/>
      <c r="O77" s="258"/>
      <c r="P77" s="258"/>
      <c r="Q77" s="258"/>
      <c r="R77" s="258"/>
      <c r="S77" s="258"/>
      <c r="T77" s="258"/>
      <c r="U77" s="258"/>
      <c r="V77" s="258"/>
      <c r="W77" s="258"/>
      <c r="X77" s="258"/>
      <c r="Y77" s="258"/>
      <c r="Z77" s="258"/>
    </row>
    <row r="78" ht="12.75" customHeight="1">
      <c r="A78" s="258"/>
      <c r="B78" s="258"/>
      <c r="C78" s="258"/>
      <c r="D78" s="258"/>
      <c r="E78" s="258"/>
      <c r="F78" s="314"/>
      <c r="G78" s="258"/>
      <c r="H78" s="258"/>
      <c r="I78" s="258"/>
      <c r="J78" s="258"/>
      <c r="K78" s="258"/>
      <c r="L78" s="258"/>
      <c r="M78" s="258"/>
      <c r="N78" s="258"/>
      <c r="O78" s="258"/>
      <c r="P78" s="258"/>
      <c r="Q78" s="258"/>
      <c r="R78" s="258"/>
      <c r="S78" s="258"/>
      <c r="T78" s="258"/>
      <c r="U78" s="258"/>
      <c r="V78" s="258"/>
      <c r="W78" s="258"/>
      <c r="X78" s="258"/>
      <c r="Y78" s="258"/>
      <c r="Z78" s="258"/>
    </row>
    <row r="79" ht="12.75" customHeight="1">
      <c r="A79" s="258"/>
      <c r="B79" s="258"/>
      <c r="C79" s="258"/>
      <c r="D79" s="258"/>
      <c r="E79" s="258"/>
      <c r="F79" s="314"/>
      <c r="G79" s="258"/>
      <c r="H79" s="258"/>
      <c r="I79" s="258"/>
      <c r="J79" s="258"/>
      <c r="K79" s="258"/>
      <c r="L79" s="258"/>
      <c r="M79" s="258"/>
      <c r="N79" s="258"/>
      <c r="O79" s="258"/>
      <c r="P79" s="258"/>
      <c r="Q79" s="258"/>
      <c r="R79" s="258"/>
      <c r="S79" s="258"/>
      <c r="T79" s="258"/>
      <c r="U79" s="258"/>
      <c r="V79" s="258"/>
      <c r="W79" s="258"/>
      <c r="X79" s="258"/>
      <c r="Y79" s="258"/>
      <c r="Z79" s="258"/>
    </row>
    <row r="80" ht="12.75" customHeight="1">
      <c r="A80" s="258"/>
      <c r="B80" s="258"/>
      <c r="C80" s="258"/>
      <c r="D80" s="258"/>
      <c r="E80" s="258"/>
      <c r="F80" s="314"/>
      <c r="G80" s="258"/>
      <c r="H80" s="258"/>
      <c r="I80" s="258"/>
      <c r="J80" s="258"/>
      <c r="K80" s="258"/>
      <c r="L80" s="258"/>
      <c r="M80" s="258"/>
      <c r="N80" s="258"/>
      <c r="O80" s="258"/>
      <c r="P80" s="258"/>
      <c r="Q80" s="258"/>
      <c r="R80" s="258"/>
      <c r="S80" s="258"/>
      <c r="T80" s="258"/>
      <c r="U80" s="258"/>
      <c r="V80" s="258"/>
      <c r="W80" s="258"/>
      <c r="X80" s="258"/>
      <c r="Y80" s="258"/>
      <c r="Z80" s="258"/>
    </row>
    <row r="81" ht="12.75" customHeight="1">
      <c r="A81" s="258"/>
      <c r="B81" s="258"/>
      <c r="C81" s="258"/>
      <c r="D81" s="258"/>
      <c r="E81" s="258"/>
      <c r="F81" s="314"/>
      <c r="G81" s="258"/>
      <c r="H81" s="258"/>
      <c r="I81" s="258"/>
      <c r="J81" s="258"/>
      <c r="K81" s="258"/>
      <c r="L81" s="258"/>
      <c r="M81" s="258"/>
      <c r="N81" s="258"/>
      <c r="O81" s="258"/>
      <c r="P81" s="258"/>
      <c r="Q81" s="258"/>
      <c r="R81" s="258"/>
      <c r="S81" s="258"/>
      <c r="T81" s="258"/>
      <c r="U81" s="258"/>
      <c r="V81" s="258"/>
      <c r="W81" s="258"/>
      <c r="X81" s="258"/>
      <c r="Y81" s="258"/>
      <c r="Z81" s="258"/>
    </row>
    <row r="82" ht="12.75" customHeight="1">
      <c r="A82" s="258"/>
      <c r="B82" s="258"/>
      <c r="C82" s="258"/>
      <c r="D82" s="258"/>
      <c r="E82" s="258"/>
      <c r="F82" s="314"/>
      <c r="G82" s="258"/>
      <c r="H82" s="258"/>
      <c r="I82" s="258"/>
      <c r="J82" s="258"/>
      <c r="K82" s="258"/>
      <c r="L82" s="258"/>
      <c r="M82" s="258"/>
      <c r="N82" s="258"/>
      <c r="O82" s="258"/>
      <c r="P82" s="258"/>
      <c r="Q82" s="258"/>
      <c r="R82" s="258"/>
      <c r="S82" s="258"/>
      <c r="T82" s="258"/>
      <c r="U82" s="258"/>
      <c r="V82" s="258"/>
      <c r="W82" s="258"/>
      <c r="X82" s="258"/>
      <c r="Y82" s="258"/>
      <c r="Z82" s="258"/>
    </row>
    <row r="83" ht="12.75" customHeight="1">
      <c r="A83" s="258"/>
      <c r="B83" s="258"/>
      <c r="C83" s="258"/>
      <c r="D83" s="258"/>
      <c r="E83" s="258"/>
      <c r="F83" s="314"/>
      <c r="G83" s="258"/>
      <c r="H83" s="258"/>
      <c r="I83" s="258"/>
      <c r="J83" s="258"/>
      <c r="K83" s="258"/>
      <c r="L83" s="258"/>
      <c r="M83" s="258"/>
      <c r="N83" s="258"/>
      <c r="O83" s="258"/>
      <c r="P83" s="258"/>
      <c r="Q83" s="258"/>
      <c r="R83" s="258"/>
      <c r="S83" s="258"/>
      <c r="T83" s="258"/>
      <c r="U83" s="258"/>
      <c r="V83" s="258"/>
      <c r="W83" s="258"/>
      <c r="X83" s="258"/>
      <c r="Y83" s="258"/>
      <c r="Z83" s="258"/>
    </row>
    <row r="84" ht="12.75" customHeight="1">
      <c r="A84" s="258"/>
      <c r="B84" s="258"/>
      <c r="C84" s="258"/>
      <c r="D84" s="258"/>
      <c r="E84" s="258"/>
      <c r="F84" s="314"/>
      <c r="G84" s="258"/>
      <c r="H84" s="258"/>
      <c r="I84" s="258"/>
      <c r="J84" s="258"/>
      <c r="K84" s="258"/>
      <c r="L84" s="258"/>
      <c r="M84" s="258"/>
      <c r="N84" s="258"/>
      <c r="O84" s="258"/>
      <c r="P84" s="258"/>
      <c r="Q84" s="258"/>
      <c r="R84" s="258"/>
      <c r="S84" s="258"/>
      <c r="T84" s="258"/>
      <c r="U84" s="258"/>
      <c r="V84" s="258"/>
      <c r="W84" s="258"/>
      <c r="X84" s="258"/>
      <c r="Y84" s="258"/>
      <c r="Z84" s="258"/>
    </row>
    <row r="85" ht="12.75" customHeight="1">
      <c r="A85" s="258"/>
      <c r="B85" s="258"/>
      <c r="C85" s="258"/>
      <c r="D85" s="258"/>
      <c r="E85" s="258"/>
      <c r="F85" s="314"/>
      <c r="G85" s="258"/>
      <c r="H85" s="258"/>
      <c r="I85" s="258"/>
      <c r="J85" s="258"/>
      <c r="K85" s="258"/>
      <c r="L85" s="258"/>
      <c r="M85" s="258"/>
      <c r="N85" s="258"/>
      <c r="O85" s="258"/>
      <c r="P85" s="258"/>
      <c r="Q85" s="258"/>
      <c r="R85" s="258"/>
      <c r="S85" s="258"/>
      <c r="T85" s="258"/>
      <c r="U85" s="258"/>
      <c r="V85" s="258"/>
      <c r="W85" s="258"/>
      <c r="X85" s="258"/>
      <c r="Y85" s="258"/>
      <c r="Z85" s="258"/>
    </row>
    <row r="86" ht="12.75" customHeight="1">
      <c r="A86" s="258"/>
      <c r="B86" s="258"/>
      <c r="C86" s="258"/>
      <c r="D86" s="258"/>
      <c r="E86" s="258"/>
      <c r="F86" s="314"/>
      <c r="G86" s="258"/>
      <c r="H86" s="258"/>
      <c r="I86" s="258"/>
      <c r="J86" s="258"/>
      <c r="K86" s="258"/>
      <c r="L86" s="258"/>
      <c r="M86" s="258"/>
      <c r="N86" s="258"/>
      <c r="O86" s="258"/>
      <c r="P86" s="258"/>
      <c r="Q86" s="258"/>
      <c r="R86" s="258"/>
      <c r="S86" s="258"/>
      <c r="T86" s="258"/>
      <c r="U86" s="258"/>
      <c r="V86" s="258"/>
      <c r="W86" s="258"/>
      <c r="X86" s="258"/>
      <c r="Y86" s="258"/>
      <c r="Z86" s="258"/>
    </row>
    <row r="87" ht="12.75" customHeight="1">
      <c r="A87" s="258"/>
      <c r="B87" s="258"/>
      <c r="C87" s="258"/>
      <c r="D87" s="258"/>
      <c r="E87" s="258"/>
      <c r="F87" s="314"/>
      <c r="G87" s="258"/>
      <c r="H87" s="258"/>
      <c r="I87" s="258"/>
      <c r="J87" s="258"/>
      <c r="K87" s="258"/>
      <c r="L87" s="258"/>
      <c r="M87" s="258"/>
      <c r="N87" s="258"/>
      <c r="O87" s="258"/>
      <c r="P87" s="258"/>
      <c r="Q87" s="258"/>
      <c r="R87" s="258"/>
      <c r="S87" s="258"/>
      <c r="T87" s="258"/>
      <c r="U87" s="258"/>
      <c r="V87" s="258"/>
      <c r="W87" s="258"/>
      <c r="X87" s="258"/>
      <c r="Y87" s="258"/>
      <c r="Z87" s="258"/>
    </row>
    <row r="88" ht="12.75" customHeight="1">
      <c r="A88" s="258"/>
      <c r="B88" s="258"/>
      <c r="C88" s="258"/>
      <c r="D88" s="258"/>
      <c r="E88" s="258"/>
      <c r="F88" s="314"/>
      <c r="G88" s="258"/>
      <c r="H88" s="258"/>
      <c r="I88" s="258"/>
      <c r="J88" s="258"/>
      <c r="K88" s="258"/>
      <c r="L88" s="258"/>
      <c r="M88" s="258"/>
      <c r="N88" s="258"/>
      <c r="O88" s="258"/>
      <c r="P88" s="258"/>
      <c r="Q88" s="258"/>
      <c r="R88" s="258"/>
      <c r="S88" s="258"/>
      <c r="T88" s="258"/>
      <c r="U88" s="258"/>
      <c r="V88" s="258"/>
      <c r="W88" s="258"/>
      <c r="X88" s="258"/>
      <c r="Y88" s="258"/>
      <c r="Z88" s="258"/>
    </row>
    <row r="89" ht="12.75" customHeight="1">
      <c r="A89" s="258"/>
      <c r="B89" s="258"/>
      <c r="C89" s="258"/>
      <c r="D89" s="258"/>
      <c r="E89" s="258"/>
      <c r="F89" s="314"/>
      <c r="G89" s="258"/>
      <c r="H89" s="258"/>
      <c r="I89" s="258"/>
      <c r="J89" s="258"/>
      <c r="K89" s="258"/>
      <c r="L89" s="258"/>
      <c r="M89" s="258"/>
      <c r="N89" s="258"/>
      <c r="O89" s="258"/>
      <c r="P89" s="258"/>
      <c r="Q89" s="258"/>
      <c r="R89" s="258"/>
      <c r="S89" s="258"/>
      <c r="T89" s="258"/>
      <c r="U89" s="258"/>
      <c r="V89" s="258"/>
      <c r="W89" s="258"/>
      <c r="X89" s="258"/>
      <c r="Y89" s="258"/>
      <c r="Z89" s="258"/>
    </row>
    <row r="90" ht="12.75" customHeight="1">
      <c r="A90" s="258"/>
      <c r="B90" s="258"/>
      <c r="C90" s="258"/>
      <c r="D90" s="258"/>
      <c r="E90" s="258"/>
      <c r="F90" s="314"/>
      <c r="G90" s="258"/>
      <c r="H90" s="258"/>
      <c r="I90" s="258"/>
      <c r="J90" s="258"/>
      <c r="K90" s="258"/>
      <c r="L90" s="258"/>
      <c r="M90" s="258"/>
      <c r="N90" s="258"/>
      <c r="O90" s="258"/>
      <c r="P90" s="258"/>
      <c r="Q90" s="258"/>
      <c r="R90" s="258"/>
      <c r="S90" s="258"/>
      <c r="T90" s="258"/>
      <c r="U90" s="258"/>
      <c r="V90" s="258"/>
      <c r="W90" s="258"/>
      <c r="X90" s="258"/>
      <c r="Y90" s="258"/>
      <c r="Z90" s="258"/>
    </row>
    <row r="91" ht="12.75" customHeight="1">
      <c r="A91" s="258"/>
      <c r="B91" s="258"/>
      <c r="C91" s="258"/>
      <c r="D91" s="258"/>
      <c r="E91" s="258"/>
      <c r="F91" s="314"/>
      <c r="G91" s="258"/>
      <c r="H91" s="258"/>
      <c r="I91" s="258"/>
      <c r="J91" s="258"/>
      <c r="K91" s="258"/>
      <c r="L91" s="258"/>
      <c r="M91" s="258"/>
      <c r="N91" s="258"/>
      <c r="O91" s="258"/>
      <c r="P91" s="258"/>
      <c r="Q91" s="258"/>
      <c r="R91" s="258"/>
      <c r="S91" s="258"/>
      <c r="T91" s="258"/>
      <c r="U91" s="258"/>
      <c r="V91" s="258"/>
      <c r="W91" s="258"/>
      <c r="X91" s="258"/>
      <c r="Y91" s="258"/>
      <c r="Z91" s="258"/>
    </row>
    <row r="92" ht="12.75" customHeight="1">
      <c r="A92" s="258"/>
      <c r="B92" s="258"/>
      <c r="C92" s="258"/>
      <c r="D92" s="258"/>
      <c r="E92" s="258"/>
      <c r="F92" s="314"/>
      <c r="G92" s="258"/>
      <c r="H92" s="258"/>
      <c r="I92" s="258"/>
      <c r="J92" s="258"/>
      <c r="K92" s="258"/>
      <c r="L92" s="258"/>
      <c r="M92" s="258"/>
      <c r="N92" s="258"/>
      <c r="O92" s="258"/>
      <c r="P92" s="258"/>
      <c r="Q92" s="258"/>
      <c r="R92" s="258"/>
      <c r="S92" s="258"/>
      <c r="T92" s="258"/>
      <c r="U92" s="258"/>
      <c r="V92" s="258"/>
      <c r="W92" s="258"/>
      <c r="X92" s="258"/>
      <c r="Y92" s="258"/>
      <c r="Z92" s="258"/>
    </row>
    <row r="93" ht="12.75" customHeight="1">
      <c r="A93" s="258"/>
      <c r="B93" s="258"/>
      <c r="C93" s="258"/>
      <c r="D93" s="258"/>
      <c r="E93" s="258"/>
      <c r="F93" s="314"/>
      <c r="G93" s="258"/>
      <c r="H93" s="258"/>
      <c r="I93" s="258"/>
      <c r="J93" s="258"/>
      <c r="K93" s="258"/>
      <c r="L93" s="258"/>
      <c r="M93" s="258"/>
      <c r="N93" s="258"/>
      <c r="O93" s="258"/>
      <c r="P93" s="258"/>
      <c r="Q93" s="258"/>
      <c r="R93" s="258"/>
      <c r="S93" s="258"/>
      <c r="T93" s="258"/>
      <c r="U93" s="258"/>
      <c r="V93" s="258"/>
      <c r="W93" s="258"/>
      <c r="X93" s="258"/>
      <c r="Y93" s="258"/>
      <c r="Z93" s="258"/>
    </row>
    <row r="94" ht="12.75" customHeight="1">
      <c r="A94" s="258"/>
      <c r="B94" s="258"/>
      <c r="C94" s="258"/>
      <c r="D94" s="258"/>
      <c r="E94" s="258"/>
      <c r="F94" s="314"/>
      <c r="G94" s="258"/>
      <c r="H94" s="258"/>
      <c r="I94" s="258"/>
      <c r="J94" s="258"/>
      <c r="K94" s="258"/>
      <c r="L94" s="258"/>
      <c r="M94" s="258"/>
      <c r="N94" s="258"/>
      <c r="O94" s="258"/>
      <c r="P94" s="258"/>
      <c r="Q94" s="258"/>
      <c r="R94" s="258"/>
      <c r="S94" s="258"/>
      <c r="T94" s="258"/>
      <c r="U94" s="258"/>
      <c r="V94" s="258"/>
      <c r="W94" s="258"/>
      <c r="X94" s="258"/>
      <c r="Y94" s="258"/>
      <c r="Z94" s="258"/>
    </row>
    <row r="95" ht="12.75" customHeight="1">
      <c r="A95" s="258"/>
      <c r="B95" s="258"/>
      <c r="C95" s="258"/>
      <c r="D95" s="258"/>
      <c r="E95" s="258"/>
      <c r="F95" s="314"/>
      <c r="G95" s="258"/>
      <c r="H95" s="258"/>
      <c r="I95" s="258"/>
      <c r="J95" s="258"/>
      <c r="K95" s="258"/>
      <c r="L95" s="258"/>
      <c r="M95" s="258"/>
      <c r="N95" s="258"/>
      <c r="O95" s="258"/>
      <c r="P95" s="258"/>
      <c r="Q95" s="258"/>
      <c r="R95" s="258"/>
      <c r="S95" s="258"/>
      <c r="T95" s="258"/>
      <c r="U95" s="258"/>
      <c r="V95" s="258"/>
      <c r="W95" s="258"/>
      <c r="X95" s="258"/>
      <c r="Y95" s="258"/>
      <c r="Z95" s="258"/>
    </row>
    <row r="96" ht="12.75" customHeight="1">
      <c r="A96" s="258"/>
      <c r="B96" s="258"/>
      <c r="C96" s="258"/>
      <c r="D96" s="258"/>
      <c r="E96" s="258"/>
      <c r="F96" s="314"/>
      <c r="G96" s="258"/>
      <c r="H96" s="258"/>
      <c r="I96" s="258"/>
      <c r="J96" s="258"/>
      <c r="K96" s="258"/>
      <c r="L96" s="258"/>
      <c r="M96" s="258"/>
      <c r="N96" s="258"/>
      <c r="O96" s="258"/>
      <c r="P96" s="258"/>
      <c r="Q96" s="258"/>
      <c r="R96" s="258"/>
      <c r="S96" s="258"/>
      <c r="T96" s="258"/>
      <c r="U96" s="258"/>
      <c r="V96" s="258"/>
      <c r="W96" s="258"/>
      <c r="X96" s="258"/>
      <c r="Y96" s="258"/>
      <c r="Z96" s="258"/>
    </row>
    <row r="97" ht="12.75" customHeight="1">
      <c r="A97" s="258"/>
      <c r="B97" s="258"/>
      <c r="C97" s="258"/>
      <c r="D97" s="258"/>
      <c r="E97" s="258"/>
      <c r="F97" s="314"/>
      <c r="G97" s="258"/>
      <c r="H97" s="258"/>
      <c r="I97" s="258"/>
      <c r="J97" s="258"/>
      <c r="K97" s="258"/>
      <c r="L97" s="258"/>
      <c r="M97" s="258"/>
      <c r="N97" s="258"/>
      <c r="O97" s="258"/>
      <c r="P97" s="258"/>
      <c r="Q97" s="258"/>
      <c r="R97" s="258"/>
      <c r="S97" s="258"/>
      <c r="T97" s="258"/>
      <c r="U97" s="258"/>
      <c r="V97" s="258"/>
      <c r="W97" s="258"/>
      <c r="X97" s="258"/>
      <c r="Y97" s="258"/>
      <c r="Z97" s="258"/>
    </row>
    <row r="98" ht="12.75" customHeight="1">
      <c r="A98" s="258"/>
      <c r="B98" s="258"/>
      <c r="C98" s="258"/>
      <c r="D98" s="258"/>
      <c r="E98" s="258"/>
      <c r="F98" s="314"/>
      <c r="G98" s="258"/>
      <c r="H98" s="258"/>
      <c r="I98" s="258"/>
      <c r="J98" s="258"/>
      <c r="K98" s="258"/>
      <c r="L98" s="258"/>
      <c r="M98" s="258"/>
      <c r="N98" s="258"/>
      <c r="O98" s="258"/>
      <c r="P98" s="258"/>
      <c r="Q98" s="258"/>
      <c r="R98" s="258"/>
      <c r="S98" s="258"/>
      <c r="T98" s="258"/>
      <c r="U98" s="258"/>
      <c r="V98" s="258"/>
      <c r="W98" s="258"/>
      <c r="X98" s="258"/>
      <c r="Y98" s="258"/>
      <c r="Z98" s="258"/>
    </row>
    <row r="99" ht="12.75" customHeight="1">
      <c r="A99" s="258"/>
      <c r="B99" s="258"/>
      <c r="C99" s="258"/>
      <c r="D99" s="258"/>
      <c r="E99" s="258"/>
      <c r="F99" s="314"/>
      <c r="G99" s="258"/>
      <c r="H99" s="258"/>
      <c r="I99" s="258"/>
      <c r="J99" s="258"/>
      <c r="K99" s="258"/>
      <c r="L99" s="258"/>
      <c r="M99" s="258"/>
      <c r="N99" s="258"/>
      <c r="O99" s="258"/>
      <c r="P99" s="258"/>
      <c r="Q99" s="258"/>
      <c r="R99" s="258"/>
      <c r="S99" s="258"/>
      <c r="T99" s="258"/>
      <c r="U99" s="258"/>
      <c r="V99" s="258"/>
      <c r="W99" s="258"/>
      <c r="X99" s="258"/>
      <c r="Y99" s="258"/>
      <c r="Z99" s="258"/>
    </row>
    <row r="100" ht="12.75" customHeight="1">
      <c r="A100" s="258"/>
      <c r="B100" s="258"/>
      <c r="C100" s="258"/>
      <c r="D100" s="258"/>
      <c r="E100" s="258"/>
      <c r="F100" s="314"/>
      <c r="G100" s="258"/>
      <c r="H100" s="258"/>
      <c r="I100" s="258"/>
      <c r="J100" s="258"/>
      <c r="K100" s="258"/>
      <c r="L100" s="258"/>
      <c r="M100" s="258"/>
      <c r="N100" s="258"/>
      <c r="O100" s="258"/>
      <c r="P100" s="258"/>
      <c r="Q100" s="258"/>
      <c r="R100" s="258"/>
      <c r="S100" s="258"/>
      <c r="T100" s="258"/>
      <c r="U100" s="258"/>
      <c r="V100" s="258"/>
      <c r="W100" s="258"/>
      <c r="X100" s="258"/>
      <c r="Y100" s="258"/>
      <c r="Z100" s="258"/>
    </row>
    <row r="101" ht="12.75" customHeight="1">
      <c r="A101" s="258"/>
      <c r="B101" s="258"/>
      <c r="C101" s="258"/>
      <c r="D101" s="258"/>
      <c r="E101" s="258"/>
      <c r="F101" s="314"/>
      <c r="G101" s="258"/>
      <c r="H101" s="258"/>
      <c r="I101" s="258"/>
      <c r="J101" s="258"/>
      <c r="K101" s="258"/>
      <c r="L101" s="258"/>
      <c r="M101" s="258"/>
      <c r="N101" s="258"/>
      <c r="O101" s="258"/>
      <c r="P101" s="258"/>
      <c r="Q101" s="258"/>
      <c r="R101" s="258"/>
      <c r="S101" s="258"/>
      <c r="T101" s="258"/>
      <c r="U101" s="258"/>
      <c r="V101" s="258"/>
      <c r="W101" s="258"/>
      <c r="X101" s="258"/>
      <c r="Y101" s="258"/>
      <c r="Z101" s="258"/>
    </row>
    <row r="102" ht="12.75" customHeight="1">
      <c r="A102" s="258"/>
      <c r="B102" s="258"/>
      <c r="C102" s="258"/>
      <c r="D102" s="258"/>
      <c r="E102" s="258"/>
      <c r="F102" s="314"/>
      <c r="G102" s="258"/>
      <c r="H102" s="258"/>
      <c r="I102" s="258"/>
      <c r="J102" s="258"/>
      <c r="K102" s="258"/>
      <c r="L102" s="258"/>
      <c r="M102" s="258"/>
      <c r="N102" s="258"/>
      <c r="O102" s="258"/>
      <c r="P102" s="258"/>
      <c r="Q102" s="258"/>
      <c r="R102" s="258"/>
      <c r="S102" s="258"/>
      <c r="T102" s="258"/>
      <c r="U102" s="258"/>
      <c r="V102" s="258"/>
      <c r="W102" s="258"/>
      <c r="X102" s="258"/>
      <c r="Y102" s="258"/>
      <c r="Z102" s="258"/>
    </row>
    <row r="103" ht="12.75" customHeight="1">
      <c r="A103" s="258"/>
      <c r="B103" s="258"/>
      <c r="C103" s="258"/>
      <c r="D103" s="258"/>
      <c r="E103" s="258"/>
      <c r="F103" s="314"/>
      <c r="G103" s="258"/>
      <c r="H103" s="258"/>
      <c r="I103" s="258"/>
      <c r="J103" s="258"/>
      <c r="K103" s="258"/>
      <c r="L103" s="258"/>
      <c r="M103" s="258"/>
      <c r="N103" s="258"/>
      <c r="O103" s="258"/>
      <c r="P103" s="258"/>
      <c r="Q103" s="258"/>
      <c r="R103" s="258"/>
      <c r="S103" s="258"/>
      <c r="T103" s="258"/>
      <c r="U103" s="258"/>
      <c r="V103" s="258"/>
      <c r="W103" s="258"/>
      <c r="X103" s="258"/>
      <c r="Y103" s="258"/>
      <c r="Z103" s="258"/>
    </row>
    <row r="104" ht="12.75" customHeight="1">
      <c r="A104" s="258"/>
      <c r="B104" s="258"/>
      <c r="C104" s="258"/>
      <c r="D104" s="258"/>
      <c r="E104" s="258"/>
      <c r="F104" s="314"/>
      <c r="G104" s="258"/>
      <c r="H104" s="258"/>
      <c r="I104" s="258"/>
      <c r="J104" s="258"/>
      <c r="K104" s="258"/>
      <c r="L104" s="258"/>
      <c r="M104" s="258"/>
      <c r="N104" s="258"/>
      <c r="O104" s="258"/>
      <c r="P104" s="258"/>
      <c r="Q104" s="258"/>
      <c r="R104" s="258"/>
      <c r="S104" s="258"/>
      <c r="T104" s="258"/>
      <c r="U104" s="258"/>
      <c r="V104" s="258"/>
      <c r="W104" s="258"/>
      <c r="X104" s="258"/>
      <c r="Y104" s="258"/>
      <c r="Z104" s="258"/>
    </row>
    <row r="105" ht="12.75" customHeight="1">
      <c r="A105" s="258"/>
      <c r="B105" s="258"/>
      <c r="C105" s="258"/>
      <c r="D105" s="258"/>
      <c r="E105" s="258"/>
      <c r="F105" s="314"/>
      <c r="G105" s="258"/>
      <c r="H105" s="258"/>
      <c r="I105" s="258"/>
      <c r="J105" s="258"/>
      <c r="K105" s="258"/>
      <c r="L105" s="258"/>
      <c r="M105" s="258"/>
      <c r="N105" s="258"/>
      <c r="O105" s="258"/>
      <c r="P105" s="258"/>
      <c r="Q105" s="258"/>
      <c r="R105" s="258"/>
      <c r="S105" s="258"/>
      <c r="T105" s="258"/>
      <c r="U105" s="258"/>
      <c r="V105" s="258"/>
      <c r="W105" s="258"/>
      <c r="X105" s="258"/>
      <c r="Y105" s="258"/>
      <c r="Z105" s="258"/>
    </row>
    <row r="106" ht="12.75" customHeight="1">
      <c r="A106" s="258"/>
      <c r="B106" s="258"/>
      <c r="C106" s="258"/>
      <c r="D106" s="258"/>
      <c r="E106" s="258"/>
      <c r="F106" s="314"/>
      <c r="G106" s="258"/>
      <c r="H106" s="258"/>
      <c r="I106" s="258"/>
      <c r="J106" s="258"/>
      <c r="K106" s="258"/>
      <c r="L106" s="258"/>
      <c r="M106" s="258"/>
      <c r="N106" s="258"/>
      <c r="O106" s="258"/>
      <c r="P106" s="258"/>
      <c r="Q106" s="258"/>
      <c r="R106" s="258"/>
      <c r="S106" s="258"/>
      <c r="T106" s="258"/>
      <c r="U106" s="258"/>
      <c r="V106" s="258"/>
      <c r="W106" s="258"/>
      <c r="X106" s="258"/>
      <c r="Y106" s="258"/>
      <c r="Z106" s="258"/>
    </row>
    <row r="107" ht="12.75" customHeight="1">
      <c r="A107" s="258"/>
      <c r="B107" s="258"/>
      <c r="C107" s="258"/>
      <c r="D107" s="258"/>
      <c r="E107" s="258"/>
      <c r="F107" s="314"/>
      <c r="G107" s="258"/>
      <c r="H107" s="258"/>
      <c r="I107" s="258"/>
      <c r="J107" s="258"/>
      <c r="K107" s="258"/>
      <c r="L107" s="258"/>
      <c r="M107" s="258"/>
      <c r="N107" s="258"/>
      <c r="O107" s="258"/>
      <c r="P107" s="258"/>
      <c r="Q107" s="258"/>
      <c r="R107" s="258"/>
      <c r="S107" s="258"/>
      <c r="T107" s="258"/>
      <c r="U107" s="258"/>
      <c r="V107" s="258"/>
      <c r="W107" s="258"/>
      <c r="X107" s="258"/>
      <c r="Y107" s="258"/>
      <c r="Z107" s="258"/>
    </row>
    <row r="108" ht="12.75" customHeight="1">
      <c r="A108" s="258"/>
      <c r="B108" s="258"/>
      <c r="C108" s="258"/>
      <c r="D108" s="258"/>
      <c r="E108" s="258"/>
      <c r="F108" s="314"/>
      <c r="G108" s="258"/>
      <c r="H108" s="258"/>
      <c r="I108" s="258"/>
      <c r="J108" s="258"/>
      <c r="K108" s="258"/>
      <c r="L108" s="258"/>
      <c r="M108" s="258"/>
      <c r="N108" s="258"/>
      <c r="O108" s="258"/>
      <c r="P108" s="258"/>
      <c r="Q108" s="258"/>
      <c r="R108" s="258"/>
      <c r="S108" s="258"/>
      <c r="T108" s="258"/>
      <c r="U108" s="258"/>
      <c r="V108" s="258"/>
      <c r="W108" s="258"/>
      <c r="X108" s="258"/>
      <c r="Y108" s="258"/>
      <c r="Z108" s="258"/>
    </row>
    <row r="109" ht="12.75" customHeight="1">
      <c r="A109" s="258"/>
      <c r="B109" s="258"/>
      <c r="C109" s="258"/>
      <c r="D109" s="258"/>
      <c r="E109" s="258"/>
      <c r="F109" s="314"/>
      <c r="G109" s="258"/>
      <c r="H109" s="258"/>
      <c r="I109" s="258"/>
      <c r="J109" s="258"/>
      <c r="K109" s="258"/>
      <c r="L109" s="258"/>
      <c r="M109" s="258"/>
      <c r="N109" s="258"/>
      <c r="O109" s="258"/>
      <c r="P109" s="258"/>
      <c r="Q109" s="258"/>
      <c r="R109" s="258"/>
      <c r="S109" s="258"/>
      <c r="T109" s="258"/>
      <c r="U109" s="258"/>
      <c r="V109" s="258"/>
      <c r="W109" s="258"/>
      <c r="X109" s="258"/>
      <c r="Y109" s="258"/>
      <c r="Z109" s="258"/>
    </row>
    <row r="110" ht="12.75" customHeight="1">
      <c r="A110" s="258"/>
      <c r="B110" s="258"/>
      <c r="C110" s="258"/>
      <c r="D110" s="258"/>
      <c r="E110" s="258"/>
      <c r="F110" s="314"/>
      <c r="G110" s="258"/>
      <c r="H110" s="258"/>
      <c r="I110" s="258"/>
      <c r="J110" s="258"/>
      <c r="K110" s="258"/>
      <c r="L110" s="258"/>
      <c r="M110" s="258"/>
      <c r="N110" s="258"/>
      <c r="O110" s="258"/>
      <c r="P110" s="258"/>
      <c r="Q110" s="258"/>
      <c r="R110" s="258"/>
      <c r="S110" s="258"/>
      <c r="T110" s="258"/>
      <c r="U110" s="258"/>
      <c r="V110" s="258"/>
      <c r="W110" s="258"/>
      <c r="X110" s="258"/>
      <c r="Y110" s="258"/>
      <c r="Z110" s="258"/>
    </row>
    <row r="111" ht="12.75" customHeight="1">
      <c r="A111" s="258"/>
      <c r="B111" s="258"/>
      <c r="C111" s="258"/>
      <c r="D111" s="258"/>
      <c r="E111" s="258"/>
      <c r="F111" s="314"/>
      <c r="G111" s="258"/>
      <c r="H111" s="258"/>
      <c r="I111" s="258"/>
      <c r="J111" s="258"/>
      <c r="K111" s="258"/>
      <c r="L111" s="258"/>
      <c r="M111" s="258"/>
      <c r="N111" s="258"/>
      <c r="O111" s="258"/>
      <c r="P111" s="258"/>
      <c r="Q111" s="258"/>
      <c r="R111" s="258"/>
      <c r="S111" s="258"/>
      <c r="T111" s="258"/>
      <c r="U111" s="258"/>
      <c r="V111" s="258"/>
      <c r="W111" s="258"/>
      <c r="X111" s="258"/>
      <c r="Y111" s="258"/>
      <c r="Z111" s="258"/>
    </row>
    <row r="112" ht="12.75" customHeight="1">
      <c r="A112" s="258"/>
      <c r="B112" s="258"/>
      <c r="C112" s="258"/>
      <c r="D112" s="258"/>
      <c r="E112" s="258"/>
      <c r="F112" s="314"/>
      <c r="G112" s="258"/>
      <c r="H112" s="258"/>
      <c r="I112" s="258"/>
      <c r="J112" s="258"/>
      <c r="K112" s="258"/>
      <c r="L112" s="258"/>
      <c r="M112" s="258"/>
      <c r="N112" s="258"/>
      <c r="O112" s="258"/>
      <c r="P112" s="258"/>
      <c r="Q112" s="258"/>
      <c r="R112" s="258"/>
      <c r="S112" s="258"/>
      <c r="T112" s="258"/>
      <c r="U112" s="258"/>
      <c r="V112" s="258"/>
      <c r="W112" s="258"/>
      <c r="X112" s="258"/>
      <c r="Y112" s="258"/>
      <c r="Z112" s="258"/>
    </row>
    <row r="113" ht="12.75" customHeight="1">
      <c r="A113" s="258"/>
      <c r="B113" s="258"/>
      <c r="C113" s="258"/>
      <c r="D113" s="258"/>
      <c r="E113" s="258"/>
      <c r="F113" s="314"/>
      <c r="G113" s="258"/>
      <c r="H113" s="258"/>
      <c r="I113" s="258"/>
      <c r="J113" s="258"/>
      <c r="K113" s="258"/>
      <c r="L113" s="258"/>
      <c r="M113" s="258"/>
      <c r="N113" s="258"/>
      <c r="O113" s="258"/>
      <c r="P113" s="258"/>
      <c r="Q113" s="258"/>
      <c r="R113" s="258"/>
      <c r="S113" s="258"/>
      <c r="T113" s="258"/>
      <c r="U113" s="258"/>
      <c r="V113" s="258"/>
      <c r="W113" s="258"/>
      <c r="X113" s="258"/>
      <c r="Y113" s="258"/>
      <c r="Z113" s="258"/>
    </row>
    <row r="114" ht="12.75" customHeight="1">
      <c r="A114" s="258"/>
      <c r="B114" s="258"/>
      <c r="C114" s="258"/>
      <c r="D114" s="258"/>
      <c r="E114" s="258"/>
      <c r="F114" s="314"/>
      <c r="G114" s="258"/>
      <c r="H114" s="258"/>
      <c r="I114" s="258"/>
      <c r="J114" s="258"/>
      <c r="K114" s="258"/>
      <c r="L114" s="258"/>
      <c r="M114" s="258"/>
      <c r="N114" s="258"/>
      <c r="O114" s="258"/>
      <c r="P114" s="258"/>
      <c r="Q114" s="258"/>
      <c r="R114" s="258"/>
      <c r="S114" s="258"/>
      <c r="T114" s="258"/>
      <c r="U114" s="258"/>
      <c r="V114" s="258"/>
      <c r="W114" s="258"/>
      <c r="X114" s="258"/>
      <c r="Y114" s="258"/>
      <c r="Z114" s="258"/>
    </row>
    <row r="115" ht="12.75" customHeight="1">
      <c r="A115" s="258"/>
      <c r="B115" s="258"/>
      <c r="C115" s="258"/>
      <c r="D115" s="258"/>
      <c r="E115" s="258"/>
      <c r="F115" s="314"/>
      <c r="G115" s="258"/>
      <c r="H115" s="258"/>
      <c r="I115" s="258"/>
      <c r="J115" s="258"/>
      <c r="K115" s="258"/>
      <c r="L115" s="258"/>
      <c r="M115" s="258"/>
      <c r="N115" s="258"/>
      <c r="O115" s="258"/>
      <c r="P115" s="258"/>
      <c r="Q115" s="258"/>
      <c r="R115" s="258"/>
      <c r="S115" s="258"/>
      <c r="T115" s="258"/>
      <c r="U115" s="258"/>
      <c r="V115" s="258"/>
      <c r="W115" s="258"/>
      <c r="X115" s="258"/>
      <c r="Y115" s="258"/>
      <c r="Z115" s="258"/>
    </row>
    <row r="116" ht="12.75" customHeight="1">
      <c r="A116" s="258"/>
      <c r="B116" s="258"/>
      <c r="C116" s="258"/>
      <c r="D116" s="258"/>
      <c r="E116" s="258"/>
      <c r="F116" s="314"/>
      <c r="G116" s="258"/>
      <c r="H116" s="258"/>
      <c r="I116" s="258"/>
      <c r="J116" s="258"/>
      <c r="K116" s="258"/>
      <c r="L116" s="258"/>
      <c r="M116" s="258"/>
      <c r="N116" s="258"/>
      <c r="O116" s="258"/>
      <c r="P116" s="258"/>
      <c r="Q116" s="258"/>
      <c r="R116" s="258"/>
      <c r="S116" s="258"/>
      <c r="T116" s="258"/>
      <c r="U116" s="258"/>
      <c r="V116" s="258"/>
      <c r="W116" s="258"/>
      <c r="X116" s="258"/>
      <c r="Y116" s="258"/>
      <c r="Z116" s="258"/>
    </row>
    <row r="117" ht="12.75" customHeight="1">
      <c r="A117" s="258"/>
      <c r="B117" s="258"/>
      <c r="C117" s="258"/>
      <c r="D117" s="258"/>
      <c r="E117" s="258"/>
      <c r="F117" s="314"/>
      <c r="G117" s="258"/>
      <c r="H117" s="258"/>
      <c r="I117" s="258"/>
      <c r="J117" s="258"/>
      <c r="K117" s="258"/>
      <c r="L117" s="258"/>
      <c r="M117" s="258"/>
      <c r="N117" s="258"/>
      <c r="O117" s="258"/>
      <c r="P117" s="258"/>
      <c r="Q117" s="258"/>
      <c r="R117" s="258"/>
      <c r="S117" s="258"/>
      <c r="T117" s="258"/>
      <c r="U117" s="258"/>
      <c r="V117" s="258"/>
      <c r="W117" s="258"/>
      <c r="X117" s="258"/>
      <c r="Y117" s="258"/>
      <c r="Z117" s="258"/>
    </row>
    <row r="118" ht="12.75" customHeight="1">
      <c r="A118" s="258"/>
      <c r="B118" s="258"/>
      <c r="C118" s="258"/>
      <c r="D118" s="258"/>
      <c r="E118" s="258"/>
      <c r="F118" s="314"/>
      <c r="G118" s="258"/>
      <c r="H118" s="258"/>
      <c r="I118" s="258"/>
      <c r="J118" s="258"/>
      <c r="K118" s="258"/>
      <c r="L118" s="258"/>
      <c r="M118" s="258"/>
      <c r="N118" s="258"/>
      <c r="O118" s="258"/>
      <c r="P118" s="258"/>
      <c r="Q118" s="258"/>
      <c r="R118" s="258"/>
      <c r="S118" s="258"/>
      <c r="T118" s="258"/>
      <c r="U118" s="258"/>
      <c r="V118" s="258"/>
      <c r="W118" s="258"/>
      <c r="X118" s="258"/>
      <c r="Y118" s="258"/>
      <c r="Z118" s="258"/>
    </row>
    <row r="119" ht="12.75" customHeight="1">
      <c r="A119" s="258"/>
      <c r="B119" s="258"/>
      <c r="C119" s="258"/>
      <c r="D119" s="258"/>
      <c r="E119" s="258"/>
      <c r="F119" s="314"/>
      <c r="G119" s="258"/>
      <c r="H119" s="258"/>
      <c r="I119" s="258"/>
      <c r="J119" s="258"/>
      <c r="K119" s="258"/>
      <c r="L119" s="258"/>
      <c r="M119" s="258"/>
      <c r="N119" s="258"/>
      <c r="O119" s="258"/>
      <c r="P119" s="258"/>
      <c r="Q119" s="258"/>
      <c r="R119" s="258"/>
      <c r="S119" s="258"/>
      <c r="T119" s="258"/>
      <c r="U119" s="258"/>
      <c r="V119" s="258"/>
      <c r="W119" s="258"/>
      <c r="X119" s="258"/>
      <c r="Y119" s="258"/>
      <c r="Z119" s="258"/>
    </row>
    <row r="120" ht="12.75" customHeight="1">
      <c r="A120" s="258"/>
      <c r="B120" s="258"/>
      <c r="C120" s="258"/>
      <c r="D120" s="258"/>
      <c r="E120" s="258"/>
      <c r="F120" s="314"/>
      <c r="G120" s="258"/>
      <c r="H120" s="258"/>
      <c r="I120" s="258"/>
      <c r="J120" s="258"/>
      <c r="K120" s="258"/>
      <c r="L120" s="258"/>
      <c r="M120" s="258"/>
      <c r="N120" s="258"/>
      <c r="O120" s="258"/>
      <c r="P120" s="258"/>
      <c r="Q120" s="258"/>
      <c r="R120" s="258"/>
      <c r="S120" s="258"/>
      <c r="T120" s="258"/>
      <c r="U120" s="258"/>
      <c r="V120" s="258"/>
      <c r="W120" s="258"/>
      <c r="X120" s="258"/>
      <c r="Y120" s="258"/>
      <c r="Z120" s="258"/>
    </row>
    <row r="121" ht="12.75" customHeight="1">
      <c r="A121" s="258"/>
      <c r="B121" s="258"/>
      <c r="C121" s="258"/>
      <c r="D121" s="258"/>
      <c r="E121" s="258"/>
      <c r="F121" s="314"/>
      <c r="G121" s="258"/>
      <c r="H121" s="258"/>
      <c r="I121" s="258"/>
      <c r="J121" s="258"/>
      <c r="K121" s="258"/>
      <c r="L121" s="258"/>
      <c r="M121" s="258"/>
      <c r="N121" s="258"/>
      <c r="O121" s="258"/>
      <c r="P121" s="258"/>
      <c r="Q121" s="258"/>
      <c r="R121" s="258"/>
      <c r="S121" s="258"/>
      <c r="T121" s="258"/>
      <c r="U121" s="258"/>
      <c r="V121" s="258"/>
      <c r="W121" s="258"/>
      <c r="X121" s="258"/>
      <c r="Y121" s="258"/>
      <c r="Z121" s="258"/>
    </row>
    <row r="122" ht="12.75" customHeight="1">
      <c r="A122" s="258"/>
      <c r="B122" s="258"/>
      <c r="C122" s="258"/>
      <c r="D122" s="258"/>
      <c r="E122" s="258"/>
      <c r="F122" s="314"/>
      <c r="G122" s="258"/>
      <c r="H122" s="258"/>
      <c r="I122" s="258"/>
      <c r="J122" s="258"/>
      <c r="K122" s="258"/>
      <c r="L122" s="258"/>
      <c r="M122" s="258"/>
      <c r="N122" s="258"/>
      <c r="O122" s="258"/>
      <c r="P122" s="258"/>
      <c r="Q122" s="258"/>
      <c r="R122" s="258"/>
      <c r="S122" s="258"/>
      <c r="T122" s="258"/>
      <c r="U122" s="258"/>
      <c r="V122" s="258"/>
      <c r="W122" s="258"/>
      <c r="X122" s="258"/>
      <c r="Y122" s="258"/>
      <c r="Z122" s="258"/>
    </row>
    <row r="123" ht="12.75" customHeight="1">
      <c r="A123" s="258"/>
      <c r="B123" s="258"/>
      <c r="C123" s="258"/>
      <c r="D123" s="258"/>
      <c r="E123" s="258"/>
      <c r="F123" s="314"/>
      <c r="G123" s="258"/>
      <c r="H123" s="258"/>
      <c r="I123" s="258"/>
      <c r="J123" s="258"/>
      <c r="K123" s="258"/>
      <c r="L123" s="258"/>
      <c r="M123" s="258"/>
      <c r="N123" s="258"/>
      <c r="O123" s="258"/>
      <c r="P123" s="258"/>
      <c r="Q123" s="258"/>
      <c r="R123" s="258"/>
      <c r="S123" s="258"/>
      <c r="T123" s="258"/>
      <c r="U123" s="258"/>
      <c r="V123" s="258"/>
      <c r="W123" s="258"/>
      <c r="X123" s="258"/>
      <c r="Y123" s="258"/>
      <c r="Z123" s="258"/>
    </row>
    <row r="124" ht="12.75" customHeight="1">
      <c r="A124" s="258"/>
      <c r="B124" s="258"/>
      <c r="C124" s="258"/>
      <c r="D124" s="258"/>
      <c r="E124" s="258"/>
      <c r="F124" s="314"/>
      <c r="G124" s="258"/>
      <c r="H124" s="258"/>
      <c r="I124" s="258"/>
      <c r="J124" s="258"/>
      <c r="K124" s="258"/>
      <c r="L124" s="258"/>
      <c r="M124" s="258"/>
      <c r="N124" s="258"/>
      <c r="O124" s="258"/>
      <c r="P124" s="258"/>
      <c r="Q124" s="258"/>
      <c r="R124" s="258"/>
      <c r="S124" s="258"/>
      <c r="T124" s="258"/>
      <c r="U124" s="258"/>
      <c r="V124" s="258"/>
      <c r="W124" s="258"/>
      <c r="X124" s="258"/>
      <c r="Y124" s="258"/>
      <c r="Z124" s="258"/>
    </row>
    <row r="125" ht="12.75" customHeight="1">
      <c r="A125" s="258"/>
      <c r="B125" s="258"/>
      <c r="C125" s="258"/>
      <c r="D125" s="258"/>
      <c r="E125" s="258"/>
      <c r="F125" s="314"/>
      <c r="G125" s="258"/>
      <c r="H125" s="258"/>
      <c r="I125" s="258"/>
      <c r="J125" s="258"/>
      <c r="K125" s="258"/>
      <c r="L125" s="258"/>
      <c r="M125" s="258"/>
      <c r="N125" s="258"/>
      <c r="O125" s="258"/>
      <c r="P125" s="258"/>
      <c r="Q125" s="258"/>
      <c r="R125" s="258"/>
      <c r="S125" s="258"/>
      <c r="T125" s="258"/>
      <c r="U125" s="258"/>
      <c r="V125" s="258"/>
      <c r="W125" s="258"/>
      <c r="X125" s="258"/>
      <c r="Y125" s="258"/>
      <c r="Z125" s="258"/>
    </row>
    <row r="126" ht="12.75" customHeight="1">
      <c r="A126" s="258"/>
      <c r="B126" s="258"/>
      <c r="C126" s="258"/>
      <c r="D126" s="258"/>
      <c r="E126" s="258"/>
      <c r="F126" s="314"/>
      <c r="G126" s="258"/>
      <c r="H126" s="258"/>
      <c r="I126" s="258"/>
      <c r="J126" s="258"/>
      <c r="K126" s="258"/>
      <c r="L126" s="258"/>
      <c r="M126" s="258"/>
      <c r="N126" s="258"/>
      <c r="O126" s="258"/>
      <c r="P126" s="258"/>
      <c r="Q126" s="258"/>
      <c r="R126" s="258"/>
      <c r="S126" s="258"/>
      <c r="T126" s="258"/>
      <c r="U126" s="258"/>
      <c r="V126" s="258"/>
      <c r="W126" s="258"/>
      <c r="X126" s="258"/>
      <c r="Y126" s="258"/>
      <c r="Z126" s="258"/>
    </row>
    <row r="127" ht="12.75" customHeight="1">
      <c r="A127" s="258"/>
      <c r="B127" s="258"/>
      <c r="C127" s="258"/>
      <c r="D127" s="258"/>
      <c r="E127" s="258"/>
      <c r="F127" s="314"/>
      <c r="G127" s="258"/>
      <c r="H127" s="258"/>
      <c r="I127" s="258"/>
      <c r="J127" s="258"/>
      <c r="K127" s="258"/>
      <c r="L127" s="258"/>
      <c r="M127" s="258"/>
      <c r="N127" s="258"/>
      <c r="O127" s="258"/>
      <c r="P127" s="258"/>
      <c r="Q127" s="258"/>
      <c r="R127" s="258"/>
      <c r="S127" s="258"/>
      <c r="T127" s="258"/>
      <c r="U127" s="258"/>
      <c r="V127" s="258"/>
      <c r="W127" s="258"/>
      <c r="X127" s="258"/>
      <c r="Y127" s="258"/>
      <c r="Z127" s="258"/>
    </row>
    <row r="128" ht="12.75" customHeight="1">
      <c r="A128" s="258"/>
      <c r="B128" s="258"/>
      <c r="C128" s="258"/>
      <c r="D128" s="258"/>
      <c r="E128" s="258"/>
      <c r="F128" s="314"/>
      <c r="G128" s="258"/>
      <c r="H128" s="258"/>
      <c r="I128" s="258"/>
      <c r="J128" s="258"/>
      <c r="K128" s="258"/>
      <c r="L128" s="258"/>
      <c r="M128" s="258"/>
      <c r="N128" s="258"/>
      <c r="O128" s="258"/>
      <c r="P128" s="258"/>
      <c r="Q128" s="258"/>
      <c r="R128" s="258"/>
      <c r="S128" s="258"/>
      <c r="T128" s="258"/>
      <c r="U128" s="258"/>
      <c r="V128" s="258"/>
      <c r="W128" s="258"/>
      <c r="X128" s="258"/>
      <c r="Y128" s="258"/>
      <c r="Z128" s="258"/>
    </row>
    <row r="129" ht="12.75" customHeight="1">
      <c r="A129" s="258"/>
      <c r="B129" s="258"/>
      <c r="C129" s="258"/>
      <c r="D129" s="258"/>
      <c r="E129" s="258"/>
      <c r="F129" s="314"/>
      <c r="G129" s="258"/>
      <c r="H129" s="258"/>
      <c r="I129" s="258"/>
      <c r="J129" s="258"/>
      <c r="K129" s="258"/>
      <c r="L129" s="258"/>
      <c r="M129" s="258"/>
      <c r="N129" s="258"/>
      <c r="O129" s="258"/>
      <c r="P129" s="258"/>
      <c r="Q129" s="258"/>
      <c r="R129" s="258"/>
      <c r="S129" s="258"/>
      <c r="T129" s="258"/>
      <c r="U129" s="258"/>
      <c r="V129" s="258"/>
      <c r="W129" s="258"/>
      <c r="X129" s="258"/>
      <c r="Y129" s="258"/>
      <c r="Z129" s="258"/>
    </row>
    <row r="130" ht="12.75" customHeight="1">
      <c r="A130" s="258"/>
      <c r="B130" s="258"/>
      <c r="C130" s="258"/>
      <c r="D130" s="258"/>
      <c r="E130" s="258"/>
      <c r="F130" s="314"/>
      <c r="G130" s="258"/>
      <c r="H130" s="258"/>
      <c r="I130" s="258"/>
      <c r="J130" s="258"/>
      <c r="K130" s="258"/>
      <c r="L130" s="258"/>
      <c r="M130" s="258"/>
      <c r="N130" s="258"/>
      <c r="O130" s="258"/>
      <c r="P130" s="258"/>
      <c r="Q130" s="258"/>
      <c r="R130" s="258"/>
      <c r="S130" s="258"/>
      <c r="T130" s="258"/>
      <c r="U130" s="258"/>
      <c r="V130" s="258"/>
      <c r="W130" s="258"/>
      <c r="X130" s="258"/>
      <c r="Y130" s="258"/>
      <c r="Z130" s="258"/>
    </row>
    <row r="131" ht="12.75" customHeight="1">
      <c r="A131" s="258"/>
      <c r="B131" s="258"/>
      <c r="C131" s="258"/>
      <c r="D131" s="258"/>
      <c r="E131" s="258"/>
      <c r="F131" s="314"/>
      <c r="G131" s="258"/>
      <c r="H131" s="258"/>
      <c r="I131" s="258"/>
      <c r="J131" s="258"/>
      <c r="K131" s="258"/>
      <c r="L131" s="258"/>
      <c r="M131" s="258"/>
      <c r="N131" s="258"/>
      <c r="O131" s="258"/>
      <c r="P131" s="258"/>
      <c r="Q131" s="258"/>
      <c r="R131" s="258"/>
      <c r="S131" s="258"/>
      <c r="T131" s="258"/>
      <c r="U131" s="258"/>
      <c r="V131" s="258"/>
      <c r="W131" s="258"/>
      <c r="X131" s="258"/>
      <c r="Y131" s="258"/>
      <c r="Z131" s="258"/>
    </row>
    <row r="132" ht="12.75" customHeight="1">
      <c r="A132" s="258"/>
      <c r="B132" s="258"/>
      <c r="C132" s="258"/>
      <c r="D132" s="258"/>
      <c r="E132" s="258"/>
      <c r="F132" s="314"/>
      <c r="G132" s="258"/>
      <c r="H132" s="258"/>
      <c r="I132" s="258"/>
      <c r="J132" s="258"/>
      <c r="K132" s="258"/>
      <c r="L132" s="258"/>
      <c r="M132" s="258"/>
      <c r="N132" s="258"/>
      <c r="O132" s="258"/>
      <c r="P132" s="258"/>
      <c r="Q132" s="258"/>
      <c r="R132" s="258"/>
      <c r="S132" s="258"/>
      <c r="T132" s="258"/>
      <c r="U132" s="258"/>
      <c r="V132" s="258"/>
      <c r="W132" s="258"/>
      <c r="X132" s="258"/>
      <c r="Y132" s="258"/>
      <c r="Z132" s="258"/>
    </row>
    <row r="133" ht="12.75" customHeight="1">
      <c r="A133" s="258"/>
      <c r="B133" s="258"/>
      <c r="C133" s="258"/>
      <c r="D133" s="258"/>
      <c r="E133" s="258"/>
      <c r="F133" s="314"/>
      <c r="G133" s="258"/>
      <c r="H133" s="258"/>
      <c r="I133" s="258"/>
      <c r="J133" s="258"/>
      <c r="K133" s="258"/>
      <c r="L133" s="258"/>
      <c r="M133" s="258"/>
      <c r="N133" s="258"/>
      <c r="O133" s="258"/>
      <c r="P133" s="258"/>
      <c r="Q133" s="258"/>
      <c r="R133" s="258"/>
      <c r="S133" s="258"/>
      <c r="T133" s="258"/>
      <c r="U133" s="258"/>
      <c r="V133" s="258"/>
      <c r="W133" s="258"/>
      <c r="X133" s="258"/>
      <c r="Y133" s="258"/>
      <c r="Z133" s="258"/>
    </row>
    <row r="134" ht="12.75" customHeight="1">
      <c r="A134" s="258"/>
      <c r="B134" s="258"/>
      <c r="C134" s="258"/>
      <c r="D134" s="258"/>
      <c r="E134" s="258"/>
      <c r="F134" s="314"/>
      <c r="G134" s="258"/>
      <c r="H134" s="258"/>
      <c r="I134" s="258"/>
      <c r="J134" s="258"/>
      <c r="K134" s="258"/>
      <c r="L134" s="258"/>
      <c r="M134" s="258"/>
      <c r="N134" s="258"/>
      <c r="O134" s="258"/>
      <c r="P134" s="258"/>
      <c r="Q134" s="258"/>
      <c r="R134" s="258"/>
      <c r="S134" s="258"/>
      <c r="T134" s="258"/>
      <c r="U134" s="258"/>
      <c r="V134" s="258"/>
      <c r="W134" s="258"/>
      <c r="X134" s="258"/>
      <c r="Y134" s="258"/>
      <c r="Z134" s="258"/>
    </row>
    <row r="135" ht="12.75" customHeight="1">
      <c r="A135" s="258"/>
      <c r="B135" s="258"/>
      <c r="C135" s="258"/>
      <c r="D135" s="258"/>
      <c r="E135" s="258"/>
      <c r="F135" s="314"/>
      <c r="G135" s="258"/>
      <c r="H135" s="258"/>
      <c r="I135" s="258"/>
      <c r="J135" s="258"/>
      <c r="K135" s="258"/>
      <c r="L135" s="258"/>
      <c r="M135" s="258"/>
      <c r="N135" s="258"/>
      <c r="O135" s="258"/>
      <c r="P135" s="258"/>
      <c r="Q135" s="258"/>
      <c r="R135" s="258"/>
      <c r="S135" s="258"/>
      <c r="T135" s="258"/>
      <c r="U135" s="258"/>
      <c r="V135" s="258"/>
      <c r="W135" s="258"/>
      <c r="X135" s="258"/>
      <c r="Y135" s="258"/>
      <c r="Z135" s="258"/>
    </row>
    <row r="136" ht="12.75" customHeight="1">
      <c r="A136" s="258"/>
      <c r="B136" s="258"/>
      <c r="C136" s="258"/>
      <c r="D136" s="258"/>
      <c r="E136" s="258"/>
      <c r="F136" s="314"/>
      <c r="G136" s="258"/>
      <c r="H136" s="258"/>
      <c r="I136" s="258"/>
      <c r="J136" s="258"/>
      <c r="K136" s="258"/>
      <c r="L136" s="258"/>
      <c r="M136" s="258"/>
      <c r="N136" s="258"/>
      <c r="O136" s="258"/>
      <c r="P136" s="258"/>
      <c r="Q136" s="258"/>
      <c r="R136" s="258"/>
      <c r="S136" s="258"/>
      <c r="T136" s="258"/>
      <c r="U136" s="258"/>
      <c r="V136" s="258"/>
      <c r="W136" s="258"/>
      <c r="X136" s="258"/>
      <c r="Y136" s="258"/>
      <c r="Z136" s="258"/>
    </row>
    <row r="137" ht="12.75" customHeight="1">
      <c r="A137" s="258"/>
      <c r="B137" s="258"/>
      <c r="C137" s="258"/>
      <c r="D137" s="258"/>
      <c r="E137" s="258"/>
      <c r="F137" s="314"/>
      <c r="G137" s="258"/>
      <c r="H137" s="258"/>
      <c r="I137" s="258"/>
      <c r="J137" s="258"/>
      <c r="K137" s="258"/>
      <c r="L137" s="258"/>
      <c r="M137" s="258"/>
      <c r="N137" s="258"/>
      <c r="O137" s="258"/>
      <c r="P137" s="258"/>
      <c r="Q137" s="258"/>
      <c r="R137" s="258"/>
      <c r="S137" s="258"/>
      <c r="T137" s="258"/>
      <c r="U137" s="258"/>
      <c r="V137" s="258"/>
      <c r="W137" s="258"/>
      <c r="X137" s="258"/>
      <c r="Y137" s="258"/>
      <c r="Z137" s="258"/>
    </row>
    <row r="138" ht="12.75" customHeight="1">
      <c r="A138" s="258"/>
      <c r="B138" s="258"/>
      <c r="C138" s="258"/>
      <c r="D138" s="258"/>
      <c r="E138" s="258"/>
      <c r="F138" s="314"/>
      <c r="G138" s="258"/>
      <c r="H138" s="258"/>
      <c r="I138" s="258"/>
      <c r="J138" s="258"/>
      <c r="K138" s="258"/>
      <c r="L138" s="258"/>
      <c r="M138" s="258"/>
      <c r="N138" s="258"/>
      <c r="O138" s="258"/>
      <c r="P138" s="258"/>
      <c r="Q138" s="258"/>
      <c r="R138" s="258"/>
      <c r="S138" s="258"/>
      <c r="T138" s="258"/>
      <c r="U138" s="258"/>
      <c r="V138" s="258"/>
      <c r="W138" s="258"/>
      <c r="X138" s="258"/>
      <c r="Y138" s="258"/>
      <c r="Z138" s="258"/>
    </row>
    <row r="139" ht="12.75" customHeight="1">
      <c r="A139" s="258"/>
      <c r="B139" s="258"/>
      <c r="C139" s="258"/>
      <c r="D139" s="258"/>
      <c r="E139" s="258"/>
      <c r="F139" s="314"/>
      <c r="G139" s="258"/>
      <c r="H139" s="258"/>
      <c r="I139" s="258"/>
      <c r="J139" s="258"/>
      <c r="K139" s="258"/>
      <c r="L139" s="258"/>
      <c r="M139" s="258"/>
      <c r="N139" s="258"/>
      <c r="O139" s="258"/>
      <c r="P139" s="258"/>
      <c r="Q139" s="258"/>
      <c r="R139" s="258"/>
      <c r="S139" s="258"/>
      <c r="T139" s="258"/>
      <c r="U139" s="258"/>
      <c r="V139" s="258"/>
      <c r="W139" s="258"/>
      <c r="X139" s="258"/>
      <c r="Y139" s="258"/>
      <c r="Z139" s="258"/>
    </row>
    <row r="140" ht="12.75" customHeight="1">
      <c r="A140" s="258"/>
      <c r="B140" s="258"/>
      <c r="C140" s="258"/>
      <c r="D140" s="258"/>
      <c r="E140" s="258"/>
      <c r="F140" s="314"/>
      <c r="G140" s="258"/>
      <c r="H140" s="258"/>
      <c r="I140" s="258"/>
      <c r="J140" s="258"/>
      <c r="K140" s="258"/>
      <c r="L140" s="258"/>
      <c r="M140" s="258"/>
      <c r="N140" s="258"/>
      <c r="O140" s="258"/>
      <c r="P140" s="258"/>
      <c r="Q140" s="258"/>
      <c r="R140" s="258"/>
      <c r="S140" s="258"/>
      <c r="T140" s="258"/>
      <c r="U140" s="258"/>
      <c r="V140" s="258"/>
      <c r="W140" s="258"/>
      <c r="X140" s="258"/>
      <c r="Y140" s="258"/>
      <c r="Z140" s="258"/>
    </row>
    <row r="141" ht="12.75" customHeight="1">
      <c r="A141" s="258"/>
      <c r="B141" s="258"/>
      <c r="C141" s="258"/>
      <c r="D141" s="258"/>
      <c r="E141" s="258"/>
      <c r="F141" s="314"/>
      <c r="G141" s="258"/>
      <c r="H141" s="258"/>
      <c r="I141" s="258"/>
      <c r="J141" s="258"/>
      <c r="K141" s="258"/>
      <c r="L141" s="258"/>
      <c r="M141" s="258"/>
      <c r="N141" s="258"/>
      <c r="O141" s="258"/>
      <c r="P141" s="258"/>
      <c r="Q141" s="258"/>
      <c r="R141" s="258"/>
      <c r="S141" s="258"/>
      <c r="T141" s="258"/>
      <c r="U141" s="258"/>
      <c r="V141" s="258"/>
      <c r="W141" s="258"/>
      <c r="X141" s="258"/>
      <c r="Y141" s="258"/>
      <c r="Z141" s="258"/>
    </row>
    <row r="142" ht="12.75" customHeight="1">
      <c r="A142" s="258"/>
      <c r="B142" s="258"/>
      <c r="C142" s="258"/>
      <c r="D142" s="258"/>
      <c r="E142" s="258"/>
      <c r="F142" s="314"/>
      <c r="G142" s="258"/>
      <c r="H142" s="258"/>
      <c r="I142" s="258"/>
      <c r="J142" s="258"/>
      <c r="K142" s="258"/>
      <c r="L142" s="258"/>
      <c r="M142" s="258"/>
      <c r="N142" s="258"/>
      <c r="O142" s="258"/>
      <c r="P142" s="258"/>
      <c r="Q142" s="258"/>
      <c r="R142" s="258"/>
      <c r="S142" s="258"/>
      <c r="T142" s="258"/>
      <c r="U142" s="258"/>
      <c r="V142" s="258"/>
      <c r="W142" s="258"/>
      <c r="X142" s="258"/>
      <c r="Y142" s="258"/>
      <c r="Z142" s="258"/>
    </row>
    <row r="143" ht="12.75" customHeight="1">
      <c r="A143" s="258"/>
      <c r="B143" s="258"/>
      <c r="C143" s="258"/>
      <c r="D143" s="258"/>
      <c r="E143" s="258"/>
      <c r="F143" s="314"/>
      <c r="G143" s="258"/>
      <c r="H143" s="258"/>
      <c r="I143" s="258"/>
      <c r="J143" s="258"/>
      <c r="K143" s="258"/>
      <c r="L143" s="258"/>
      <c r="M143" s="258"/>
      <c r="N143" s="258"/>
      <c r="O143" s="258"/>
      <c r="P143" s="258"/>
      <c r="Q143" s="258"/>
      <c r="R143" s="258"/>
      <c r="S143" s="258"/>
      <c r="T143" s="258"/>
      <c r="U143" s="258"/>
      <c r="V143" s="258"/>
      <c r="W143" s="258"/>
      <c r="X143" s="258"/>
      <c r="Y143" s="258"/>
      <c r="Z143" s="258"/>
    </row>
    <row r="144" ht="12.75" customHeight="1">
      <c r="A144" s="258"/>
      <c r="B144" s="258"/>
      <c r="C144" s="258"/>
      <c r="D144" s="258"/>
      <c r="E144" s="258"/>
      <c r="F144" s="314"/>
      <c r="G144" s="258"/>
      <c r="H144" s="258"/>
      <c r="I144" s="258"/>
      <c r="J144" s="258"/>
      <c r="K144" s="258"/>
      <c r="L144" s="258"/>
      <c r="M144" s="258"/>
      <c r="N144" s="258"/>
      <c r="O144" s="258"/>
      <c r="P144" s="258"/>
      <c r="Q144" s="258"/>
      <c r="R144" s="258"/>
      <c r="S144" s="258"/>
      <c r="T144" s="258"/>
      <c r="U144" s="258"/>
      <c r="V144" s="258"/>
      <c r="W144" s="258"/>
      <c r="X144" s="258"/>
      <c r="Y144" s="258"/>
      <c r="Z144" s="258"/>
    </row>
    <row r="145" ht="12.75" customHeight="1">
      <c r="A145" s="258"/>
      <c r="B145" s="258"/>
      <c r="C145" s="258"/>
      <c r="D145" s="258"/>
      <c r="E145" s="258"/>
      <c r="F145" s="314"/>
      <c r="G145" s="258"/>
      <c r="H145" s="258"/>
      <c r="I145" s="258"/>
      <c r="J145" s="258"/>
      <c r="K145" s="258"/>
      <c r="L145" s="258"/>
      <c r="M145" s="258"/>
      <c r="N145" s="258"/>
      <c r="O145" s="258"/>
      <c r="P145" s="258"/>
      <c r="Q145" s="258"/>
      <c r="R145" s="258"/>
      <c r="S145" s="258"/>
      <c r="T145" s="258"/>
      <c r="U145" s="258"/>
      <c r="V145" s="258"/>
      <c r="W145" s="258"/>
      <c r="X145" s="258"/>
      <c r="Y145" s="258"/>
      <c r="Z145" s="258"/>
    </row>
    <row r="146" ht="12.75" customHeight="1">
      <c r="A146" s="258"/>
      <c r="B146" s="258"/>
      <c r="C146" s="258"/>
      <c r="D146" s="258"/>
      <c r="E146" s="258"/>
      <c r="F146" s="314"/>
      <c r="G146" s="258"/>
      <c r="H146" s="258"/>
      <c r="I146" s="258"/>
      <c r="J146" s="258"/>
      <c r="K146" s="258"/>
      <c r="L146" s="258"/>
      <c r="M146" s="258"/>
      <c r="N146" s="258"/>
      <c r="O146" s="258"/>
      <c r="P146" s="258"/>
      <c r="Q146" s="258"/>
      <c r="R146" s="258"/>
      <c r="S146" s="258"/>
      <c r="T146" s="258"/>
      <c r="U146" s="258"/>
      <c r="V146" s="258"/>
      <c r="W146" s="258"/>
      <c r="X146" s="258"/>
      <c r="Y146" s="258"/>
      <c r="Z146" s="258"/>
    </row>
    <row r="147" ht="12.75" customHeight="1">
      <c r="A147" s="258"/>
      <c r="B147" s="258"/>
      <c r="C147" s="258"/>
      <c r="D147" s="258"/>
      <c r="E147" s="258"/>
      <c r="F147" s="314"/>
      <c r="G147" s="258"/>
      <c r="H147" s="258"/>
      <c r="I147" s="258"/>
      <c r="J147" s="258"/>
      <c r="K147" s="258"/>
      <c r="L147" s="258"/>
      <c r="M147" s="258"/>
      <c r="N147" s="258"/>
      <c r="O147" s="258"/>
      <c r="P147" s="258"/>
      <c r="Q147" s="258"/>
      <c r="R147" s="258"/>
      <c r="S147" s="258"/>
      <c r="T147" s="258"/>
      <c r="U147" s="258"/>
      <c r="V147" s="258"/>
      <c r="W147" s="258"/>
      <c r="X147" s="258"/>
      <c r="Y147" s="258"/>
      <c r="Z147" s="258"/>
    </row>
    <row r="148" ht="12.75" customHeight="1">
      <c r="A148" s="258"/>
      <c r="B148" s="258"/>
      <c r="C148" s="258"/>
      <c r="D148" s="258"/>
      <c r="E148" s="258"/>
      <c r="F148" s="314"/>
      <c r="G148" s="258"/>
      <c r="H148" s="258"/>
      <c r="I148" s="258"/>
      <c r="J148" s="258"/>
      <c r="K148" s="258"/>
      <c r="L148" s="258"/>
      <c r="M148" s="258"/>
      <c r="N148" s="258"/>
      <c r="O148" s="258"/>
      <c r="P148" s="258"/>
      <c r="Q148" s="258"/>
      <c r="R148" s="258"/>
      <c r="S148" s="258"/>
      <c r="T148" s="258"/>
      <c r="U148" s="258"/>
      <c r="V148" s="258"/>
      <c r="W148" s="258"/>
      <c r="X148" s="258"/>
      <c r="Y148" s="258"/>
      <c r="Z148" s="258"/>
    </row>
    <row r="149" ht="12.75" customHeight="1">
      <c r="A149" s="258"/>
      <c r="B149" s="258"/>
      <c r="C149" s="258"/>
      <c r="D149" s="258"/>
      <c r="E149" s="258"/>
      <c r="F149" s="314"/>
      <c r="G149" s="258"/>
      <c r="H149" s="258"/>
      <c r="I149" s="258"/>
      <c r="J149" s="258"/>
      <c r="K149" s="258"/>
      <c r="L149" s="258"/>
      <c r="M149" s="258"/>
      <c r="N149" s="258"/>
      <c r="O149" s="258"/>
      <c r="P149" s="258"/>
      <c r="Q149" s="258"/>
      <c r="R149" s="258"/>
      <c r="S149" s="258"/>
      <c r="T149" s="258"/>
      <c r="U149" s="258"/>
      <c r="V149" s="258"/>
      <c r="W149" s="258"/>
      <c r="X149" s="258"/>
      <c r="Y149" s="258"/>
      <c r="Z149" s="258"/>
    </row>
    <row r="150" ht="12.75" customHeight="1">
      <c r="A150" s="258"/>
      <c r="B150" s="258"/>
      <c r="C150" s="258"/>
      <c r="D150" s="258"/>
      <c r="E150" s="258"/>
      <c r="F150" s="314"/>
      <c r="G150" s="258"/>
      <c r="H150" s="258"/>
      <c r="I150" s="258"/>
      <c r="J150" s="258"/>
      <c r="K150" s="258"/>
      <c r="L150" s="258"/>
      <c r="M150" s="258"/>
      <c r="N150" s="258"/>
      <c r="O150" s="258"/>
      <c r="P150" s="258"/>
      <c r="Q150" s="258"/>
      <c r="R150" s="258"/>
      <c r="S150" s="258"/>
      <c r="T150" s="258"/>
      <c r="U150" s="258"/>
      <c r="V150" s="258"/>
      <c r="W150" s="258"/>
      <c r="X150" s="258"/>
      <c r="Y150" s="258"/>
      <c r="Z150" s="258"/>
    </row>
    <row r="151" ht="12.75" customHeight="1">
      <c r="A151" s="258"/>
      <c r="B151" s="258"/>
      <c r="C151" s="258"/>
      <c r="D151" s="258"/>
      <c r="E151" s="258"/>
      <c r="F151" s="314"/>
      <c r="G151" s="258"/>
      <c r="H151" s="258"/>
      <c r="I151" s="258"/>
      <c r="J151" s="258"/>
      <c r="K151" s="258"/>
      <c r="L151" s="258"/>
      <c r="M151" s="258"/>
      <c r="N151" s="258"/>
      <c r="O151" s="258"/>
      <c r="P151" s="258"/>
      <c r="Q151" s="258"/>
      <c r="R151" s="258"/>
      <c r="S151" s="258"/>
      <c r="T151" s="258"/>
      <c r="U151" s="258"/>
      <c r="V151" s="258"/>
      <c r="W151" s="258"/>
      <c r="X151" s="258"/>
      <c r="Y151" s="258"/>
      <c r="Z151" s="258"/>
    </row>
    <row r="152" ht="12.75" customHeight="1">
      <c r="A152" s="258"/>
      <c r="B152" s="258"/>
      <c r="C152" s="258"/>
      <c r="D152" s="258"/>
      <c r="E152" s="258"/>
      <c r="F152" s="314"/>
      <c r="G152" s="258"/>
      <c r="H152" s="258"/>
      <c r="I152" s="258"/>
      <c r="J152" s="258"/>
      <c r="K152" s="258"/>
      <c r="L152" s="258"/>
      <c r="M152" s="258"/>
      <c r="N152" s="258"/>
      <c r="O152" s="258"/>
      <c r="P152" s="258"/>
      <c r="Q152" s="258"/>
      <c r="R152" s="258"/>
      <c r="S152" s="258"/>
      <c r="T152" s="258"/>
      <c r="U152" s="258"/>
      <c r="V152" s="258"/>
      <c r="W152" s="258"/>
      <c r="X152" s="258"/>
      <c r="Y152" s="258"/>
      <c r="Z152" s="258"/>
    </row>
    <row r="153" ht="12.75" customHeight="1">
      <c r="A153" s="258"/>
      <c r="B153" s="258"/>
      <c r="C153" s="258"/>
      <c r="D153" s="258"/>
      <c r="E153" s="258"/>
      <c r="F153" s="314"/>
      <c r="G153" s="258"/>
      <c r="H153" s="258"/>
      <c r="I153" s="258"/>
      <c r="J153" s="258"/>
      <c r="K153" s="258"/>
      <c r="L153" s="258"/>
      <c r="M153" s="258"/>
      <c r="N153" s="258"/>
      <c r="O153" s="258"/>
      <c r="P153" s="258"/>
      <c r="Q153" s="258"/>
      <c r="R153" s="258"/>
      <c r="S153" s="258"/>
      <c r="T153" s="258"/>
      <c r="U153" s="258"/>
      <c r="V153" s="258"/>
      <c r="W153" s="258"/>
      <c r="X153" s="258"/>
      <c r="Y153" s="258"/>
      <c r="Z153" s="258"/>
    </row>
    <row r="154" ht="12.75" customHeight="1">
      <c r="A154" s="258"/>
      <c r="B154" s="258"/>
      <c r="C154" s="258"/>
      <c r="D154" s="258"/>
      <c r="E154" s="258"/>
      <c r="F154" s="314"/>
      <c r="G154" s="258"/>
      <c r="H154" s="258"/>
      <c r="I154" s="258"/>
      <c r="J154" s="258"/>
      <c r="K154" s="258"/>
      <c r="L154" s="258"/>
      <c r="M154" s="258"/>
      <c r="N154" s="258"/>
      <c r="O154" s="258"/>
      <c r="P154" s="258"/>
      <c r="Q154" s="258"/>
      <c r="R154" s="258"/>
      <c r="S154" s="258"/>
      <c r="T154" s="258"/>
      <c r="U154" s="258"/>
      <c r="V154" s="258"/>
      <c r="W154" s="258"/>
      <c r="X154" s="258"/>
      <c r="Y154" s="258"/>
      <c r="Z154" s="258"/>
    </row>
    <row r="155" ht="12.75" customHeight="1">
      <c r="A155" s="258"/>
      <c r="B155" s="258"/>
      <c r="C155" s="258"/>
      <c r="D155" s="258"/>
      <c r="E155" s="258"/>
      <c r="F155" s="314"/>
      <c r="G155" s="258"/>
      <c r="H155" s="258"/>
      <c r="I155" s="258"/>
      <c r="J155" s="258"/>
      <c r="K155" s="258"/>
      <c r="L155" s="258"/>
      <c r="M155" s="258"/>
      <c r="N155" s="258"/>
      <c r="O155" s="258"/>
      <c r="P155" s="258"/>
      <c r="Q155" s="258"/>
      <c r="R155" s="258"/>
      <c r="S155" s="258"/>
      <c r="T155" s="258"/>
      <c r="U155" s="258"/>
      <c r="V155" s="258"/>
      <c r="W155" s="258"/>
      <c r="X155" s="258"/>
      <c r="Y155" s="258"/>
      <c r="Z155" s="258"/>
    </row>
    <row r="156" ht="12.75" customHeight="1">
      <c r="A156" s="258"/>
      <c r="B156" s="258"/>
      <c r="C156" s="258"/>
      <c r="D156" s="258"/>
      <c r="E156" s="258"/>
      <c r="F156" s="314"/>
      <c r="G156" s="258"/>
      <c r="H156" s="258"/>
      <c r="I156" s="258"/>
      <c r="J156" s="258"/>
      <c r="K156" s="258"/>
      <c r="L156" s="258"/>
      <c r="M156" s="258"/>
      <c r="N156" s="258"/>
      <c r="O156" s="258"/>
      <c r="P156" s="258"/>
      <c r="Q156" s="258"/>
      <c r="R156" s="258"/>
      <c r="S156" s="258"/>
      <c r="T156" s="258"/>
      <c r="U156" s="258"/>
      <c r="V156" s="258"/>
      <c r="W156" s="258"/>
      <c r="X156" s="258"/>
      <c r="Y156" s="258"/>
      <c r="Z156" s="258"/>
    </row>
    <row r="157" ht="12.75" customHeight="1">
      <c r="A157" s="258"/>
      <c r="B157" s="258"/>
      <c r="C157" s="258"/>
      <c r="D157" s="258"/>
      <c r="E157" s="258"/>
      <c r="F157" s="314"/>
      <c r="G157" s="258"/>
      <c r="H157" s="258"/>
      <c r="I157" s="258"/>
      <c r="J157" s="258"/>
      <c r="K157" s="258"/>
      <c r="L157" s="258"/>
      <c r="M157" s="258"/>
      <c r="N157" s="258"/>
      <c r="O157" s="258"/>
      <c r="P157" s="258"/>
      <c r="Q157" s="258"/>
      <c r="R157" s="258"/>
      <c r="S157" s="258"/>
      <c r="T157" s="258"/>
      <c r="U157" s="258"/>
      <c r="V157" s="258"/>
      <c r="W157" s="258"/>
      <c r="X157" s="258"/>
      <c r="Y157" s="258"/>
      <c r="Z157" s="258"/>
    </row>
    <row r="158" ht="12.75" customHeight="1">
      <c r="A158" s="258"/>
      <c r="B158" s="258"/>
      <c r="C158" s="258"/>
      <c r="D158" s="258"/>
      <c r="E158" s="258"/>
      <c r="F158" s="314"/>
      <c r="G158" s="258"/>
      <c r="H158" s="258"/>
      <c r="I158" s="258"/>
      <c r="J158" s="258"/>
      <c r="K158" s="258"/>
      <c r="L158" s="258"/>
      <c r="M158" s="258"/>
      <c r="N158" s="258"/>
      <c r="O158" s="258"/>
      <c r="P158" s="258"/>
      <c r="Q158" s="258"/>
      <c r="R158" s="258"/>
      <c r="S158" s="258"/>
      <c r="T158" s="258"/>
      <c r="U158" s="258"/>
      <c r="V158" s="258"/>
      <c r="W158" s="258"/>
      <c r="X158" s="258"/>
      <c r="Y158" s="258"/>
      <c r="Z158" s="258"/>
    </row>
    <row r="159" ht="12.75" customHeight="1">
      <c r="A159" s="258"/>
      <c r="B159" s="258"/>
      <c r="C159" s="258"/>
      <c r="D159" s="258"/>
      <c r="E159" s="258"/>
      <c r="F159" s="314"/>
      <c r="G159" s="258"/>
      <c r="H159" s="258"/>
      <c r="I159" s="258"/>
      <c r="J159" s="258"/>
      <c r="K159" s="258"/>
      <c r="L159" s="258"/>
      <c r="M159" s="258"/>
      <c r="N159" s="258"/>
      <c r="O159" s="258"/>
      <c r="P159" s="258"/>
      <c r="Q159" s="258"/>
      <c r="R159" s="258"/>
      <c r="S159" s="258"/>
      <c r="T159" s="258"/>
      <c r="U159" s="258"/>
      <c r="V159" s="258"/>
      <c r="W159" s="258"/>
      <c r="X159" s="258"/>
      <c r="Y159" s="258"/>
      <c r="Z159" s="258"/>
    </row>
    <row r="160" ht="12.75" customHeight="1">
      <c r="A160" s="258"/>
      <c r="B160" s="258"/>
      <c r="C160" s="258"/>
      <c r="D160" s="258"/>
      <c r="E160" s="258"/>
      <c r="F160" s="314"/>
      <c r="G160" s="258"/>
      <c r="H160" s="258"/>
      <c r="I160" s="258"/>
      <c r="J160" s="258"/>
      <c r="K160" s="258"/>
      <c r="L160" s="258"/>
      <c r="M160" s="258"/>
      <c r="N160" s="258"/>
      <c r="O160" s="258"/>
      <c r="P160" s="258"/>
      <c r="Q160" s="258"/>
      <c r="R160" s="258"/>
      <c r="S160" s="258"/>
      <c r="T160" s="258"/>
      <c r="U160" s="258"/>
      <c r="V160" s="258"/>
      <c r="W160" s="258"/>
      <c r="X160" s="258"/>
      <c r="Y160" s="258"/>
      <c r="Z160" s="258"/>
    </row>
    <row r="161" ht="12.75" customHeight="1">
      <c r="A161" s="258"/>
      <c r="B161" s="258"/>
      <c r="C161" s="258"/>
      <c r="D161" s="258"/>
      <c r="E161" s="258"/>
      <c r="F161" s="314"/>
      <c r="G161" s="258"/>
      <c r="H161" s="258"/>
      <c r="I161" s="258"/>
      <c r="J161" s="258"/>
      <c r="K161" s="258"/>
      <c r="L161" s="258"/>
      <c r="M161" s="258"/>
      <c r="N161" s="258"/>
      <c r="O161" s="258"/>
      <c r="P161" s="258"/>
      <c r="Q161" s="258"/>
      <c r="R161" s="258"/>
      <c r="S161" s="258"/>
      <c r="T161" s="258"/>
      <c r="U161" s="258"/>
      <c r="V161" s="258"/>
      <c r="W161" s="258"/>
      <c r="X161" s="258"/>
      <c r="Y161" s="258"/>
      <c r="Z161" s="258"/>
    </row>
    <row r="162" ht="12.75" customHeight="1">
      <c r="A162" s="258"/>
      <c r="B162" s="258"/>
      <c r="C162" s="258"/>
      <c r="D162" s="258"/>
      <c r="E162" s="258"/>
      <c r="F162" s="314"/>
      <c r="G162" s="258"/>
      <c r="H162" s="258"/>
      <c r="I162" s="258"/>
      <c r="J162" s="258"/>
      <c r="K162" s="258"/>
      <c r="L162" s="258"/>
      <c r="M162" s="258"/>
      <c r="N162" s="258"/>
      <c r="O162" s="258"/>
      <c r="P162" s="258"/>
      <c r="Q162" s="258"/>
      <c r="R162" s="258"/>
      <c r="S162" s="258"/>
      <c r="T162" s="258"/>
      <c r="U162" s="258"/>
      <c r="V162" s="258"/>
      <c r="W162" s="258"/>
      <c r="X162" s="258"/>
      <c r="Y162" s="258"/>
      <c r="Z162" s="258"/>
    </row>
    <row r="163" ht="12.75" customHeight="1">
      <c r="A163" s="258"/>
      <c r="B163" s="258"/>
      <c r="C163" s="258"/>
      <c r="D163" s="258"/>
      <c r="E163" s="258"/>
      <c r="F163" s="314"/>
      <c r="G163" s="258"/>
      <c r="H163" s="258"/>
      <c r="I163" s="258"/>
      <c r="J163" s="258"/>
      <c r="K163" s="258"/>
      <c r="L163" s="258"/>
      <c r="M163" s="258"/>
      <c r="N163" s="258"/>
      <c r="O163" s="258"/>
      <c r="P163" s="258"/>
      <c r="Q163" s="258"/>
      <c r="R163" s="258"/>
      <c r="S163" s="258"/>
      <c r="T163" s="258"/>
      <c r="U163" s="258"/>
      <c r="V163" s="258"/>
      <c r="W163" s="258"/>
      <c r="X163" s="258"/>
      <c r="Y163" s="258"/>
      <c r="Z163" s="258"/>
    </row>
    <row r="164" ht="12.75" customHeight="1">
      <c r="A164" s="258"/>
      <c r="B164" s="258"/>
      <c r="C164" s="258"/>
      <c r="D164" s="258"/>
      <c r="E164" s="258"/>
      <c r="F164" s="314"/>
      <c r="G164" s="258"/>
      <c r="H164" s="258"/>
      <c r="I164" s="258"/>
      <c r="J164" s="258"/>
      <c r="K164" s="258"/>
      <c r="L164" s="258"/>
      <c r="M164" s="258"/>
      <c r="N164" s="258"/>
      <c r="O164" s="258"/>
      <c r="P164" s="258"/>
      <c r="Q164" s="258"/>
      <c r="R164" s="258"/>
      <c r="S164" s="258"/>
      <c r="T164" s="258"/>
      <c r="U164" s="258"/>
      <c r="V164" s="258"/>
      <c r="W164" s="258"/>
      <c r="X164" s="258"/>
      <c r="Y164" s="258"/>
      <c r="Z164" s="258"/>
    </row>
    <row r="165" ht="12.75" customHeight="1">
      <c r="A165" s="258"/>
      <c r="B165" s="258"/>
      <c r="C165" s="258"/>
      <c r="D165" s="258"/>
      <c r="E165" s="258"/>
      <c r="F165" s="314"/>
      <c r="G165" s="258"/>
      <c r="H165" s="258"/>
      <c r="I165" s="258"/>
      <c r="J165" s="258"/>
      <c r="K165" s="258"/>
      <c r="L165" s="258"/>
      <c r="M165" s="258"/>
      <c r="N165" s="258"/>
      <c r="O165" s="258"/>
      <c r="P165" s="258"/>
      <c r="Q165" s="258"/>
      <c r="R165" s="258"/>
      <c r="S165" s="258"/>
      <c r="T165" s="258"/>
      <c r="U165" s="258"/>
      <c r="V165" s="258"/>
      <c r="W165" s="258"/>
      <c r="X165" s="258"/>
      <c r="Y165" s="258"/>
      <c r="Z165" s="258"/>
    </row>
    <row r="166" ht="12.75" customHeight="1">
      <c r="A166" s="258"/>
      <c r="B166" s="258"/>
      <c r="C166" s="258"/>
      <c r="D166" s="258"/>
      <c r="E166" s="258"/>
      <c r="F166" s="314"/>
      <c r="G166" s="258"/>
      <c r="H166" s="258"/>
      <c r="I166" s="258"/>
      <c r="J166" s="258"/>
      <c r="K166" s="258"/>
      <c r="L166" s="258"/>
      <c r="M166" s="258"/>
      <c r="N166" s="258"/>
      <c r="O166" s="258"/>
      <c r="P166" s="258"/>
      <c r="Q166" s="258"/>
      <c r="R166" s="258"/>
      <c r="S166" s="258"/>
      <c r="T166" s="258"/>
      <c r="U166" s="258"/>
      <c r="V166" s="258"/>
      <c r="W166" s="258"/>
      <c r="X166" s="258"/>
      <c r="Y166" s="258"/>
      <c r="Z166" s="258"/>
    </row>
    <row r="167" ht="12.75" customHeight="1">
      <c r="A167" s="258"/>
      <c r="B167" s="258"/>
      <c r="C167" s="258"/>
      <c r="D167" s="258"/>
      <c r="E167" s="258"/>
      <c r="F167" s="314"/>
      <c r="G167" s="258"/>
      <c r="H167" s="258"/>
      <c r="I167" s="258"/>
      <c r="J167" s="258"/>
      <c r="K167" s="258"/>
      <c r="L167" s="258"/>
      <c r="M167" s="258"/>
      <c r="N167" s="258"/>
      <c r="O167" s="258"/>
      <c r="P167" s="258"/>
      <c r="Q167" s="258"/>
      <c r="R167" s="258"/>
      <c r="S167" s="258"/>
      <c r="T167" s="258"/>
      <c r="U167" s="258"/>
      <c r="V167" s="258"/>
      <c r="W167" s="258"/>
      <c r="X167" s="258"/>
      <c r="Y167" s="258"/>
      <c r="Z167" s="258"/>
    </row>
    <row r="168" ht="12.75" customHeight="1">
      <c r="A168" s="258"/>
      <c r="B168" s="258"/>
      <c r="C168" s="258"/>
      <c r="D168" s="258"/>
      <c r="E168" s="258"/>
      <c r="F168" s="314"/>
      <c r="G168" s="258"/>
      <c r="H168" s="258"/>
      <c r="I168" s="258"/>
      <c r="J168" s="258"/>
      <c r="K168" s="258"/>
      <c r="L168" s="258"/>
      <c r="M168" s="258"/>
      <c r="N168" s="258"/>
      <c r="O168" s="258"/>
      <c r="P168" s="258"/>
      <c r="Q168" s="258"/>
      <c r="R168" s="258"/>
      <c r="S168" s="258"/>
      <c r="T168" s="258"/>
      <c r="U168" s="258"/>
      <c r="V168" s="258"/>
      <c r="W168" s="258"/>
      <c r="X168" s="258"/>
      <c r="Y168" s="258"/>
      <c r="Z168" s="258"/>
    </row>
    <row r="169" ht="12.75" customHeight="1">
      <c r="A169" s="258"/>
      <c r="B169" s="258"/>
      <c r="C169" s="258"/>
      <c r="D169" s="258"/>
      <c r="E169" s="258"/>
      <c r="F169" s="314"/>
      <c r="G169" s="258"/>
      <c r="H169" s="258"/>
      <c r="I169" s="258"/>
      <c r="J169" s="258"/>
      <c r="K169" s="258"/>
      <c r="L169" s="258"/>
      <c r="M169" s="258"/>
      <c r="N169" s="258"/>
      <c r="O169" s="258"/>
      <c r="P169" s="258"/>
      <c r="Q169" s="258"/>
      <c r="R169" s="258"/>
      <c r="S169" s="258"/>
      <c r="T169" s="258"/>
      <c r="U169" s="258"/>
      <c r="V169" s="258"/>
      <c r="W169" s="258"/>
      <c r="X169" s="258"/>
      <c r="Y169" s="258"/>
      <c r="Z169" s="258"/>
    </row>
    <row r="170" ht="12.75" customHeight="1">
      <c r="A170" s="258"/>
      <c r="B170" s="258"/>
      <c r="C170" s="258"/>
      <c r="D170" s="258"/>
      <c r="E170" s="258"/>
      <c r="F170" s="314"/>
      <c r="G170" s="258"/>
      <c r="H170" s="258"/>
      <c r="I170" s="258"/>
      <c r="J170" s="258"/>
      <c r="K170" s="258"/>
      <c r="L170" s="258"/>
      <c r="M170" s="258"/>
      <c r="N170" s="258"/>
      <c r="O170" s="258"/>
      <c r="P170" s="258"/>
      <c r="Q170" s="258"/>
      <c r="R170" s="258"/>
      <c r="S170" s="258"/>
      <c r="T170" s="258"/>
      <c r="U170" s="258"/>
      <c r="V170" s="258"/>
      <c r="W170" s="258"/>
      <c r="X170" s="258"/>
      <c r="Y170" s="258"/>
      <c r="Z170" s="258"/>
    </row>
    <row r="171" ht="12.75" customHeight="1">
      <c r="A171" s="258"/>
      <c r="B171" s="258"/>
      <c r="C171" s="258"/>
      <c r="D171" s="258"/>
      <c r="E171" s="258"/>
      <c r="F171" s="314"/>
      <c r="G171" s="258"/>
      <c r="H171" s="258"/>
      <c r="I171" s="258"/>
      <c r="J171" s="258"/>
      <c r="K171" s="258"/>
      <c r="L171" s="258"/>
      <c r="M171" s="258"/>
      <c r="N171" s="258"/>
      <c r="O171" s="258"/>
      <c r="P171" s="258"/>
      <c r="Q171" s="258"/>
      <c r="R171" s="258"/>
      <c r="S171" s="258"/>
      <c r="T171" s="258"/>
      <c r="U171" s="258"/>
      <c r="V171" s="258"/>
      <c r="W171" s="258"/>
      <c r="X171" s="258"/>
      <c r="Y171" s="258"/>
      <c r="Z171" s="258"/>
    </row>
    <row r="172" ht="12.75" customHeight="1">
      <c r="A172" s="258"/>
      <c r="B172" s="258"/>
      <c r="C172" s="258"/>
      <c r="D172" s="258"/>
      <c r="E172" s="258"/>
      <c r="F172" s="314"/>
      <c r="G172" s="258"/>
      <c r="H172" s="258"/>
      <c r="I172" s="258"/>
      <c r="J172" s="258"/>
      <c r="K172" s="258"/>
      <c r="L172" s="258"/>
      <c r="M172" s="258"/>
      <c r="N172" s="258"/>
      <c r="O172" s="258"/>
      <c r="P172" s="258"/>
      <c r="Q172" s="258"/>
      <c r="R172" s="258"/>
      <c r="S172" s="258"/>
      <c r="T172" s="258"/>
      <c r="U172" s="258"/>
      <c r="V172" s="258"/>
      <c r="W172" s="258"/>
      <c r="X172" s="258"/>
      <c r="Y172" s="258"/>
      <c r="Z172" s="258"/>
    </row>
    <row r="173" ht="12.75" customHeight="1">
      <c r="A173" s="258"/>
      <c r="B173" s="258"/>
      <c r="C173" s="258"/>
      <c r="D173" s="258"/>
      <c r="E173" s="258"/>
      <c r="F173" s="314"/>
      <c r="G173" s="258"/>
      <c r="H173" s="258"/>
      <c r="I173" s="258"/>
      <c r="J173" s="258"/>
      <c r="K173" s="258"/>
      <c r="L173" s="258"/>
      <c r="M173" s="258"/>
      <c r="N173" s="258"/>
      <c r="O173" s="258"/>
      <c r="P173" s="258"/>
      <c r="Q173" s="258"/>
      <c r="R173" s="258"/>
      <c r="S173" s="258"/>
      <c r="T173" s="258"/>
      <c r="U173" s="258"/>
      <c r="V173" s="258"/>
      <c r="W173" s="258"/>
      <c r="X173" s="258"/>
      <c r="Y173" s="258"/>
      <c r="Z173" s="258"/>
    </row>
    <row r="174" ht="12.75" customHeight="1">
      <c r="A174" s="258"/>
      <c r="B174" s="258"/>
      <c r="C174" s="258"/>
      <c r="D174" s="258"/>
      <c r="E174" s="258"/>
      <c r="F174" s="314"/>
      <c r="G174" s="258"/>
      <c r="H174" s="258"/>
      <c r="I174" s="258"/>
      <c r="J174" s="258"/>
      <c r="K174" s="258"/>
      <c r="L174" s="258"/>
      <c r="M174" s="258"/>
      <c r="N174" s="258"/>
      <c r="O174" s="258"/>
      <c r="P174" s="258"/>
      <c r="Q174" s="258"/>
      <c r="R174" s="258"/>
      <c r="S174" s="258"/>
      <c r="T174" s="258"/>
      <c r="U174" s="258"/>
      <c r="V174" s="258"/>
      <c r="W174" s="258"/>
      <c r="X174" s="258"/>
      <c r="Y174" s="258"/>
      <c r="Z174" s="258"/>
    </row>
    <row r="175" ht="12.75" customHeight="1">
      <c r="A175" s="258"/>
      <c r="B175" s="258"/>
      <c r="C175" s="258"/>
      <c r="D175" s="258"/>
      <c r="E175" s="258"/>
      <c r="F175" s="314"/>
      <c r="G175" s="258"/>
      <c r="H175" s="258"/>
      <c r="I175" s="258"/>
      <c r="J175" s="258"/>
      <c r="K175" s="258"/>
      <c r="L175" s="258"/>
      <c r="M175" s="258"/>
      <c r="N175" s="258"/>
      <c r="O175" s="258"/>
      <c r="P175" s="258"/>
      <c r="Q175" s="258"/>
      <c r="R175" s="258"/>
      <c r="S175" s="258"/>
      <c r="T175" s="258"/>
      <c r="U175" s="258"/>
      <c r="V175" s="258"/>
      <c r="W175" s="258"/>
      <c r="X175" s="258"/>
      <c r="Y175" s="258"/>
      <c r="Z175" s="258"/>
    </row>
    <row r="176" ht="12.75" customHeight="1">
      <c r="A176" s="258"/>
      <c r="B176" s="258"/>
      <c r="C176" s="258"/>
      <c r="D176" s="258"/>
      <c r="E176" s="258"/>
      <c r="F176" s="314"/>
      <c r="G176" s="258"/>
      <c r="H176" s="258"/>
      <c r="I176" s="258"/>
      <c r="J176" s="258"/>
      <c r="K176" s="258"/>
      <c r="L176" s="258"/>
      <c r="M176" s="258"/>
      <c r="N176" s="258"/>
      <c r="O176" s="258"/>
      <c r="P176" s="258"/>
      <c r="Q176" s="258"/>
      <c r="R176" s="258"/>
      <c r="S176" s="258"/>
      <c r="T176" s="258"/>
      <c r="U176" s="258"/>
      <c r="V176" s="258"/>
      <c r="W176" s="258"/>
      <c r="X176" s="258"/>
      <c r="Y176" s="258"/>
      <c r="Z176" s="258"/>
    </row>
    <row r="177" ht="12.75" customHeight="1">
      <c r="A177" s="258"/>
      <c r="B177" s="258"/>
      <c r="C177" s="258"/>
      <c r="D177" s="258"/>
      <c r="E177" s="258"/>
      <c r="F177" s="314"/>
      <c r="G177" s="258"/>
      <c r="H177" s="258"/>
      <c r="I177" s="258"/>
      <c r="J177" s="258"/>
      <c r="K177" s="258"/>
      <c r="L177" s="258"/>
      <c r="M177" s="258"/>
      <c r="N177" s="258"/>
      <c r="O177" s="258"/>
      <c r="P177" s="258"/>
      <c r="Q177" s="258"/>
      <c r="R177" s="258"/>
      <c r="S177" s="258"/>
      <c r="T177" s="258"/>
      <c r="U177" s="258"/>
      <c r="V177" s="258"/>
      <c r="W177" s="258"/>
      <c r="X177" s="258"/>
      <c r="Y177" s="258"/>
      <c r="Z177" s="258"/>
    </row>
    <row r="178" ht="12.75" customHeight="1">
      <c r="A178" s="258"/>
      <c r="B178" s="258"/>
      <c r="C178" s="258"/>
      <c r="D178" s="258"/>
      <c r="E178" s="258"/>
      <c r="F178" s="314"/>
      <c r="G178" s="258"/>
      <c r="H178" s="258"/>
      <c r="I178" s="258"/>
      <c r="J178" s="258"/>
      <c r="K178" s="258"/>
      <c r="L178" s="258"/>
      <c r="M178" s="258"/>
      <c r="N178" s="258"/>
      <c r="O178" s="258"/>
      <c r="P178" s="258"/>
      <c r="Q178" s="258"/>
      <c r="R178" s="258"/>
      <c r="S178" s="258"/>
      <c r="T178" s="258"/>
      <c r="U178" s="258"/>
      <c r="V178" s="258"/>
      <c r="W178" s="258"/>
      <c r="X178" s="258"/>
      <c r="Y178" s="258"/>
      <c r="Z178" s="258"/>
    </row>
    <row r="179" ht="12.75" customHeight="1">
      <c r="A179" s="258"/>
      <c r="B179" s="258"/>
      <c r="C179" s="258"/>
      <c r="D179" s="258"/>
      <c r="E179" s="258"/>
      <c r="F179" s="314"/>
      <c r="G179" s="258"/>
      <c r="H179" s="258"/>
      <c r="I179" s="258"/>
      <c r="J179" s="258"/>
      <c r="K179" s="258"/>
      <c r="L179" s="258"/>
      <c r="M179" s="258"/>
      <c r="N179" s="258"/>
      <c r="O179" s="258"/>
      <c r="P179" s="258"/>
      <c r="Q179" s="258"/>
      <c r="R179" s="258"/>
      <c r="S179" s="258"/>
      <c r="T179" s="258"/>
      <c r="U179" s="258"/>
      <c r="V179" s="258"/>
      <c r="W179" s="258"/>
      <c r="X179" s="258"/>
      <c r="Y179" s="258"/>
      <c r="Z179" s="258"/>
    </row>
    <row r="180" ht="12.75" customHeight="1">
      <c r="A180" s="258"/>
      <c r="B180" s="258"/>
      <c r="C180" s="258"/>
      <c r="D180" s="258"/>
      <c r="E180" s="258"/>
      <c r="F180" s="314"/>
      <c r="G180" s="258"/>
      <c r="H180" s="258"/>
      <c r="I180" s="258"/>
      <c r="J180" s="258"/>
      <c r="K180" s="258"/>
      <c r="L180" s="258"/>
      <c r="M180" s="258"/>
      <c r="N180" s="258"/>
      <c r="O180" s="258"/>
      <c r="P180" s="258"/>
      <c r="Q180" s="258"/>
      <c r="R180" s="258"/>
      <c r="S180" s="258"/>
      <c r="T180" s="258"/>
      <c r="U180" s="258"/>
      <c r="V180" s="258"/>
      <c r="W180" s="258"/>
      <c r="X180" s="258"/>
      <c r="Y180" s="258"/>
      <c r="Z180" s="258"/>
    </row>
    <row r="181" ht="12.75" customHeight="1">
      <c r="A181" s="258"/>
      <c r="B181" s="258"/>
      <c r="C181" s="258"/>
      <c r="D181" s="258"/>
      <c r="E181" s="258"/>
      <c r="F181" s="314"/>
      <c r="G181" s="258"/>
      <c r="H181" s="258"/>
      <c r="I181" s="258"/>
      <c r="J181" s="258"/>
      <c r="K181" s="258"/>
      <c r="L181" s="258"/>
      <c r="M181" s="258"/>
      <c r="N181" s="258"/>
      <c r="O181" s="258"/>
      <c r="P181" s="258"/>
      <c r="Q181" s="258"/>
      <c r="R181" s="258"/>
      <c r="S181" s="258"/>
      <c r="T181" s="258"/>
      <c r="U181" s="258"/>
      <c r="V181" s="258"/>
      <c r="W181" s="258"/>
      <c r="X181" s="258"/>
      <c r="Y181" s="258"/>
      <c r="Z181" s="258"/>
    </row>
    <row r="182" ht="12.75" customHeight="1">
      <c r="A182" s="258"/>
      <c r="B182" s="258"/>
      <c r="C182" s="258"/>
      <c r="D182" s="258"/>
      <c r="E182" s="258"/>
      <c r="F182" s="314"/>
      <c r="G182" s="258"/>
      <c r="H182" s="258"/>
      <c r="I182" s="258"/>
      <c r="J182" s="258"/>
      <c r="K182" s="258"/>
      <c r="L182" s="258"/>
      <c r="M182" s="258"/>
      <c r="N182" s="258"/>
      <c r="O182" s="258"/>
      <c r="P182" s="258"/>
      <c r="Q182" s="258"/>
      <c r="R182" s="258"/>
      <c r="S182" s="258"/>
      <c r="T182" s="258"/>
      <c r="U182" s="258"/>
      <c r="V182" s="258"/>
      <c r="W182" s="258"/>
      <c r="X182" s="258"/>
      <c r="Y182" s="258"/>
      <c r="Z182" s="258"/>
    </row>
    <row r="183" ht="12.75" customHeight="1">
      <c r="A183" s="258"/>
      <c r="B183" s="258"/>
      <c r="C183" s="258"/>
      <c r="D183" s="258"/>
      <c r="E183" s="258"/>
      <c r="F183" s="314"/>
      <c r="G183" s="258"/>
      <c r="H183" s="258"/>
      <c r="I183" s="258"/>
      <c r="J183" s="258"/>
      <c r="K183" s="258"/>
      <c r="L183" s="258"/>
      <c r="M183" s="258"/>
      <c r="N183" s="258"/>
      <c r="O183" s="258"/>
      <c r="P183" s="258"/>
      <c r="Q183" s="258"/>
      <c r="R183" s="258"/>
      <c r="S183" s="258"/>
      <c r="T183" s="258"/>
      <c r="U183" s="258"/>
      <c r="V183" s="258"/>
      <c r="W183" s="258"/>
      <c r="X183" s="258"/>
      <c r="Y183" s="258"/>
      <c r="Z183" s="258"/>
    </row>
    <row r="184" ht="12.75" customHeight="1">
      <c r="A184" s="258"/>
      <c r="B184" s="258"/>
      <c r="C184" s="258"/>
      <c r="D184" s="258"/>
      <c r="E184" s="258"/>
      <c r="F184" s="314"/>
      <c r="G184" s="258"/>
      <c r="H184" s="258"/>
      <c r="I184" s="258"/>
      <c r="J184" s="258"/>
      <c r="K184" s="258"/>
      <c r="L184" s="258"/>
      <c r="M184" s="258"/>
      <c r="N184" s="258"/>
      <c r="O184" s="258"/>
      <c r="P184" s="258"/>
      <c r="Q184" s="258"/>
      <c r="R184" s="258"/>
      <c r="S184" s="258"/>
      <c r="T184" s="258"/>
      <c r="U184" s="258"/>
      <c r="V184" s="258"/>
      <c r="W184" s="258"/>
      <c r="X184" s="258"/>
      <c r="Y184" s="258"/>
      <c r="Z184" s="258"/>
    </row>
    <row r="185" ht="12.75" customHeight="1">
      <c r="A185" s="258"/>
      <c r="B185" s="258"/>
      <c r="C185" s="258"/>
      <c r="D185" s="258"/>
      <c r="E185" s="258"/>
      <c r="F185" s="314"/>
      <c r="G185" s="258"/>
      <c r="H185" s="258"/>
      <c r="I185" s="258"/>
      <c r="J185" s="258"/>
      <c r="K185" s="258"/>
      <c r="L185" s="258"/>
      <c r="M185" s="258"/>
      <c r="N185" s="258"/>
      <c r="O185" s="258"/>
      <c r="P185" s="258"/>
      <c r="Q185" s="258"/>
      <c r="R185" s="258"/>
      <c r="S185" s="258"/>
      <c r="T185" s="258"/>
      <c r="U185" s="258"/>
      <c r="V185" s="258"/>
      <c r="W185" s="258"/>
      <c r="X185" s="258"/>
      <c r="Y185" s="258"/>
      <c r="Z185" s="258"/>
    </row>
    <row r="186" ht="12.75" customHeight="1">
      <c r="A186" s="258"/>
      <c r="B186" s="258"/>
      <c r="C186" s="258"/>
      <c r="D186" s="258"/>
      <c r="E186" s="258"/>
      <c r="F186" s="314"/>
      <c r="G186" s="258"/>
      <c r="H186" s="258"/>
      <c r="I186" s="258"/>
      <c r="J186" s="258"/>
      <c r="K186" s="258"/>
      <c r="L186" s="258"/>
      <c r="M186" s="258"/>
      <c r="N186" s="258"/>
      <c r="O186" s="258"/>
      <c r="P186" s="258"/>
      <c r="Q186" s="258"/>
      <c r="R186" s="258"/>
      <c r="S186" s="258"/>
      <c r="T186" s="258"/>
      <c r="U186" s="258"/>
      <c r="V186" s="258"/>
      <c r="W186" s="258"/>
      <c r="X186" s="258"/>
      <c r="Y186" s="258"/>
      <c r="Z186" s="258"/>
    </row>
    <row r="187" ht="12.75" customHeight="1">
      <c r="A187" s="258"/>
      <c r="B187" s="258"/>
      <c r="C187" s="258"/>
      <c r="D187" s="258"/>
      <c r="E187" s="258"/>
      <c r="F187" s="314"/>
      <c r="G187" s="258"/>
      <c r="H187" s="258"/>
      <c r="I187" s="258"/>
      <c r="J187" s="258"/>
      <c r="K187" s="258"/>
      <c r="L187" s="258"/>
      <c r="M187" s="258"/>
      <c r="N187" s="258"/>
      <c r="O187" s="258"/>
      <c r="P187" s="258"/>
      <c r="Q187" s="258"/>
      <c r="R187" s="258"/>
      <c r="S187" s="258"/>
      <c r="T187" s="258"/>
      <c r="U187" s="258"/>
      <c r="V187" s="258"/>
      <c r="W187" s="258"/>
      <c r="X187" s="258"/>
      <c r="Y187" s="258"/>
      <c r="Z187" s="258"/>
    </row>
    <row r="188" ht="12.75" customHeight="1">
      <c r="A188" s="258"/>
      <c r="B188" s="258"/>
      <c r="C188" s="258"/>
      <c r="D188" s="258"/>
      <c r="E188" s="258"/>
      <c r="F188" s="314"/>
      <c r="G188" s="258"/>
      <c r="H188" s="258"/>
      <c r="I188" s="258"/>
      <c r="J188" s="258"/>
      <c r="K188" s="258"/>
      <c r="L188" s="258"/>
      <c r="M188" s="258"/>
      <c r="N188" s="258"/>
      <c r="O188" s="258"/>
      <c r="P188" s="258"/>
      <c r="Q188" s="258"/>
      <c r="R188" s="258"/>
      <c r="S188" s="258"/>
      <c r="T188" s="258"/>
      <c r="U188" s="258"/>
      <c r="V188" s="258"/>
      <c r="W188" s="258"/>
      <c r="X188" s="258"/>
      <c r="Y188" s="258"/>
      <c r="Z188" s="258"/>
    </row>
    <row r="189" ht="12.75" customHeight="1">
      <c r="A189" s="258"/>
      <c r="B189" s="258"/>
      <c r="C189" s="258"/>
      <c r="D189" s="258"/>
      <c r="E189" s="258"/>
      <c r="F189" s="314"/>
      <c r="G189" s="258"/>
      <c r="H189" s="258"/>
      <c r="I189" s="258"/>
      <c r="J189" s="258"/>
      <c r="K189" s="258"/>
      <c r="L189" s="258"/>
      <c r="M189" s="258"/>
      <c r="N189" s="258"/>
      <c r="O189" s="258"/>
      <c r="P189" s="258"/>
      <c r="Q189" s="258"/>
      <c r="R189" s="258"/>
      <c r="S189" s="258"/>
      <c r="T189" s="258"/>
      <c r="U189" s="258"/>
      <c r="V189" s="258"/>
      <c r="W189" s="258"/>
      <c r="X189" s="258"/>
      <c r="Y189" s="258"/>
      <c r="Z189" s="258"/>
    </row>
    <row r="190" ht="12.75" customHeight="1">
      <c r="A190" s="258"/>
      <c r="B190" s="258"/>
      <c r="C190" s="258"/>
      <c r="D190" s="258"/>
      <c r="E190" s="258"/>
      <c r="F190" s="314"/>
      <c r="G190" s="258"/>
      <c r="H190" s="258"/>
      <c r="I190" s="258"/>
      <c r="J190" s="258"/>
      <c r="K190" s="258"/>
      <c r="L190" s="258"/>
      <c r="M190" s="258"/>
      <c r="N190" s="258"/>
      <c r="O190" s="258"/>
      <c r="P190" s="258"/>
      <c r="Q190" s="258"/>
      <c r="R190" s="258"/>
      <c r="S190" s="258"/>
      <c r="T190" s="258"/>
      <c r="U190" s="258"/>
      <c r="V190" s="258"/>
      <c r="W190" s="258"/>
      <c r="X190" s="258"/>
      <c r="Y190" s="258"/>
      <c r="Z190" s="258"/>
    </row>
    <row r="191" ht="12.75" customHeight="1">
      <c r="A191" s="258"/>
      <c r="B191" s="258"/>
      <c r="C191" s="258"/>
      <c r="D191" s="258"/>
      <c r="E191" s="258"/>
      <c r="F191" s="314"/>
      <c r="G191" s="258"/>
      <c r="H191" s="258"/>
      <c r="I191" s="258"/>
      <c r="J191" s="258"/>
      <c r="K191" s="258"/>
      <c r="L191" s="258"/>
      <c r="M191" s="258"/>
      <c r="N191" s="258"/>
      <c r="O191" s="258"/>
      <c r="P191" s="258"/>
      <c r="Q191" s="258"/>
      <c r="R191" s="258"/>
      <c r="S191" s="258"/>
      <c r="T191" s="258"/>
      <c r="U191" s="258"/>
      <c r="V191" s="258"/>
      <c r="W191" s="258"/>
      <c r="X191" s="258"/>
      <c r="Y191" s="258"/>
      <c r="Z191" s="258"/>
    </row>
    <row r="192" ht="12.75" customHeight="1">
      <c r="A192" s="258"/>
      <c r="B192" s="258"/>
      <c r="C192" s="258"/>
      <c r="D192" s="258"/>
      <c r="E192" s="258"/>
      <c r="F192" s="314"/>
      <c r="G192" s="258"/>
      <c r="H192" s="258"/>
      <c r="I192" s="258"/>
      <c r="J192" s="258"/>
      <c r="K192" s="258"/>
      <c r="L192" s="258"/>
      <c r="M192" s="258"/>
      <c r="N192" s="258"/>
      <c r="O192" s="258"/>
      <c r="P192" s="258"/>
      <c r="Q192" s="258"/>
      <c r="R192" s="258"/>
      <c r="S192" s="258"/>
      <c r="T192" s="258"/>
      <c r="U192" s="258"/>
      <c r="V192" s="258"/>
      <c r="W192" s="258"/>
      <c r="X192" s="258"/>
      <c r="Y192" s="258"/>
      <c r="Z192" s="258"/>
    </row>
    <row r="193" ht="12.75" customHeight="1">
      <c r="A193" s="258"/>
      <c r="B193" s="258"/>
      <c r="C193" s="258"/>
      <c r="D193" s="258"/>
      <c r="E193" s="258"/>
      <c r="F193" s="314"/>
      <c r="G193" s="258"/>
      <c r="H193" s="258"/>
      <c r="I193" s="258"/>
      <c r="J193" s="258"/>
      <c r="K193" s="258"/>
      <c r="L193" s="258"/>
      <c r="M193" s="258"/>
      <c r="N193" s="258"/>
      <c r="O193" s="258"/>
      <c r="P193" s="258"/>
      <c r="Q193" s="258"/>
      <c r="R193" s="258"/>
      <c r="S193" s="258"/>
      <c r="T193" s="258"/>
      <c r="U193" s="258"/>
      <c r="V193" s="258"/>
      <c r="W193" s="258"/>
      <c r="X193" s="258"/>
      <c r="Y193" s="258"/>
      <c r="Z193" s="258"/>
    </row>
    <row r="194" ht="12.75" customHeight="1">
      <c r="A194" s="258"/>
      <c r="B194" s="258"/>
      <c r="C194" s="258"/>
      <c r="D194" s="258"/>
      <c r="E194" s="258"/>
      <c r="F194" s="314"/>
      <c r="G194" s="258"/>
      <c r="H194" s="258"/>
      <c r="I194" s="258"/>
      <c r="J194" s="258"/>
      <c r="K194" s="258"/>
      <c r="L194" s="258"/>
      <c r="M194" s="258"/>
      <c r="N194" s="258"/>
      <c r="O194" s="258"/>
      <c r="P194" s="258"/>
      <c r="Q194" s="258"/>
      <c r="R194" s="258"/>
      <c r="S194" s="258"/>
      <c r="T194" s="258"/>
      <c r="U194" s="258"/>
      <c r="V194" s="258"/>
      <c r="W194" s="258"/>
      <c r="X194" s="258"/>
      <c r="Y194" s="258"/>
      <c r="Z194" s="258"/>
    </row>
    <row r="195" ht="12.75" customHeight="1">
      <c r="A195" s="258"/>
      <c r="B195" s="258"/>
      <c r="C195" s="258"/>
      <c r="D195" s="258"/>
      <c r="E195" s="258"/>
      <c r="F195" s="314"/>
      <c r="G195" s="258"/>
      <c r="H195" s="258"/>
      <c r="I195" s="258"/>
      <c r="J195" s="258"/>
      <c r="K195" s="258"/>
      <c r="L195" s="258"/>
      <c r="M195" s="258"/>
      <c r="N195" s="258"/>
      <c r="O195" s="258"/>
      <c r="P195" s="258"/>
      <c r="Q195" s="258"/>
      <c r="R195" s="258"/>
      <c r="S195" s="258"/>
      <c r="T195" s="258"/>
      <c r="U195" s="258"/>
      <c r="V195" s="258"/>
      <c r="W195" s="258"/>
      <c r="X195" s="258"/>
      <c r="Y195" s="258"/>
      <c r="Z195" s="258"/>
    </row>
    <row r="196" ht="12.75" customHeight="1">
      <c r="A196" s="258"/>
      <c r="B196" s="258"/>
      <c r="C196" s="258"/>
      <c r="D196" s="258"/>
      <c r="E196" s="258"/>
      <c r="F196" s="314"/>
      <c r="G196" s="258"/>
      <c r="H196" s="258"/>
      <c r="I196" s="258"/>
      <c r="J196" s="258"/>
      <c r="K196" s="258"/>
      <c r="L196" s="258"/>
      <c r="M196" s="258"/>
      <c r="N196" s="258"/>
      <c r="O196" s="258"/>
      <c r="P196" s="258"/>
      <c r="Q196" s="258"/>
      <c r="R196" s="258"/>
      <c r="S196" s="258"/>
      <c r="T196" s="258"/>
      <c r="U196" s="258"/>
      <c r="V196" s="258"/>
      <c r="W196" s="258"/>
      <c r="X196" s="258"/>
      <c r="Y196" s="258"/>
      <c r="Z196" s="258"/>
    </row>
    <row r="197" ht="12.75" customHeight="1">
      <c r="A197" s="258"/>
      <c r="B197" s="258"/>
      <c r="C197" s="258"/>
      <c r="D197" s="258"/>
      <c r="E197" s="258"/>
      <c r="F197" s="314"/>
      <c r="G197" s="258"/>
      <c r="H197" s="258"/>
      <c r="I197" s="258"/>
      <c r="J197" s="258"/>
      <c r="K197" s="258"/>
      <c r="L197" s="258"/>
      <c r="M197" s="258"/>
      <c r="N197" s="258"/>
      <c r="O197" s="258"/>
      <c r="P197" s="258"/>
      <c r="Q197" s="258"/>
      <c r="R197" s="258"/>
      <c r="S197" s="258"/>
      <c r="T197" s="258"/>
      <c r="U197" s="258"/>
      <c r="V197" s="258"/>
      <c r="W197" s="258"/>
      <c r="X197" s="258"/>
      <c r="Y197" s="258"/>
      <c r="Z197" s="258"/>
    </row>
    <row r="198" ht="12.75" customHeight="1">
      <c r="A198" s="258"/>
      <c r="B198" s="258"/>
      <c r="C198" s="258"/>
      <c r="D198" s="258"/>
      <c r="E198" s="258"/>
      <c r="F198" s="314"/>
      <c r="G198" s="258"/>
      <c r="H198" s="258"/>
      <c r="I198" s="258"/>
      <c r="J198" s="258"/>
      <c r="K198" s="258"/>
      <c r="L198" s="258"/>
      <c r="M198" s="258"/>
      <c r="N198" s="258"/>
      <c r="O198" s="258"/>
      <c r="P198" s="258"/>
      <c r="Q198" s="258"/>
      <c r="R198" s="258"/>
      <c r="S198" s="258"/>
      <c r="T198" s="258"/>
      <c r="U198" s="258"/>
      <c r="V198" s="258"/>
      <c r="W198" s="258"/>
      <c r="X198" s="258"/>
      <c r="Y198" s="258"/>
      <c r="Z198" s="258"/>
    </row>
    <row r="199" ht="12.75" customHeight="1">
      <c r="A199" s="258"/>
      <c r="B199" s="258"/>
      <c r="C199" s="258"/>
      <c r="D199" s="258"/>
      <c r="E199" s="258"/>
      <c r="F199" s="314"/>
      <c r="G199" s="258"/>
      <c r="H199" s="258"/>
      <c r="I199" s="258"/>
      <c r="J199" s="258"/>
      <c r="K199" s="258"/>
      <c r="L199" s="258"/>
      <c r="M199" s="258"/>
      <c r="N199" s="258"/>
      <c r="O199" s="258"/>
      <c r="P199" s="258"/>
      <c r="Q199" s="258"/>
      <c r="R199" s="258"/>
      <c r="S199" s="258"/>
      <c r="T199" s="258"/>
      <c r="U199" s="258"/>
      <c r="V199" s="258"/>
      <c r="W199" s="258"/>
      <c r="X199" s="258"/>
      <c r="Y199" s="258"/>
      <c r="Z199" s="258"/>
    </row>
    <row r="200" ht="12.75" customHeight="1">
      <c r="A200" s="258"/>
      <c r="B200" s="258"/>
      <c r="C200" s="258"/>
      <c r="D200" s="258"/>
      <c r="E200" s="258"/>
      <c r="F200" s="314"/>
      <c r="G200" s="258"/>
      <c r="H200" s="258"/>
      <c r="I200" s="258"/>
      <c r="J200" s="258"/>
      <c r="K200" s="258"/>
      <c r="L200" s="258"/>
      <c r="M200" s="258"/>
      <c r="N200" s="258"/>
      <c r="O200" s="258"/>
      <c r="P200" s="258"/>
      <c r="Q200" s="258"/>
      <c r="R200" s="258"/>
      <c r="S200" s="258"/>
      <c r="T200" s="258"/>
      <c r="U200" s="258"/>
      <c r="V200" s="258"/>
      <c r="W200" s="258"/>
      <c r="X200" s="258"/>
      <c r="Y200" s="258"/>
      <c r="Z200" s="258"/>
    </row>
    <row r="201" ht="12.75" customHeight="1">
      <c r="A201" s="258"/>
      <c r="B201" s="258"/>
      <c r="C201" s="258"/>
      <c r="D201" s="258"/>
      <c r="E201" s="258"/>
      <c r="F201" s="314"/>
      <c r="G201" s="258"/>
      <c r="H201" s="258"/>
      <c r="I201" s="258"/>
      <c r="J201" s="258"/>
      <c r="K201" s="258"/>
      <c r="L201" s="258"/>
      <c r="M201" s="258"/>
      <c r="N201" s="258"/>
      <c r="O201" s="258"/>
      <c r="P201" s="258"/>
      <c r="Q201" s="258"/>
      <c r="R201" s="258"/>
      <c r="S201" s="258"/>
      <c r="T201" s="258"/>
      <c r="U201" s="258"/>
      <c r="V201" s="258"/>
      <c r="W201" s="258"/>
      <c r="X201" s="258"/>
      <c r="Y201" s="258"/>
      <c r="Z201" s="258"/>
    </row>
    <row r="202" ht="12.75" customHeight="1">
      <c r="A202" s="258"/>
      <c r="B202" s="258"/>
      <c r="C202" s="258"/>
      <c r="D202" s="258"/>
      <c r="E202" s="258"/>
      <c r="F202" s="314"/>
      <c r="G202" s="258"/>
      <c r="H202" s="258"/>
      <c r="I202" s="258"/>
      <c r="J202" s="258"/>
      <c r="K202" s="258"/>
      <c r="L202" s="258"/>
      <c r="M202" s="258"/>
      <c r="N202" s="258"/>
      <c r="O202" s="258"/>
      <c r="P202" s="258"/>
      <c r="Q202" s="258"/>
      <c r="R202" s="258"/>
      <c r="S202" s="258"/>
      <c r="T202" s="258"/>
      <c r="U202" s="258"/>
      <c r="V202" s="258"/>
      <c r="W202" s="258"/>
      <c r="X202" s="258"/>
      <c r="Y202" s="258"/>
      <c r="Z202" s="258"/>
    </row>
    <row r="203" ht="12.75" customHeight="1">
      <c r="A203" s="258"/>
      <c r="B203" s="258"/>
      <c r="C203" s="258"/>
      <c r="D203" s="258"/>
      <c r="E203" s="258"/>
      <c r="F203" s="314"/>
      <c r="G203" s="258"/>
      <c r="H203" s="258"/>
      <c r="I203" s="258"/>
      <c r="J203" s="258"/>
      <c r="K203" s="258"/>
      <c r="L203" s="258"/>
      <c r="M203" s="258"/>
      <c r="N203" s="258"/>
      <c r="O203" s="258"/>
      <c r="P203" s="258"/>
      <c r="Q203" s="258"/>
      <c r="R203" s="258"/>
      <c r="S203" s="258"/>
      <c r="T203" s="258"/>
      <c r="U203" s="258"/>
      <c r="V203" s="258"/>
      <c r="W203" s="258"/>
      <c r="X203" s="258"/>
      <c r="Y203" s="258"/>
      <c r="Z203" s="258"/>
    </row>
    <row r="204" ht="12.75" customHeight="1">
      <c r="A204" s="258"/>
      <c r="B204" s="258"/>
      <c r="C204" s="258"/>
      <c r="D204" s="258"/>
      <c r="E204" s="258"/>
      <c r="F204" s="314"/>
      <c r="G204" s="258"/>
      <c r="H204" s="258"/>
      <c r="I204" s="258"/>
      <c r="J204" s="258"/>
      <c r="K204" s="258"/>
      <c r="L204" s="258"/>
      <c r="M204" s="258"/>
      <c r="N204" s="258"/>
      <c r="O204" s="258"/>
      <c r="P204" s="258"/>
      <c r="Q204" s="258"/>
      <c r="R204" s="258"/>
      <c r="S204" s="258"/>
      <c r="T204" s="258"/>
      <c r="U204" s="258"/>
      <c r="V204" s="258"/>
      <c r="W204" s="258"/>
      <c r="X204" s="258"/>
      <c r="Y204" s="258"/>
      <c r="Z204" s="258"/>
    </row>
    <row r="205" ht="12.75" customHeight="1">
      <c r="A205" s="258"/>
      <c r="B205" s="258"/>
      <c r="C205" s="258"/>
      <c r="D205" s="258"/>
      <c r="E205" s="258"/>
      <c r="F205" s="314"/>
      <c r="G205" s="258"/>
      <c r="H205" s="258"/>
      <c r="I205" s="258"/>
      <c r="J205" s="258"/>
      <c r="K205" s="258"/>
      <c r="L205" s="258"/>
      <c r="M205" s="258"/>
      <c r="N205" s="258"/>
      <c r="O205" s="258"/>
      <c r="P205" s="258"/>
      <c r="Q205" s="258"/>
      <c r="R205" s="258"/>
      <c r="S205" s="258"/>
      <c r="T205" s="258"/>
      <c r="U205" s="258"/>
      <c r="V205" s="258"/>
      <c r="W205" s="258"/>
      <c r="X205" s="258"/>
      <c r="Y205" s="258"/>
      <c r="Z205" s="258"/>
    </row>
    <row r="206" ht="12.75" customHeight="1">
      <c r="A206" s="258"/>
      <c r="B206" s="258"/>
      <c r="C206" s="258"/>
      <c r="D206" s="258"/>
      <c r="E206" s="258"/>
      <c r="F206" s="314"/>
      <c r="G206" s="258"/>
      <c r="H206" s="258"/>
      <c r="I206" s="258"/>
      <c r="J206" s="258"/>
      <c r="K206" s="258"/>
      <c r="L206" s="258"/>
      <c r="M206" s="258"/>
      <c r="N206" s="258"/>
      <c r="O206" s="258"/>
      <c r="P206" s="258"/>
      <c r="Q206" s="258"/>
      <c r="R206" s="258"/>
      <c r="S206" s="258"/>
      <c r="T206" s="258"/>
      <c r="U206" s="258"/>
      <c r="V206" s="258"/>
      <c r="W206" s="258"/>
      <c r="X206" s="258"/>
      <c r="Y206" s="258"/>
      <c r="Z206" s="258"/>
    </row>
    <row r="207" ht="12.75" customHeight="1">
      <c r="A207" s="258"/>
      <c r="B207" s="258"/>
      <c r="C207" s="258"/>
      <c r="D207" s="258"/>
      <c r="E207" s="258"/>
      <c r="F207" s="314"/>
      <c r="G207" s="258"/>
      <c r="H207" s="258"/>
      <c r="I207" s="258"/>
      <c r="J207" s="258"/>
      <c r="K207" s="258"/>
      <c r="L207" s="258"/>
      <c r="M207" s="258"/>
      <c r="N207" s="258"/>
      <c r="O207" s="258"/>
      <c r="P207" s="258"/>
      <c r="Q207" s="258"/>
      <c r="R207" s="258"/>
      <c r="S207" s="258"/>
      <c r="T207" s="258"/>
      <c r="U207" s="258"/>
      <c r="V207" s="258"/>
      <c r="W207" s="258"/>
      <c r="X207" s="258"/>
      <c r="Y207" s="258"/>
      <c r="Z207" s="258"/>
    </row>
    <row r="208" ht="12.75" customHeight="1">
      <c r="A208" s="258"/>
      <c r="B208" s="258"/>
      <c r="C208" s="258"/>
      <c r="D208" s="258"/>
      <c r="E208" s="258"/>
      <c r="F208" s="314"/>
      <c r="G208" s="258"/>
      <c r="H208" s="258"/>
      <c r="I208" s="258"/>
      <c r="J208" s="258"/>
      <c r="K208" s="258"/>
      <c r="L208" s="258"/>
      <c r="M208" s="258"/>
      <c r="N208" s="258"/>
      <c r="O208" s="258"/>
      <c r="P208" s="258"/>
      <c r="Q208" s="258"/>
      <c r="R208" s="258"/>
      <c r="S208" s="258"/>
      <c r="T208" s="258"/>
      <c r="U208" s="258"/>
      <c r="V208" s="258"/>
      <c r="W208" s="258"/>
      <c r="X208" s="258"/>
      <c r="Y208" s="258"/>
      <c r="Z208" s="258"/>
    </row>
    <row r="209" ht="12.75" customHeight="1">
      <c r="A209" s="258"/>
      <c r="B209" s="258"/>
      <c r="C209" s="258"/>
      <c r="D209" s="258"/>
      <c r="E209" s="258"/>
      <c r="F209" s="314"/>
      <c r="G209" s="258"/>
      <c r="H209" s="258"/>
      <c r="I209" s="258"/>
      <c r="J209" s="258"/>
      <c r="K209" s="258"/>
      <c r="L209" s="258"/>
      <c r="M209" s="258"/>
      <c r="N209" s="258"/>
      <c r="O209" s="258"/>
      <c r="P209" s="258"/>
      <c r="Q209" s="258"/>
      <c r="R209" s="258"/>
      <c r="S209" s="258"/>
      <c r="T209" s="258"/>
      <c r="U209" s="258"/>
      <c r="V209" s="258"/>
      <c r="W209" s="258"/>
      <c r="X209" s="258"/>
      <c r="Y209" s="258"/>
      <c r="Z209" s="258"/>
    </row>
    <row r="210" ht="12.75" customHeight="1">
      <c r="A210" s="258"/>
      <c r="B210" s="258"/>
      <c r="C210" s="258"/>
      <c r="D210" s="258"/>
      <c r="E210" s="258"/>
      <c r="F210" s="314"/>
      <c r="G210" s="258"/>
      <c r="H210" s="258"/>
      <c r="I210" s="258"/>
      <c r="J210" s="258"/>
      <c r="K210" s="258"/>
      <c r="L210" s="258"/>
      <c r="M210" s="258"/>
      <c r="N210" s="258"/>
      <c r="O210" s="258"/>
      <c r="P210" s="258"/>
      <c r="Q210" s="258"/>
      <c r="R210" s="258"/>
      <c r="S210" s="258"/>
      <c r="T210" s="258"/>
      <c r="U210" s="258"/>
      <c r="V210" s="258"/>
      <c r="W210" s="258"/>
      <c r="X210" s="258"/>
      <c r="Y210" s="258"/>
      <c r="Z210" s="258"/>
    </row>
    <row r="211" ht="12.75" customHeight="1">
      <c r="A211" s="258"/>
      <c r="B211" s="258"/>
      <c r="C211" s="258"/>
      <c r="D211" s="258"/>
      <c r="E211" s="258"/>
      <c r="F211" s="314"/>
      <c r="G211" s="258"/>
      <c r="H211" s="258"/>
      <c r="I211" s="258"/>
      <c r="J211" s="258"/>
      <c r="K211" s="258"/>
      <c r="L211" s="258"/>
      <c r="M211" s="258"/>
      <c r="N211" s="258"/>
      <c r="O211" s="258"/>
      <c r="P211" s="258"/>
      <c r="Q211" s="258"/>
      <c r="R211" s="258"/>
      <c r="S211" s="258"/>
      <c r="T211" s="258"/>
      <c r="U211" s="258"/>
      <c r="V211" s="258"/>
      <c r="W211" s="258"/>
      <c r="X211" s="258"/>
      <c r="Y211" s="258"/>
      <c r="Z211" s="258"/>
    </row>
    <row r="212" ht="12.75" customHeight="1">
      <c r="A212" s="258"/>
      <c r="B212" s="258"/>
      <c r="C212" s="258"/>
      <c r="D212" s="258"/>
      <c r="E212" s="258"/>
      <c r="F212" s="314"/>
      <c r="G212" s="258"/>
      <c r="H212" s="258"/>
      <c r="I212" s="258"/>
      <c r="J212" s="258"/>
      <c r="K212" s="258"/>
      <c r="L212" s="258"/>
      <c r="M212" s="258"/>
      <c r="N212" s="258"/>
      <c r="O212" s="258"/>
      <c r="P212" s="258"/>
      <c r="Q212" s="258"/>
      <c r="R212" s="258"/>
      <c r="S212" s="258"/>
      <c r="T212" s="258"/>
      <c r="U212" s="258"/>
      <c r="V212" s="258"/>
      <c r="W212" s="258"/>
      <c r="X212" s="258"/>
      <c r="Y212" s="258"/>
      <c r="Z212" s="258"/>
    </row>
    <row r="213" ht="12.75" customHeight="1">
      <c r="A213" s="258"/>
      <c r="B213" s="258"/>
      <c r="C213" s="258"/>
      <c r="D213" s="258"/>
      <c r="E213" s="258"/>
      <c r="F213" s="314"/>
      <c r="G213" s="258"/>
      <c r="H213" s="258"/>
      <c r="I213" s="258"/>
      <c r="J213" s="258"/>
      <c r="K213" s="258"/>
      <c r="L213" s="258"/>
      <c r="M213" s="258"/>
      <c r="N213" s="258"/>
      <c r="O213" s="258"/>
      <c r="P213" s="258"/>
      <c r="Q213" s="258"/>
      <c r="R213" s="258"/>
      <c r="S213" s="258"/>
      <c r="T213" s="258"/>
      <c r="U213" s="258"/>
      <c r="V213" s="258"/>
      <c r="W213" s="258"/>
      <c r="X213" s="258"/>
      <c r="Y213" s="258"/>
      <c r="Z213" s="258"/>
    </row>
    <row r="214" ht="12.75" customHeight="1">
      <c r="A214" s="258"/>
      <c r="B214" s="258"/>
      <c r="C214" s="258"/>
      <c r="D214" s="258"/>
      <c r="E214" s="258"/>
      <c r="F214" s="314"/>
      <c r="G214" s="258"/>
      <c r="H214" s="258"/>
      <c r="I214" s="258"/>
      <c r="J214" s="258"/>
      <c r="K214" s="258"/>
      <c r="L214" s="258"/>
      <c r="M214" s="258"/>
      <c r="N214" s="258"/>
      <c r="O214" s="258"/>
      <c r="P214" s="258"/>
      <c r="Q214" s="258"/>
      <c r="R214" s="258"/>
      <c r="S214" s="258"/>
      <c r="T214" s="258"/>
      <c r="U214" s="258"/>
      <c r="V214" s="258"/>
      <c r="W214" s="258"/>
      <c r="X214" s="258"/>
      <c r="Y214" s="258"/>
      <c r="Z214" s="258"/>
    </row>
    <row r="215" ht="12.75" customHeight="1">
      <c r="A215" s="258"/>
      <c r="B215" s="258"/>
      <c r="C215" s="258"/>
      <c r="D215" s="258"/>
      <c r="E215" s="258"/>
      <c r="F215" s="314"/>
      <c r="G215" s="258"/>
      <c r="H215" s="258"/>
      <c r="I215" s="258"/>
      <c r="J215" s="258"/>
      <c r="K215" s="258"/>
      <c r="L215" s="258"/>
      <c r="M215" s="258"/>
      <c r="N215" s="258"/>
      <c r="O215" s="258"/>
      <c r="P215" s="258"/>
      <c r="Q215" s="258"/>
      <c r="R215" s="258"/>
      <c r="S215" s="258"/>
      <c r="T215" s="258"/>
      <c r="U215" s="258"/>
      <c r="V215" s="258"/>
      <c r="W215" s="258"/>
      <c r="X215" s="258"/>
      <c r="Y215" s="258"/>
      <c r="Z215" s="258"/>
    </row>
    <row r="216" ht="12.75" customHeight="1">
      <c r="A216" s="258"/>
      <c r="B216" s="258"/>
      <c r="C216" s="258"/>
      <c r="D216" s="258"/>
      <c r="E216" s="258"/>
      <c r="F216" s="314"/>
      <c r="G216" s="258"/>
      <c r="H216" s="258"/>
      <c r="I216" s="258"/>
      <c r="J216" s="258"/>
      <c r="K216" s="258"/>
      <c r="L216" s="258"/>
      <c r="M216" s="258"/>
      <c r="N216" s="258"/>
      <c r="O216" s="258"/>
      <c r="P216" s="258"/>
      <c r="Q216" s="258"/>
      <c r="R216" s="258"/>
      <c r="S216" s="258"/>
      <c r="T216" s="258"/>
      <c r="U216" s="258"/>
      <c r="V216" s="258"/>
      <c r="W216" s="258"/>
      <c r="X216" s="258"/>
      <c r="Y216" s="258"/>
      <c r="Z216" s="258"/>
    </row>
    <row r="217" ht="12.75" customHeight="1">
      <c r="A217" s="258"/>
      <c r="B217" s="258"/>
      <c r="C217" s="258"/>
      <c r="D217" s="258"/>
      <c r="E217" s="258"/>
      <c r="F217" s="314"/>
      <c r="G217" s="258"/>
      <c r="H217" s="258"/>
      <c r="I217" s="258"/>
      <c r="J217" s="258"/>
      <c r="K217" s="258"/>
      <c r="L217" s="258"/>
      <c r="M217" s="258"/>
      <c r="N217" s="258"/>
      <c r="O217" s="258"/>
      <c r="P217" s="258"/>
      <c r="Q217" s="258"/>
      <c r="R217" s="258"/>
      <c r="S217" s="258"/>
      <c r="T217" s="258"/>
      <c r="U217" s="258"/>
      <c r="V217" s="258"/>
      <c r="W217" s="258"/>
      <c r="X217" s="258"/>
      <c r="Y217" s="258"/>
      <c r="Z217" s="258"/>
    </row>
    <row r="218" ht="12.75" customHeight="1">
      <c r="A218" s="258"/>
      <c r="B218" s="258"/>
      <c r="C218" s="258"/>
      <c r="D218" s="258"/>
      <c r="E218" s="258"/>
      <c r="F218" s="314"/>
      <c r="G218" s="258"/>
      <c r="H218" s="258"/>
      <c r="I218" s="258"/>
      <c r="J218" s="258"/>
      <c r="K218" s="258"/>
      <c r="L218" s="258"/>
      <c r="M218" s="258"/>
      <c r="N218" s="258"/>
      <c r="O218" s="258"/>
      <c r="P218" s="258"/>
      <c r="Q218" s="258"/>
      <c r="R218" s="258"/>
      <c r="S218" s="258"/>
      <c r="T218" s="258"/>
      <c r="U218" s="258"/>
      <c r="V218" s="258"/>
      <c r="W218" s="258"/>
      <c r="X218" s="258"/>
      <c r="Y218" s="258"/>
      <c r="Z218" s="258"/>
    </row>
    <row r="219" ht="12.75" customHeight="1">
      <c r="A219" s="258"/>
      <c r="B219" s="258"/>
      <c r="C219" s="258"/>
      <c r="D219" s="258"/>
      <c r="E219" s="258"/>
      <c r="F219" s="314"/>
      <c r="G219" s="258"/>
      <c r="H219" s="258"/>
      <c r="I219" s="258"/>
      <c r="J219" s="258"/>
      <c r="K219" s="258"/>
      <c r="L219" s="258"/>
      <c r="M219" s="258"/>
      <c r="N219" s="258"/>
      <c r="O219" s="258"/>
      <c r="P219" s="258"/>
      <c r="Q219" s="258"/>
      <c r="R219" s="258"/>
      <c r="S219" s="258"/>
      <c r="T219" s="258"/>
      <c r="U219" s="258"/>
      <c r="V219" s="258"/>
      <c r="W219" s="258"/>
      <c r="X219" s="258"/>
      <c r="Y219" s="258"/>
      <c r="Z219" s="258"/>
    </row>
    <row r="220" ht="12.75" customHeight="1">
      <c r="A220" s="258"/>
      <c r="B220" s="258"/>
      <c r="C220" s="258"/>
      <c r="D220" s="258"/>
      <c r="E220" s="258"/>
      <c r="F220" s="314"/>
      <c r="G220" s="258"/>
      <c r="H220" s="258"/>
      <c r="I220" s="258"/>
      <c r="J220" s="258"/>
      <c r="K220" s="258"/>
      <c r="L220" s="258"/>
      <c r="M220" s="258"/>
      <c r="N220" s="258"/>
      <c r="O220" s="258"/>
      <c r="P220" s="258"/>
      <c r="Q220" s="258"/>
      <c r="R220" s="258"/>
      <c r="S220" s="258"/>
      <c r="T220" s="258"/>
      <c r="U220" s="258"/>
      <c r="V220" s="258"/>
      <c r="W220" s="258"/>
      <c r="X220" s="258"/>
      <c r="Y220" s="258"/>
      <c r="Z220" s="258"/>
    </row>
  </sheetData>
  <pageMargins left="0.7875" right="0.7875" top="1.025" bottom="1.025" header="0" footer="0"/>
  <pageSetup firstPageNumber="1" fitToHeight="1" fitToWidth="1" scale="100" useFirstPageNumber="0" orientation="portrait" pageOrder="downThenOver"/>
  <headerFooter>
    <oddHeader>&amp;C&amp;"Calibri,Regular"&amp;10&amp;K000000PLOMERIA</oddHeader>
    <oddFooter>&amp;C&amp;"Calibri,Regular"&amp;10&amp;K000000Página &amp;P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I13"/>
  <sheetViews>
    <sheetView workbookViewId="0" showGridLines="0" defaultGridColor="1"/>
  </sheetViews>
  <sheetFormatPr defaultColWidth="14.4" defaultRowHeight="15" customHeight="1" outlineLevelRow="0" outlineLevelCol="0"/>
  <cols>
    <col min="1" max="3" width="14.4219" style="442" customWidth="1"/>
    <col min="4" max="4" width="28.8125" style="442" customWidth="1"/>
    <col min="5" max="9" width="14.4219" style="442" customWidth="1"/>
    <col min="10" max="16384" width="14.4219" style="442" customWidth="1"/>
  </cols>
  <sheetData>
    <row r="1" ht="25" customHeight="1">
      <c r="A1" t="s" s="259">
        <v>1136</v>
      </c>
      <c r="B1" t="s" s="260">
        <v>23</v>
      </c>
      <c r="C1" t="s" s="260">
        <v>24</v>
      </c>
      <c r="D1" t="s" s="260">
        <v>1137</v>
      </c>
      <c r="E1" t="s" s="260">
        <v>26</v>
      </c>
      <c r="F1" t="s" s="260">
        <v>27</v>
      </c>
      <c r="G1" t="s" s="371">
        <v>28</v>
      </c>
      <c r="H1" s="372"/>
      <c r="I1" s="9"/>
    </row>
    <row r="2" ht="15" customHeight="1">
      <c r="A2" t="s" s="274">
        <v>1593</v>
      </c>
      <c r="B2" s="275"/>
      <c r="C2" t="s" s="274">
        <v>65</v>
      </c>
      <c r="D2" t="s" s="375">
        <v>61</v>
      </c>
      <c r="E2" s="376">
        <v>35000</v>
      </c>
      <c r="F2" s="377">
        <v>5000</v>
      </c>
      <c r="G2" s="376">
        <v>7</v>
      </c>
      <c r="H2" s="372"/>
      <c r="I2" s="443">
        <v>5000</v>
      </c>
    </row>
    <row r="3" ht="15" customHeight="1">
      <c r="A3" t="s" s="259">
        <v>1594</v>
      </c>
      <c r="B3" s="282"/>
      <c r="C3" t="s" s="259">
        <v>65</v>
      </c>
      <c r="D3" t="s" s="293">
        <v>61</v>
      </c>
      <c r="E3" s="373">
        <v>36000</v>
      </c>
      <c r="F3" s="374">
        <v>5000</v>
      </c>
      <c r="G3" s="373">
        <v>7</v>
      </c>
      <c r="H3" s="372"/>
      <c r="I3" s="443">
        <v>5000</v>
      </c>
    </row>
    <row r="4" ht="15" customHeight="1">
      <c r="A4" t="s" s="274">
        <v>1147</v>
      </c>
      <c r="B4" s="275"/>
      <c r="C4" t="s" s="274">
        <v>65</v>
      </c>
      <c r="D4" t="s" s="375">
        <v>61</v>
      </c>
      <c r="E4" s="376">
        <v>220000</v>
      </c>
      <c r="F4" s="377">
        <v>30000</v>
      </c>
      <c r="G4" s="376">
        <v>7.33</v>
      </c>
      <c r="H4" s="372"/>
      <c r="I4" s="444">
        <v>30000</v>
      </c>
    </row>
    <row r="5" ht="15" customHeight="1">
      <c r="A5" s="287">
        <v>41845</v>
      </c>
      <c r="B5" s="282"/>
      <c r="C5" t="s" s="259">
        <v>65</v>
      </c>
      <c r="D5" t="s" s="293">
        <v>61</v>
      </c>
      <c r="E5" s="373">
        <v>150000</v>
      </c>
      <c r="F5" s="374">
        <v>15000</v>
      </c>
      <c r="G5" s="373">
        <v>10</v>
      </c>
      <c r="H5" s="445"/>
      <c r="I5" s="446">
        <v>12397</v>
      </c>
    </row>
    <row r="6" ht="15" customHeight="1">
      <c r="A6" s="290">
        <v>42417</v>
      </c>
      <c r="B6" s="275"/>
      <c r="C6" t="s" s="274">
        <v>65</v>
      </c>
      <c r="D6" t="s" s="375">
        <v>61</v>
      </c>
      <c r="E6" s="376">
        <v>200000</v>
      </c>
      <c r="F6" s="377">
        <v>15000</v>
      </c>
      <c r="G6" s="376">
        <v>13.3</v>
      </c>
      <c r="H6" s="372"/>
      <c r="I6" s="447">
        <v>15000</v>
      </c>
    </row>
    <row r="7" ht="15" customHeight="1">
      <c r="A7" s="287">
        <v>42584</v>
      </c>
      <c r="B7" s="282"/>
      <c r="C7" t="s" s="259">
        <v>65</v>
      </c>
      <c r="D7" t="s" s="293">
        <v>1165</v>
      </c>
      <c r="E7" s="373">
        <v>148000</v>
      </c>
      <c r="F7" s="374">
        <v>10000</v>
      </c>
      <c r="G7" s="373" cm="1">
        <f t="array" ref="G7">E7/F7</f>
        <v>14.8</v>
      </c>
      <c r="H7" s="372"/>
      <c r="I7" s="443">
        <v>10000</v>
      </c>
    </row>
    <row r="8" ht="15" customHeight="1">
      <c r="A8" s="290">
        <v>42789</v>
      </c>
      <c r="B8" s="275"/>
      <c r="C8" t="s" s="274">
        <v>65</v>
      </c>
      <c r="D8" t="s" s="375">
        <v>1169</v>
      </c>
      <c r="E8" s="376">
        <v>160000</v>
      </c>
      <c r="F8" s="377">
        <v>10000</v>
      </c>
      <c r="G8" s="376">
        <v>16</v>
      </c>
      <c r="H8" s="386"/>
      <c r="I8" s="444">
        <v>10000</v>
      </c>
    </row>
    <row r="9" ht="15" customHeight="1">
      <c r="A9" s="287">
        <v>43088</v>
      </c>
      <c r="B9" s="282"/>
      <c r="C9" t="s" s="259">
        <v>65</v>
      </c>
      <c r="D9" t="s" s="293">
        <v>176</v>
      </c>
      <c r="E9" s="373">
        <v>200000</v>
      </c>
      <c r="F9" s="374">
        <v>10000</v>
      </c>
      <c r="G9" s="373">
        <v>20</v>
      </c>
      <c r="H9" t="s" s="448">
        <v>1595</v>
      </c>
      <c r="I9" s="446" cm="1">
        <f t="array" ref="I9">4132+5000</f>
        <v>9132</v>
      </c>
    </row>
    <row r="10" ht="13.75" customHeight="1">
      <c r="A10" s="37"/>
      <c r="B10" s="449"/>
      <c r="C10" s="450"/>
      <c r="D10" s="450"/>
      <c r="E10" s="449"/>
      <c r="F10" s="449"/>
      <c r="G10" s="37"/>
      <c r="H10" s="23"/>
      <c r="I10" s="23"/>
    </row>
    <row r="11" ht="13.75" customHeight="1">
      <c r="A11" s="9"/>
      <c r="B11" s="392"/>
      <c r="C11" s="451"/>
      <c r="D11" s="451"/>
      <c r="E11" s="392"/>
      <c r="F11" s="392"/>
      <c r="G11" s="9"/>
      <c r="H11" s="9"/>
      <c r="I11" s="9"/>
    </row>
    <row r="12" ht="14.75" customHeight="1">
      <c r="A12" s="9"/>
      <c r="B12" s="393"/>
      <c r="C12" s="452"/>
      <c r="D12" s="452"/>
      <c r="E12" s="393"/>
      <c r="F12" s="393"/>
      <c r="G12" s="9"/>
      <c r="H12" s="9"/>
      <c r="I12" s="443" cm="1">
        <f t="array" ref="I12">SUM(I2:I9)</f>
        <v>96529</v>
      </c>
    </row>
    <row r="13" ht="15.75" customHeight="1">
      <c r="A13" s="24"/>
      <c r="B13" t="s" s="378">
        <v>13</v>
      </c>
      <c r="C13" s="379"/>
      <c r="D13" s="379"/>
      <c r="E13" s="380" cm="1">
        <f t="array" ref="E13">SUM(E2:E12)</f>
        <v>1149000</v>
      </c>
      <c r="F13" s="381" cm="1">
        <f t="array" ref="F13">SUM(F2:F12)</f>
        <v>100000</v>
      </c>
      <c r="G13" s="18"/>
      <c r="H13" s="9"/>
      <c r="I13" s="9"/>
    </row>
  </sheetData>
  <pageMargins left="0.7" right="0.7" top="0.75" bottom="0.75" header="0" footer="0"/>
  <pageSetup firstPageNumber="1" fitToHeight="1" fitToWidth="1" scale="100" useFirstPageNumber="0" orientation="portrait" pageOrder="overThenDown"/>
  <headerFooter>
    <oddFooter>&amp;C&amp;"Helvetica Neue,Regular"&amp;11&amp;K000000&amp;P</oddFooter>
  </headerFooter>
</worksheet>
</file>

<file path=xl/worksheets/sheet9.xml><?xml version="1.0" encoding="utf-8"?>
<worksheet xmlns:r="http://schemas.openxmlformats.org/officeDocument/2006/relationships" xmlns="http://schemas.openxmlformats.org/spreadsheetml/2006/main">
  <dimension ref="A1:G229"/>
  <sheetViews>
    <sheetView workbookViewId="0" showGridLines="0" defaultGridColor="1"/>
  </sheetViews>
  <sheetFormatPr defaultColWidth="14.4" defaultRowHeight="15" customHeight="1" outlineLevelRow="0" outlineLevelCol="0"/>
  <cols>
    <col min="1" max="2" width="10.8125" style="453" customWidth="1"/>
    <col min="3" max="3" width="21.8125" style="453" customWidth="1"/>
    <col min="4" max="4" width="10.8125" style="453" customWidth="1"/>
    <col min="5" max="5" width="14" style="453" customWidth="1"/>
    <col min="6" max="6" width="14.2109" style="453" customWidth="1"/>
    <col min="7" max="7" width="8.8125" style="453" customWidth="1"/>
    <col min="8" max="16384" width="14.4219" style="453" customWidth="1"/>
  </cols>
  <sheetData>
    <row r="1" ht="12.75" customHeight="1">
      <c r="A1" t="s" s="259">
        <v>1136</v>
      </c>
      <c r="B1" t="s" s="454">
        <v>23</v>
      </c>
      <c r="C1" t="s" s="260">
        <v>24</v>
      </c>
      <c r="D1" t="s" s="260">
        <v>1137</v>
      </c>
      <c r="E1" t="s" s="260">
        <v>26</v>
      </c>
      <c r="F1" t="s" s="260">
        <v>27</v>
      </c>
      <c r="G1" t="s" s="371">
        <v>28</v>
      </c>
    </row>
    <row r="2" ht="12.75" customHeight="1">
      <c r="A2" s="287">
        <v>42936</v>
      </c>
      <c r="B2" s="294"/>
      <c r="C2" t="s" s="259">
        <v>153</v>
      </c>
      <c r="D2" t="s" s="293">
        <v>154</v>
      </c>
      <c r="E2" s="455">
        <v>1889.4</v>
      </c>
      <c r="F2" s="456">
        <v>111</v>
      </c>
      <c r="G2" s="373" cm="1">
        <f t="array" ref="G2">E2/F2</f>
        <v>17.0216216216216</v>
      </c>
    </row>
    <row r="3" ht="12.75" customHeight="1">
      <c r="A3" s="290">
        <v>42985</v>
      </c>
      <c r="B3" t="s" s="274">
        <v>1596</v>
      </c>
      <c r="C3" t="s" s="274">
        <v>153</v>
      </c>
      <c r="D3" t="s" s="375">
        <v>160</v>
      </c>
      <c r="E3" s="457" cm="1">
        <f t="array" ref="E3">16596.2-3319.24</f>
        <v>13276.96</v>
      </c>
      <c r="F3" s="458">
        <v>920</v>
      </c>
      <c r="G3" s="376" cm="1">
        <f t="array" ref="G3">E3/F3</f>
        <v>14.4314782608696</v>
      </c>
    </row>
    <row r="4" ht="12.75" customHeight="1">
      <c r="A4" s="287">
        <v>43028</v>
      </c>
      <c r="B4" t="s" s="259">
        <v>1597</v>
      </c>
      <c r="C4" t="s" s="259">
        <v>153</v>
      </c>
      <c r="D4" t="s" s="293">
        <v>160</v>
      </c>
      <c r="E4" s="455">
        <v>9158.43</v>
      </c>
      <c r="F4" s="456">
        <v>602</v>
      </c>
      <c r="G4" s="373">
        <v>18</v>
      </c>
    </row>
    <row r="5" ht="12.75" customHeight="1">
      <c r="A5" s="290">
        <v>43037</v>
      </c>
      <c r="B5" s="295"/>
      <c r="C5" t="s" s="274">
        <v>153</v>
      </c>
      <c r="D5" t="s" s="375">
        <v>160</v>
      </c>
      <c r="E5" s="457">
        <v>13130</v>
      </c>
      <c r="F5" s="458">
        <v>744</v>
      </c>
      <c r="G5" s="376" cm="1">
        <f t="array" ref="G5">E5/F5</f>
        <v>17.6478494623656</v>
      </c>
    </row>
    <row r="6" ht="12.75" customHeight="1">
      <c r="A6" s="287">
        <v>43055</v>
      </c>
      <c r="B6" s="294"/>
      <c r="C6" t="s" s="259">
        <v>153</v>
      </c>
      <c r="D6" t="s" s="293">
        <v>160</v>
      </c>
      <c r="E6" s="455">
        <v>11724.33</v>
      </c>
      <c r="F6" s="456">
        <v>660</v>
      </c>
      <c r="G6" s="373" cm="1">
        <f t="array" ref="G6">E6/F6</f>
        <v>17.7641363636364</v>
      </c>
    </row>
    <row r="7" ht="12.75" customHeight="1">
      <c r="A7" t="s" s="274">
        <v>1598</v>
      </c>
      <c r="B7" s="398">
        <v>55425</v>
      </c>
      <c r="C7" t="s" s="274">
        <v>153</v>
      </c>
      <c r="D7" t="s" s="375">
        <v>160</v>
      </c>
      <c r="E7" s="457">
        <v>22078</v>
      </c>
      <c r="F7" s="458">
        <v>1300</v>
      </c>
      <c r="G7" s="376" cm="1">
        <f t="array" ref="G7">E7/F7</f>
        <v>16.9830769230769</v>
      </c>
    </row>
    <row r="8" ht="12.75" customHeight="1">
      <c r="A8" s="287">
        <v>43082</v>
      </c>
      <c r="B8" s="294"/>
      <c r="C8" t="s" s="259">
        <v>153</v>
      </c>
      <c r="D8" t="s" s="293">
        <v>160</v>
      </c>
      <c r="E8" s="455">
        <v>8680</v>
      </c>
      <c r="F8" s="456">
        <v>500</v>
      </c>
      <c r="G8" s="373">
        <v>17.36</v>
      </c>
    </row>
    <row r="9" ht="12.75" customHeight="1">
      <c r="A9" s="290">
        <v>43082</v>
      </c>
      <c r="B9" s="295"/>
      <c r="C9" t="s" s="274">
        <v>153</v>
      </c>
      <c r="D9" t="s" s="375">
        <v>160</v>
      </c>
      <c r="E9" s="457">
        <v>1224</v>
      </c>
      <c r="F9" s="458">
        <v>90</v>
      </c>
      <c r="G9" s="376" cm="1">
        <f t="array" ref="G9">G8</f>
        <v>17.36</v>
      </c>
    </row>
    <row r="10" ht="12.75" customHeight="1">
      <c r="A10" s="290">
        <v>43092</v>
      </c>
      <c r="B10" s="295"/>
      <c r="C10" t="s" s="274">
        <v>153</v>
      </c>
      <c r="D10" t="s" s="375">
        <v>160</v>
      </c>
      <c r="E10" s="457">
        <v>3243.05</v>
      </c>
      <c r="F10" s="458" cm="1">
        <f t="array" ref="F10">E10/G10</f>
        <v>175.3</v>
      </c>
      <c r="G10" s="376">
        <v>18.5</v>
      </c>
    </row>
    <row r="11" ht="12.75" customHeight="1">
      <c r="A11" s="287">
        <v>43096</v>
      </c>
      <c r="B11" s="294"/>
      <c r="C11" t="s" s="259">
        <v>153</v>
      </c>
      <c r="D11" t="s" s="293">
        <v>180</v>
      </c>
      <c r="E11" s="455">
        <v>1880.83</v>
      </c>
      <c r="F11" s="456" cm="1">
        <f t="array" ref="F11">E11/G11</f>
        <v>98.9910526315789</v>
      </c>
      <c r="G11" s="373">
        <v>19</v>
      </c>
    </row>
    <row r="12" ht="12.75" customHeight="1">
      <c r="A12" s="290">
        <v>43125</v>
      </c>
      <c r="B12" s="295"/>
      <c r="C12" t="s" s="274">
        <v>153</v>
      </c>
      <c r="D12" t="s" s="375">
        <v>160</v>
      </c>
      <c r="E12" s="457">
        <v>5545.08</v>
      </c>
      <c r="F12" s="458" cm="1">
        <f t="array" ref="F12">E12/G12</f>
        <v>277.254</v>
      </c>
      <c r="G12" s="376">
        <v>20</v>
      </c>
    </row>
    <row r="13" ht="12.75" customHeight="1">
      <c r="A13" s="287">
        <v>43196</v>
      </c>
      <c r="B13" s="294"/>
      <c r="C13" t="s" s="259">
        <v>153</v>
      </c>
      <c r="D13" t="s" s="293">
        <v>201</v>
      </c>
      <c r="E13" s="455">
        <v>2434.02</v>
      </c>
      <c r="F13" s="456">
        <v>118</v>
      </c>
      <c r="G13" s="373" cm="1">
        <f t="array" ref="G13">E13/F13</f>
        <v>20.6272881355932</v>
      </c>
    </row>
    <row r="14" ht="12.75" customHeight="1">
      <c r="A14" s="290">
        <v>43249</v>
      </c>
      <c r="B14" s="295"/>
      <c r="C14" t="s" s="274">
        <v>153</v>
      </c>
      <c r="D14" t="s" s="375">
        <v>160</v>
      </c>
      <c r="E14" s="457">
        <v>7980</v>
      </c>
      <c r="F14" s="459" cm="1">
        <f t="array" ref="F14">E14/G14</f>
        <v>310.505836575875</v>
      </c>
      <c r="G14" s="376">
        <v>25.7</v>
      </c>
    </row>
    <row r="15" ht="12.75" customHeight="1">
      <c r="A15" s="287">
        <v>43326</v>
      </c>
      <c r="B15" s="294"/>
      <c r="C15" t="s" s="259">
        <v>153</v>
      </c>
      <c r="D15" t="s" s="406">
        <v>228</v>
      </c>
      <c r="E15" s="460">
        <v>3042.27</v>
      </c>
      <c r="F15" s="461">
        <v>101</v>
      </c>
      <c r="G15" s="373" cm="1">
        <f t="array" ref="G15">E15/F15</f>
        <v>30.1214851485149</v>
      </c>
    </row>
    <row r="16" ht="12.75" customHeight="1">
      <c r="A16" s="290">
        <v>43327</v>
      </c>
      <c r="B16" s="295"/>
      <c r="C16" t="s" s="274">
        <v>153</v>
      </c>
      <c r="D16" t="s" s="375">
        <v>228</v>
      </c>
      <c r="E16" s="457">
        <v>3522.2</v>
      </c>
      <c r="F16" s="459">
        <v>117</v>
      </c>
      <c r="G16" s="376" cm="1">
        <f t="array" ref="G16">E16/F16</f>
        <v>30.1042735042735</v>
      </c>
    </row>
    <row r="17" ht="12.75" customHeight="1">
      <c r="A17" s="287">
        <v>43333</v>
      </c>
      <c r="B17" s="327">
        <v>838</v>
      </c>
      <c r="C17" t="s" s="259">
        <v>153</v>
      </c>
      <c r="D17" t="s" s="406">
        <v>229</v>
      </c>
      <c r="E17" s="460" cm="1">
        <f t="array" ref="E17">14126.78-2825.35</f>
        <v>11301.43</v>
      </c>
      <c r="F17" s="461">
        <v>353</v>
      </c>
      <c r="G17" s="373" cm="1">
        <f t="array" ref="G17">E17/F17</f>
        <v>32.0153824362606</v>
      </c>
    </row>
    <row r="18" ht="12.75" customHeight="1">
      <c r="A18" s="290">
        <v>43354</v>
      </c>
      <c r="B18" s="398">
        <v>63447</v>
      </c>
      <c r="C18" t="s" s="274">
        <v>153</v>
      </c>
      <c r="D18" t="s" s="375">
        <v>237</v>
      </c>
      <c r="E18" s="457">
        <v>39020.73</v>
      </c>
      <c r="F18" s="459">
        <v>1012</v>
      </c>
      <c r="G18" s="376" cm="1">
        <f t="array" ref="G18">E18/F18</f>
        <v>38.5580335968379</v>
      </c>
    </row>
    <row r="19" ht="12.75" customHeight="1">
      <c r="A19" s="287">
        <v>43354</v>
      </c>
      <c r="B19" s="327">
        <v>63446</v>
      </c>
      <c r="C19" t="s" s="259">
        <v>153</v>
      </c>
      <c r="D19" t="s" s="406">
        <v>238</v>
      </c>
      <c r="E19" s="460">
        <v>203712.03</v>
      </c>
      <c r="F19" s="461">
        <v>5290</v>
      </c>
      <c r="G19" s="373" cm="1">
        <f t="array" ref="G19">E19/F19</f>
        <v>38.5088903591682</v>
      </c>
    </row>
    <row r="20" ht="12.75" customHeight="1">
      <c r="A20" s="290">
        <v>43392</v>
      </c>
      <c r="B20" s="398">
        <v>64207</v>
      </c>
      <c r="C20" t="s" s="274">
        <v>153</v>
      </c>
      <c r="D20" t="s" s="375">
        <v>248</v>
      </c>
      <c r="E20" s="457">
        <v>10592.78</v>
      </c>
      <c r="F20" s="459" cm="1">
        <f t="array" ref="F20">E20/G20</f>
        <v>286.059411288145</v>
      </c>
      <c r="G20" s="376">
        <v>37.03</v>
      </c>
    </row>
    <row r="21" ht="12.75" customHeight="1">
      <c r="A21" s="287">
        <v>43403</v>
      </c>
      <c r="B21" s="327">
        <v>64423</v>
      </c>
      <c r="C21" t="s" s="259">
        <v>153</v>
      </c>
      <c r="D21" t="s" s="406">
        <v>257</v>
      </c>
      <c r="E21" s="460">
        <v>2573.14</v>
      </c>
      <c r="F21" s="461">
        <v>70</v>
      </c>
      <c r="G21" s="373" cm="1">
        <f t="array" ref="G21">E21/F21</f>
        <v>36.7591428571429</v>
      </c>
    </row>
    <row r="22" ht="12.75" customHeight="1">
      <c r="A22" s="290">
        <v>43424</v>
      </c>
      <c r="B22" s="398">
        <v>64872</v>
      </c>
      <c r="C22" t="s" s="274">
        <v>153</v>
      </c>
      <c r="D22" t="s" s="375">
        <v>263</v>
      </c>
      <c r="E22" s="457" cm="1">
        <f t="array" ref="E22">28894.68-86.12</f>
        <v>28808.56</v>
      </c>
      <c r="F22" s="459">
        <v>781</v>
      </c>
      <c r="G22" s="376" cm="1">
        <f t="array" ref="G22">E22/F22</f>
        <v>36.8867605633803</v>
      </c>
    </row>
    <row r="23" ht="12.75" customHeight="1">
      <c r="A23" s="287">
        <v>43413</v>
      </c>
      <c r="B23" s="462">
        <v>64643</v>
      </c>
      <c r="C23" t="s" s="463">
        <v>153</v>
      </c>
      <c r="D23" t="s" s="283">
        <v>265</v>
      </c>
      <c r="E23" s="464">
        <v>430.61</v>
      </c>
      <c r="F23" s="465" cm="1">
        <f t="array" ref="F23">E23/G23</f>
        <v>11.8299450549451</v>
      </c>
      <c r="G23" s="284">
        <v>36.4</v>
      </c>
    </row>
    <row r="24" ht="12.75" customHeight="1">
      <c r="A24" s="37"/>
      <c r="B24" s="466"/>
      <c r="C24" s="37"/>
      <c r="D24" s="37"/>
      <c r="E24" s="37"/>
      <c r="F24" s="467"/>
      <c r="G24" s="37"/>
    </row>
    <row r="25" ht="12.75" customHeight="1">
      <c r="A25" s="9"/>
      <c r="B25" s="468"/>
      <c r="C25" s="9"/>
      <c r="D25" s="9"/>
      <c r="E25" s="9"/>
      <c r="F25" s="469"/>
      <c r="G25" s="9"/>
    </row>
    <row r="26" ht="12.75" customHeight="1">
      <c r="A26" s="9"/>
      <c r="B26" s="468"/>
      <c r="C26" s="9"/>
      <c r="D26" s="9"/>
      <c r="E26" s="9"/>
      <c r="F26" s="469"/>
      <c r="G26" s="9"/>
    </row>
    <row r="27" ht="12.75" customHeight="1">
      <c r="A27" s="9"/>
      <c r="B27" s="468"/>
      <c r="C27" s="9"/>
      <c r="D27" s="9"/>
      <c r="E27" s="9"/>
      <c r="F27" s="469"/>
      <c r="G27" s="9"/>
    </row>
    <row r="28" ht="12.75" customHeight="1">
      <c r="A28" s="9"/>
      <c r="B28" s="470"/>
      <c r="C28" s="10"/>
      <c r="D28" s="10"/>
      <c r="E28" s="10"/>
      <c r="F28" s="471"/>
      <c r="G28" s="9"/>
    </row>
    <row r="29" ht="12.75" customHeight="1">
      <c r="A29" s="24"/>
      <c r="B29" t="s" s="378">
        <v>13</v>
      </c>
      <c r="C29" s="472"/>
      <c r="D29" s="472"/>
      <c r="E29" s="380" cm="1">
        <f t="array" ref="E29">SUM(E2:E28)</f>
        <v>405247.85</v>
      </c>
      <c r="F29" s="473" cm="1">
        <f t="array" ref="F29">SUM(F2:F28)</f>
        <v>13928.9402455505</v>
      </c>
      <c r="G29" s="18"/>
    </row>
    <row r="30" ht="12.75" customHeight="1">
      <c r="A30" s="9"/>
      <c r="B30" s="474"/>
      <c r="C30" s="382"/>
      <c r="D30" s="382"/>
      <c r="E30" s="382"/>
      <c r="F30" s="475"/>
      <c r="G30" s="9"/>
    </row>
    <row r="31" ht="12.75" customHeight="1">
      <c r="A31" s="9"/>
      <c r="B31" s="468"/>
      <c r="C31" s="9"/>
      <c r="D31" s="9"/>
      <c r="E31" s="9"/>
      <c r="F31" s="469"/>
      <c r="G31" s="9"/>
    </row>
    <row r="32" ht="12.75" customHeight="1">
      <c r="A32" s="9"/>
      <c r="B32" s="468"/>
      <c r="C32" s="9"/>
      <c r="D32" s="9"/>
      <c r="E32" s="9"/>
      <c r="F32" s="469"/>
      <c r="G32" s="9"/>
    </row>
    <row r="33" ht="12.75" customHeight="1">
      <c r="A33" s="9"/>
      <c r="B33" s="468"/>
      <c r="C33" s="9"/>
      <c r="D33" s="9"/>
      <c r="E33" s="9"/>
      <c r="F33" s="469"/>
      <c r="G33" s="9"/>
    </row>
    <row r="34" ht="12.75" customHeight="1">
      <c r="A34" s="9"/>
      <c r="B34" s="468"/>
      <c r="C34" s="9"/>
      <c r="D34" s="9"/>
      <c r="E34" s="9"/>
      <c r="F34" s="469"/>
      <c r="G34" s="9"/>
    </row>
    <row r="35" ht="12.75" customHeight="1">
      <c r="A35" s="9"/>
      <c r="B35" s="468"/>
      <c r="C35" s="9"/>
      <c r="D35" s="9"/>
      <c r="E35" s="9"/>
      <c r="F35" s="469"/>
      <c r="G35" s="9"/>
    </row>
    <row r="36" ht="12.75" customHeight="1">
      <c r="A36" s="9"/>
      <c r="B36" s="468"/>
      <c r="C36" s="9"/>
      <c r="D36" s="9"/>
      <c r="E36" s="9"/>
      <c r="F36" s="469"/>
      <c r="G36" s="9"/>
    </row>
    <row r="37" ht="12.75" customHeight="1">
      <c r="A37" s="9"/>
      <c r="B37" s="468"/>
      <c r="C37" s="9"/>
      <c r="D37" s="9"/>
      <c r="E37" s="9"/>
      <c r="F37" s="469"/>
      <c r="G37" s="9"/>
    </row>
    <row r="38" ht="12.75" customHeight="1">
      <c r="A38" s="9"/>
      <c r="B38" s="468"/>
      <c r="C38" s="9"/>
      <c r="D38" s="9"/>
      <c r="E38" s="9"/>
      <c r="F38" s="469"/>
      <c r="G38" s="9"/>
    </row>
    <row r="39" ht="12.75" customHeight="1">
      <c r="A39" s="9"/>
      <c r="B39" s="468"/>
      <c r="C39" s="9"/>
      <c r="D39" s="9"/>
      <c r="E39" s="9"/>
      <c r="F39" s="469"/>
      <c r="G39" s="9"/>
    </row>
    <row r="40" ht="12.75" customHeight="1">
      <c r="A40" s="9"/>
      <c r="B40" s="468"/>
      <c r="C40" s="9"/>
      <c r="D40" s="9"/>
      <c r="E40" s="9"/>
      <c r="F40" s="469"/>
      <c r="G40" s="9"/>
    </row>
    <row r="41" ht="12.75" customHeight="1">
      <c r="A41" s="9"/>
      <c r="B41" s="468"/>
      <c r="C41" s="9"/>
      <c r="D41" s="9"/>
      <c r="E41" s="9"/>
      <c r="F41" s="469"/>
      <c r="G41" s="9"/>
    </row>
    <row r="42" ht="12.75" customHeight="1">
      <c r="A42" s="9"/>
      <c r="B42" s="468"/>
      <c r="C42" s="9"/>
      <c r="D42" s="9"/>
      <c r="E42" s="9"/>
      <c r="F42" s="469"/>
      <c r="G42" s="9"/>
    </row>
    <row r="43" ht="12.75" customHeight="1">
      <c r="A43" s="9"/>
      <c r="B43" s="468"/>
      <c r="C43" s="9"/>
      <c r="D43" s="9"/>
      <c r="E43" s="9"/>
      <c r="F43" s="469"/>
      <c r="G43" s="9"/>
    </row>
    <row r="44" ht="12.75" customHeight="1">
      <c r="A44" s="9"/>
      <c r="B44" s="468"/>
      <c r="C44" s="9"/>
      <c r="D44" s="9"/>
      <c r="E44" s="9"/>
      <c r="F44" s="469"/>
      <c r="G44" s="9"/>
    </row>
    <row r="45" ht="12.75" customHeight="1">
      <c r="A45" s="9"/>
      <c r="B45" s="468"/>
      <c r="C45" s="9"/>
      <c r="D45" s="9"/>
      <c r="E45" s="9"/>
      <c r="F45" s="469"/>
      <c r="G45" s="9"/>
    </row>
    <row r="46" ht="12.75" customHeight="1">
      <c r="A46" s="9"/>
      <c r="B46" s="468"/>
      <c r="C46" s="9"/>
      <c r="D46" s="9"/>
      <c r="E46" s="9"/>
      <c r="F46" s="469"/>
      <c r="G46" s="9"/>
    </row>
    <row r="47" ht="12.75" customHeight="1">
      <c r="A47" s="9"/>
      <c r="B47" s="468"/>
      <c r="C47" s="9"/>
      <c r="D47" s="9"/>
      <c r="E47" s="9"/>
      <c r="F47" s="469"/>
      <c r="G47" s="9"/>
    </row>
    <row r="48" ht="12.75" customHeight="1">
      <c r="A48" s="9"/>
      <c r="B48" s="468"/>
      <c r="C48" s="9"/>
      <c r="D48" s="9"/>
      <c r="E48" s="9"/>
      <c r="F48" s="469"/>
      <c r="G48" s="9"/>
    </row>
    <row r="49" ht="12.75" customHeight="1">
      <c r="A49" s="9"/>
      <c r="B49" s="468"/>
      <c r="C49" s="9"/>
      <c r="D49" s="9"/>
      <c r="E49" s="9"/>
      <c r="F49" s="469"/>
      <c r="G49" s="9"/>
    </row>
    <row r="50" ht="12.75" customHeight="1">
      <c r="A50" s="9"/>
      <c r="B50" s="468"/>
      <c r="C50" s="9"/>
      <c r="D50" s="9"/>
      <c r="E50" s="9"/>
      <c r="F50" s="469"/>
      <c r="G50" s="9"/>
    </row>
    <row r="51" ht="12.75" customHeight="1">
      <c r="A51" s="9"/>
      <c r="B51" s="468"/>
      <c r="C51" s="9"/>
      <c r="D51" s="9"/>
      <c r="E51" s="9"/>
      <c r="F51" s="469"/>
      <c r="G51" s="9"/>
    </row>
    <row r="52" ht="12.75" customHeight="1">
      <c r="A52" s="9"/>
      <c r="B52" s="468"/>
      <c r="C52" s="9"/>
      <c r="D52" s="9"/>
      <c r="E52" s="9"/>
      <c r="F52" s="469"/>
      <c r="G52" s="9"/>
    </row>
    <row r="53" ht="12.75" customHeight="1">
      <c r="A53" s="9"/>
      <c r="B53" s="468"/>
      <c r="C53" s="9"/>
      <c r="D53" s="9"/>
      <c r="E53" s="9"/>
      <c r="F53" s="469"/>
      <c r="G53" s="9"/>
    </row>
    <row r="54" ht="12.75" customHeight="1">
      <c r="A54" s="9"/>
      <c r="B54" s="468"/>
      <c r="C54" s="9"/>
      <c r="D54" s="9"/>
      <c r="E54" s="9"/>
      <c r="F54" s="469"/>
      <c r="G54" s="9"/>
    </row>
    <row r="55" ht="12.75" customHeight="1">
      <c r="A55" s="9"/>
      <c r="B55" s="468"/>
      <c r="C55" s="9"/>
      <c r="D55" s="9"/>
      <c r="E55" s="9"/>
      <c r="F55" s="469"/>
      <c r="G55" s="9"/>
    </row>
    <row r="56" ht="12.75" customHeight="1">
      <c r="A56" s="9"/>
      <c r="B56" s="468"/>
      <c r="C56" s="9"/>
      <c r="D56" s="9"/>
      <c r="E56" s="9"/>
      <c r="F56" s="469"/>
      <c r="G56" s="9"/>
    </row>
    <row r="57" ht="12.75" customHeight="1">
      <c r="A57" s="9"/>
      <c r="B57" s="468"/>
      <c r="C57" s="9"/>
      <c r="D57" s="9"/>
      <c r="E57" s="9"/>
      <c r="F57" s="469"/>
      <c r="G57" s="9"/>
    </row>
    <row r="58" ht="12.75" customHeight="1">
      <c r="A58" s="9"/>
      <c r="B58" s="468"/>
      <c r="C58" s="9"/>
      <c r="D58" s="9"/>
      <c r="E58" s="9"/>
      <c r="F58" s="469"/>
      <c r="G58" s="9"/>
    </row>
    <row r="59" ht="12.75" customHeight="1">
      <c r="A59" s="9"/>
      <c r="B59" s="468"/>
      <c r="C59" s="9"/>
      <c r="D59" s="9"/>
      <c r="E59" s="9"/>
      <c r="F59" s="469"/>
      <c r="G59" s="9"/>
    </row>
    <row r="60" ht="12.75" customHeight="1">
      <c r="A60" s="9"/>
      <c r="B60" s="468"/>
      <c r="C60" s="9"/>
      <c r="D60" s="9"/>
      <c r="E60" s="9"/>
      <c r="F60" s="469"/>
      <c r="G60" s="9"/>
    </row>
    <row r="61" ht="12.75" customHeight="1">
      <c r="A61" s="9"/>
      <c r="B61" s="468"/>
      <c r="C61" s="9"/>
      <c r="D61" s="9"/>
      <c r="E61" s="9"/>
      <c r="F61" s="469"/>
      <c r="G61" s="9"/>
    </row>
    <row r="62" ht="12.75" customHeight="1">
      <c r="A62" s="9"/>
      <c r="B62" s="468"/>
      <c r="C62" s="9"/>
      <c r="D62" s="9"/>
      <c r="E62" s="9"/>
      <c r="F62" s="469"/>
      <c r="G62" s="9"/>
    </row>
    <row r="63" ht="12.75" customHeight="1">
      <c r="A63" s="9"/>
      <c r="B63" s="468"/>
      <c r="C63" s="9"/>
      <c r="D63" s="9"/>
      <c r="E63" s="9"/>
      <c r="F63" s="469"/>
      <c r="G63" s="9"/>
    </row>
    <row r="64" ht="12.75" customHeight="1">
      <c r="A64" s="9"/>
      <c r="B64" s="468"/>
      <c r="C64" s="9"/>
      <c r="D64" s="9"/>
      <c r="E64" s="9"/>
      <c r="F64" s="469"/>
      <c r="G64" s="9"/>
    </row>
    <row r="65" ht="12.75" customHeight="1">
      <c r="A65" s="9"/>
      <c r="B65" s="468"/>
      <c r="C65" s="9"/>
      <c r="D65" s="9"/>
      <c r="E65" s="9"/>
      <c r="F65" s="469"/>
      <c r="G65" s="9"/>
    </row>
    <row r="66" ht="12.75" customHeight="1">
      <c r="A66" s="9"/>
      <c r="B66" s="468"/>
      <c r="C66" s="9"/>
      <c r="D66" s="9"/>
      <c r="E66" s="9"/>
      <c r="F66" s="469"/>
      <c r="G66" s="9"/>
    </row>
    <row r="67" ht="12.75" customHeight="1">
      <c r="A67" s="9"/>
      <c r="B67" s="468"/>
      <c r="C67" s="9"/>
      <c r="D67" s="9"/>
      <c r="E67" s="9"/>
      <c r="F67" s="469"/>
      <c r="G67" s="9"/>
    </row>
    <row r="68" ht="12.75" customHeight="1">
      <c r="A68" s="9"/>
      <c r="B68" s="468"/>
      <c r="C68" s="9"/>
      <c r="D68" s="9"/>
      <c r="E68" s="9"/>
      <c r="F68" s="469"/>
      <c r="G68" s="9"/>
    </row>
    <row r="69" ht="12.75" customHeight="1">
      <c r="A69" s="9"/>
      <c r="B69" s="468"/>
      <c r="C69" s="9"/>
      <c r="D69" s="9"/>
      <c r="E69" s="9"/>
      <c r="F69" s="469"/>
      <c r="G69" s="9"/>
    </row>
    <row r="70" ht="12.75" customHeight="1">
      <c r="A70" s="9"/>
      <c r="B70" s="468"/>
      <c r="C70" s="9"/>
      <c r="D70" s="9"/>
      <c r="E70" s="9"/>
      <c r="F70" s="469"/>
      <c r="G70" s="9"/>
    </row>
    <row r="71" ht="12.75" customHeight="1">
      <c r="A71" s="9"/>
      <c r="B71" s="468"/>
      <c r="C71" s="9"/>
      <c r="D71" s="9"/>
      <c r="E71" s="9"/>
      <c r="F71" s="469"/>
      <c r="G71" s="9"/>
    </row>
    <row r="72" ht="12.75" customHeight="1">
      <c r="A72" s="9"/>
      <c r="B72" s="468"/>
      <c r="C72" s="9"/>
      <c r="D72" s="9"/>
      <c r="E72" s="9"/>
      <c r="F72" s="469"/>
      <c r="G72" s="9"/>
    </row>
    <row r="73" ht="12.75" customHeight="1">
      <c r="A73" s="9"/>
      <c r="B73" s="468"/>
      <c r="C73" s="9"/>
      <c r="D73" s="9"/>
      <c r="E73" s="9"/>
      <c r="F73" s="469"/>
      <c r="G73" s="9"/>
    </row>
    <row r="74" ht="12.75" customHeight="1">
      <c r="A74" s="9"/>
      <c r="B74" s="468"/>
      <c r="C74" s="9"/>
      <c r="D74" s="9"/>
      <c r="E74" s="9"/>
      <c r="F74" s="469"/>
      <c r="G74" s="9"/>
    </row>
    <row r="75" ht="12.75" customHeight="1">
      <c r="A75" s="9"/>
      <c r="B75" s="468"/>
      <c r="C75" s="9"/>
      <c r="D75" s="9"/>
      <c r="E75" s="9"/>
      <c r="F75" s="469"/>
      <c r="G75" s="9"/>
    </row>
    <row r="76" ht="12.75" customHeight="1">
      <c r="A76" s="9"/>
      <c r="B76" s="468"/>
      <c r="C76" s="9"/>
      <c r="D76" s="9"/>
      <c r="E76" s="9"/>
      <c r="F76" s="469"/>
      <c r="G76" s="9"/>
    </row>
    <row r="77" ht="12.75" customHeight="1">
      <c r="A77" s="9"/>
      <c r="B77" s="468"/>
      <c r="C77" s="9"/>
      <c r="D77" s="9"/>
      <c r="E77" s="9"/>
      <c r="F77" s="469"/>
      <c r="G77" s="9"/>
    </row>
    <row r="78" ht="12.75" customHeight="1">
      <c r="A78" s="9"/>
      <c r="B78" s="468"/>
      <c r="C78" s="9"/>
      <c r="D78" s="9"/>
      <c r="E78" s="9"/>
      <c r="F78" s="469"/>
      <c r="G78" s="9"/>
    </row>
    <row r="79" ht="12.75" customHeight="1">
      <c r="A79" s="9"/>
      <c r="B79" s="468"/>
      <c r="C79" s="9"/>
      <c r="D79" s="9"/>
      <c r="E79" s="9"/>
      <c r="F79" s="469"/>
      <c r="G79" s="9"/>
    </row>
    <row r="80" ht="12.75" customHeight="1">
      <c r="A80" s="9"/>
      <c r="B80" s="468"/>
      <c r="C80" s="9"/>
      <c r="D80" s="9"/>
      <c r="E80" s="9"/>
      <c r="F80" s="469"/>
      <c r="G80" s="9"/>
    </row>
    <row r="81" ht="12.75" customHeight="1">
      <c r="A81" s="9"/>
      <c r="B81" s="468"/>
      <c r="C81" s="9"/>
      <c r="D81" s="9"/>
      <c r="E81" s="9"/>
      <c r="F81" s="469"/>
      <c r="G81" s="9"/>
    </row>
    <row r="82" ht="12.75" customHeight="1">
      <c r="A82" s="9"/>
      <c r="B82" s="468"/>
      <c r="C82" s="9"/>
      <c r="D82" s="9"/>
      <c r="E82" s="9"/>
      <c r="F82" s="469"/>
      <c r="G82" s="9"/>
    </row>
    <row r="83" ht="12.75" customHeight="1">
      <c r="A83" s="9"/>
      <c r="B83" s="468"/>
      <c r="C83" s="9"/>
      <c r="D83" s="9"/>
      <c r="E83" s="9"/>
      <c r="F83" s="469"/>
      <c r="G83" s="9"/>
    </row>
    <row r="84" ht="12.75" customHeight="1">
      <c r="A84" s="9"/>
      <c r="B84" s="468"/>
      <c r="C84" s="9"/>
      <c r="D84" s="9"/>
      <c r="E84" s="9"/>
      <c r="F84" s="469"/>
      <c r="G84" s="9"/>
    </row>
    <row r="85" ht="12.75" customHeight="1">
      <c r="A85" s="9"/>
      <c r="B85" s="468"/>
      <c r="C85" s="9"/>
      <c r="D85" s="9"/>
      <c r="E85" s="9"/>
      <c r="F85" s="469"/>
      <c r="G85" s="9"/>
    </row>
    <row r="86" ht="12.75" customHeight="1">
      <c r="A86" s="9"/>
      <c r="B86" s="468"/>
      <c r="C86" s="9"/>
      <c r="D86" s="9"/>
      <c r="E86" s="9"/>
      <c r="F86" s="469"/>
      <c r="G86" s="9"/>
    </row>
    <row r="87" ht="12.75" customHeight="1">
      <c r="A87" s="9"/>
      <c r="B87" s="468"/>
      <c r="C87" s="9"/>
      <c r="D87" s="9"/>
      <c r="E87" s="9"/>
      <c r="F87" s="469"/>
      <c r="G87" s="9"/>
    </row>
    <row r="88" ht="12.75" customHeight="1">
      <c r="A88" s="9"/>
      <c r="B88" s="468"/>
      <c r="C88" s="9"/>
      <c r="D88" s="9"/>
      <c r="E88" s="9"/>
      <c r="F88" s="469"/>
      <c r="G88" s="9"/>
    </row>
    <row r="89" ht="12.75" customHeight="1">
      <c r="A89" s="9"/>
      <c r="B89" s="468"/>
      <c r="C89" s="9"/>
      <c r="D89" s="9"/>
      <c r="E89" s="9"/>
      <c r="F89" s="469"/>
      <c r="G89" s="9"/>
    </row>
    <row r="90" ht="12.75" customHeight="1">
      <c r="A90" s="9"/>
      <c r="B90" s="468"/>
      <c r="C90" s="9"/>
      <c r="D90" s="9"/>
      <c r="E90" s="9"/>
      <c r="F90" s="469"/>
      <c r="G90" s="9"/>
    </row>
    <row r="91" ht="12.75" customHeight="1">
      <c r="A91" s="9"/>
      <c r="B91" s="468"/>
      <c r="C91" s="9"/>
      <c r="D91" s="9"/>
      <c r="E91" s="9"/>
      <c r="F91" s="469"/>
      <c r="G91" s="9"/>
    </row>
    <row r="92" ht="12.75" customHeight="1">
      <c r="A92" s="9"/>
      <c r="B92" s="468"/>
      <c r="C92" s="9"/>
      <c r="D92" s="9"/>
      <c r="E92" s="9"/>
      <c r="F92" s="469"/>
      <c r="G92" s="9"/>
    </row>
    <row r="93" ht="12.75" customHeight="1">
      <c r="A93" s="9"/>
      <c r="B93" s="468"/>
      <c r="C93" s="9"/>
      <c r="D93" s="9"/>
      <c r="E93" s="9"/>
      <c r="F93" s="469"/>
      <c r="G93" s="9"/>
    </row>
    <row r="94" ht="12.75" customHeight="1">
      <c r="A94" s="9"/>
      <c r="B94" s="468"/>
      <c r="C94" s="9"/>
      <c r="D94" s="9"/>
      <c r="E94" s="9"/>
      <c r="F94" s="469"/>
      <c r="G94" s="9"/>
    </row>
    <row r="95" ht="12.75" customHeight="1">
      <c r="A95" s="9"/>
      <c r="B95" s="468"/>
      <c r="C95" s="9"/>
      <c r="D95" s="9"/>
      <c r="E95" s="9"/>
      <c r="F95" s="469"/>
      <c r="G95" s="9"/>
    </row>
    <row r="96" ht="12.75" customHeight="1">
      <c r="A96" s="9"/>
      <c r="B96" s="468"/>
      <c r="C96" s="9"/>
      <c r="D96" s="9"/>
      <c r="E96" s="9"/>
      <c r="F96" s="469"/>
      <c r="G96" s="9"/>
    </row>
    <row r="97" ht="12.75" customHeight="1">
      <c r="A97" s="9"/>
      <c r="B97" s="468"/>
      <c r="C97" s="9"/>
      <c r="D97" s="9"/>
      <c r="E97" s="9"/>
      <c r="F97" s="469"/>
      <c r="G97" s="9"/>
    </row>
    <row r="98" ht="12.75" customHeight="1">
      <c r="A98" s="9"/>
      <c r="B98" s="468"/>
      <c r="C98" s="9"/>
      <c r="D98" s="9"/>
      <c r="E98" s="9"/>
      <c r="F98" s="469"/>
      <c r="G98" s="9"/>
    </row>
    <row r="99" ht="12.75" customHeight="1">
      <c r="A99" s="9"/>
      <c r="B99" s="468"/>
      <c r="C99" s="9"/>
      <c r="D99" s="9"/>
      <c r="E99" s="9"/>
      <c r="F99" s="469"/>
      <c r="G99" s="9"/>
    </row>
    <row r="100" ht="12.75" customHeight="1">
      <c r="A100" s="9"/>
      <c r="B100" s="468"/>
      <c r="C100" s="9"/>
      <c r="D100" s="9"/>
      <c r="E100" s="9"/>
      <c r="F100" s="469"/>
      <c r="G100" s="9"/>
    </row>
    <row r="101" ht="12.75" customHeight="1">
      <c r="A101" s="9"/>
      <c r="B101" s="468"/>
      <c r="C101" s="9"/>
      <c r="D101" s="9"/>
      <c r="E101" s="9"/>
      <c r="F101" s="469"/>
      <c r="G101" s="9"/>
    </row>
    <row r="102" ht="12.75" customHeight="1">
      <c r="A102" s="9"/>
      <c r="B102" s="468"/>
      <c r="C102" s="9"/>
      <c r="D102" s="9"/>
      <c r="E102" s="9"/>
      <c r="F102" s="469"/>
      <c r="G102" s="9"/>
    </row>
    <row r="103" ht="12.75" customHeight="1">
      <c r="A103" s="9"/>
      <c r="B103" s="468"/>
      <c r="C103" s="9"/>
      <c r="D103" s="9"/>
      <c r="E103" s="9"/>
      <c r="F103" s="469"/>
      <c r="G103" s="9"/>
    </row>
    <row r="104" ht="12.75" customHeight="1">
      <c r="A104" s="9"/>
      <c r="B104" s="468"/>
      <c r="C104" s="9"/>
      <c r="D104" s="9"/>
      <c r="E104" s="9"/>
      <c r="F104" s="469"/>
      <c r="G104" s="9"/>
    </row>
    <row r="105" ht="12.75" customHeight="1">
      <c r="A105" s="9"/>
      <c r="B105" s="468"/>
      <c r="C105" s="9"/>
      <c r="D105" s="9"/>
      <c r="E105" s="9"/>
      <c r="F105" s="469"/>
      <c r="G105" s="9"/>
    </row>
    <row r="106" ht="12.75" customHeight="1">
      <c r="A106" s="9"/>
      <c r="B106" s="468"/>
      <c r="C106" s="9"/>
      <c r="D106" s="9"/>
      <c r="E106" s="9"/>
      <c r="F106" s="469"/>
      <c r="G106" s="9"/>
    </row>
    <row r="107" ht="12.75" customHeight="1">
      <c r="A107" s="9"/>
      <c r="B107" s="468"/>
      <c r="C107" s="9"/>
      <c r="D107" s="9"/>
      <c r="E107" s="9"/>
      <c r="F107" s="469"/>
      <c r="G107" s="9"/>
    </row>
    <row r="108" ht="12.75" customHeight="1">
      <c r="A108" s="9"/>
      <c r="B108" s="468"/>
      <c r="C108" s="9"/>
      <c r="D108" s="9"/>
      <c r="E108" s="9"/>
      <c r="F108" s="469"/>
      <c r="G108" s="9"/>
    </row>
    <row r="109" ht="12.75" customHeight="1">
      <c r="A109" s="9"/>
      <c r="B109" s="468"/>
      <c r="C109" s="9"/>
      <c r="D109" s="9"/>
      <c r="E109" s="9"/>
      <c r="F109" s="469"/>
      <c r="G109" s="9"/>
    </row>
    <row r="110" ht="12.75" customHeight="1">
      <c r="A110" s="9"/>
      <c r="B110" s="468"/>
      <c r="C110" s="9"/>
      <c r="D110" s="9"/>
      <c r="E110" s="9"/>
      <c r="F110" s="469"/>
      <c r="G110" s="9"/>
    </row>
    <row r="111" ht="12.75" customHeight="1">
      <c r="A111" s="9"/>
      <c r="B111" s="468"/>
      <c r="C111" s="9"/>
      <c r="D111" s="9"/>
      <c r="E111" s="9"/>
      <c r="F111" s="469"/>
      <c r="G111" s="9"/>
    </row>
    <row r="112" ht="12.75" customHeight="1">
      <c r="A112" s="9"/>
      <c r="B112" s="468"/>
      <c r="C112" s="9"/>
      <c r="D112" s="9"/>
      <c r="E112" s="9"/>
      <c r="F112" s="469"/>
      <c r="G112" s="9"/>
    </row>
    <row r="113" ht="12.75" customHeight="1">
      <c r="A113" s="9"/>
      <c r="B113" s="468"/>
      <c r="C113" s="9"/>
      <c r="D113" s="9"/>
      <c r="E113" s="9"/>
      <c r="F113" s="469"/>
      <c r="G113" s="9"/>
    </row>
    <row r="114" ht="12.75" customHeight="1">
      <c r="A114" s="9"/>
      <c r="B114" s="468"/>
      <c r="C114" s="9"/>
      <c r="D114" s="9"/>
      <c r="E114" s="9"/>
      <c r="F114" s="469"/>
      <c r="G114" s="9"/>
    </row>
    <row r="115" ht="12.75" customHeight="1">
      <c r="A115" s="9"/>
      <c r="B115" s="468"/>
      <c r="C115" s="9"/>
      <c r="D115" s="9"/>
      <c r="E115" s="9"/>
      <c r="F115" s="469"/>
      <c r="G115" s="9"/>
    </row>
    <row r="116" ht="12.75" customHeight="1">
      <c r="A116" s="9"/>
      <c r="B116" s="468"/>
      <c r="C116" s="9"/>
      <c r="D116" s="9"/>
      <c r="E116" s="9"/>
      <c r="F116" s="469"/>
      <c r="G116" s="9"/>
    </row>
    <row r="117" ht="12.75" customHeight="1">
      <c r="A117" s="9"/>
      <c r="B117" s="468"/>
      <c r="C117" s="9"/>
      <c r="D117" s="9"/>
      <c r="E117" s="9"/>
      <c r="F117" s="469"/>
      <c r="G117" s="9"/>
    </row>
    <row r="118" ht="12.75" customHeight="1">
      <c r="A118" s="9"/>
      <c r="B118" s="468"/>
      <c r="C118" s="9"/>
      <c r="D118" s="9"/>
      <c r="E118" s="9"/>
      <c r="F118" s="469"/>
      <c r="G118" s="9"/>
    </row>
    <row r="119" ht="12.75" customHeight="1">
      <c r="A119" s="9"/>
      <c r="B119" s="468"/>
      <c r="C119" s="9"/>
      <c r="D119" s="9"/>
      <c r="E119" s="9"/>
      <c r="F119" s="469"/>
      <c r="G119" s="9"/>
    </row>
    <row r="120" ht="12.75" customHeight="1">
      <c r="A120" s="9"/>
      <c r="B120" s="468"/>
      <c r="C120" s="9"/>
      <c r="D120" s="9"/>
      <c r="E120" s="9"/>
      <c r="F120" s="469"/>
      <c r="G120" s="9"/>
    </row>
    <row r="121" ht="12.75" customHeight="1">
      <c r="A121" s="9"/>
      <c r="B121" s="468"/>
      <c r="C121" s="9"/>
      <c r="D121" s="9"/>
      <c r="E121" s="9"/>
      <c r="F121" s="469"/>
      <c r="G121" s="9"/>
    </row>
    <row r="122" ht="12.75" customHeight="1">
      <c r="A122" s="9"/>
      <c r="B122" s="468"/>
      <c r="C122" s="9"/>
      <c r="D122" s="9"/>
      <c r="E122" s="9"/>
      <c r="F122" s="469"/>
      <c r="G122" s="9"/>
    </row>
    <row r="123" ht="12.75" customHeight="1">
      <c r="A123" s="9"/>
      <c r="B123" s="468"/>
      <c r="C123" s="9"/>
      <c r="D123" s="9"/>
      <c r="E123" s="9"/>
      <c r="F123" s="469"/>
      <c r="G123" s="9"/>
    </row>
    <row r="124" ht="12.75" customHeight="1">
      <c r="A124" s="9"/>
      <c r="B124" s="468"/>
      <c r="C124" s="9"/>
      <c r="D124" s="9"/>
      <c r="E124" s="9"/>
      <c r="F124" s="469"/>
      <c r="G124" s="9"/>
    </row>
    <row r="125" ht="12.75" customHeight="1">
      <c r="A125" s="9"/>
      <c r="B125" s="468"/>
      <c r="C125" s="9"/>
      <c r="D125" s="9"/>
      <c r="E125" s="9"/>
      <c r="F125" s="469"/>
      <c r="G125" s="9"/>
    </row>
    <row r="126" ht="12.75" customHeight="1">
      <c r="A126" s="9"/>
      <c r="B126" s="468"/>
      <c r="C126" s="9"/>
      <c r="D126" s="9"/>
      <c r="E126" s="9"/>
      <c r="F126" s="469"/>
      <c r="G126" s="9"/>
    </row>
    <row r="127" ht="12.75" customHeight="1">
      <c r="A127" s="9"/>
      <c r="B127" s="468"/>
      <c r="C127" s="9"/>
      <c r="D127" s="9"/>
      <c r="E127" s="9"/>
      <c r="F127" s="469"/>
      <c r="G127" s="9"/>
    </row>
    <row r="128" ht="12.75" customHeight="1">
      <c r="A128" s="9"/>
      <c r="B128" s="468"/>
      <c r="C128" s="9"/>
      <c r="D128" s="9"/>
      <c r="E128" s="9"/>
      <c r="F128" s="469"/>
      <c r="G128" s="9"/>
    </row>
    <row r="129" ht="12.75" customHeight="1">
      <c r="A129" s="9"/>
      <c r="B129" s="468"/>
      <c r="C129" s="9"/>
      <c r="D129" s="9"/>
      <c r="E129" s="9"/>
      <c r="F129" s="469"/>
      <c r="G129" s="9"/>
    </row>
    <row r="130" ht="12.75" customHeight="1">
      <c r="A130" s="9"/>
      <c r="B130" s="468"/>
      <c r="C130" s="9"/>
      <c r="D130" s="9"/>
      <c r="E130" s="9"/>
      <c r="F130" s="469"/>
      <c r="G130" s="9"/>
    </row>
    <row r="131" ht="12.75" customHeight="1">
      <c r="A131" s="9"/>
      <c r="B131" s="468"/>
      <c r="C131" s="9"/>
      <c r="D131" s="9"/>
      <c r="E131" s="9"/>
      <c r="F131" s="469"/>
      <c r="G131" s="9"/>
    </row>
    <row r="132" ht="12.75" customHeight="1">
      <c r="A132" s="9"/>
      <c r="B132" s="468"/>
      <c r="C132" s="9"/>
      <c r="D132" s="9"/>
      <c r="E132" s="9"/>
      <c r="F132" s="469"/>
      <c r="G132" s="9"/>
    </row>
    <row r="133" ht="12.75" customHeight="1">
      <c r="A133" s="9"/>
      <c r="B133" s="468"/>
      <c r="C133" s="9"/>
      <c r="D133" s="9"/>
      <c r="E133" s="9"/>
      <c r="F133" s="469"/>
      <c r="G133" s="9"/>
    </row>
    <row r="134" ht="12.75" customHeight="1">
      <c r="A134" s="9"/>
      <c r="B134" s="468"/>
      <c r="C134" s="9"/>
      <c r="D134" s="9"/>
      <c r="E134" s="9"/>
      <c r="F134" s="469"/>
      <c r="G134" s="9"/>
    </row>
    <row r="135" ht="12.75" customHeight="1">
      <c r="A135" s="9"/>
      <c r="B135" s="468"/>
      <c r="C135" s="9"/>
      <c r="D135" s="9"/>
      <c r="E135" s="9"/>
      <c r="F135" s="469"/>
      <c r="G135" s="9"/>
    </row>
    <row r="136" ht="12.75" customHeight="1">
      <c r="A136" s="9"/>
      <c r="B136" s="468"/>
      <c r="C136" s="9"/>
      <c r="D136" s="9"/>
      <c r="E136" s="9"/>
      <c r="F136" s="469"/>
      <c r="G136" s="9"/>
    </row>
    <row r="137" ht="12.75" customHeight="1">
      <c r="A137" s="9"/>
      <c r="B137" s="468"/>
      <c r="C137" s="9"/>
      <c r="D137" s="9"/>
      <c r="E137" s="9"/>
      <c r="F137" s="469"/>
      <c r="G137" s="9"/>
    </row>
    <row r="138" ht="12.75" customHeight="1">
      <c r="A138" s="9"/>
      <c r="B138" s="468"/>
      <c r="C138" s="9"/>
      <c r="D138" s="9"/>
      <c r="E138" s="9"/>
      <c r="F138" s="469"/>
      <c r="G138" s="9"/>
    </row>
    <row r="139" ht="12.75" customHeight="1">
      <c r="A139" s="9"/>
      <c r="B139" s="468"/>
      <c r="C139" s="9"/>
      <c r="D139" s="9"/>
      <c r="E139" s="9"/>
      <c r="F139" s="469"/>
      <c r="G139" s="9"/>
    </row>
    <row r="140" ht="12.75" customHeight="1">
      <c r="A140" s="9"/>
      <c r="B140" s="468"/>
      <c r="C140" s="9"/>
      <c r="D140" s="9"/>
      <c r="E140" s="9"/>
      <c r="F140" s="469"/>
      <c r="G140" s="9"/>
    </row>
    <row r="141" ht="12.75" customHeight="1">
      <c r="A141" s="9"/>
      <c r="B141" s="468"/>
      <c r="C141" s="9"/>
      <c r="D141" s="9"/>
      <c r="E141" s="9"/>
      <c r="F141" s="469"/>
      <c r="G141" s="9"/>
    </row>
    <row r="142" ht="12.75" customHeight="1">
      <c r="A142" s="9"/>
      <c r="B142" s="468"/>
      <c r="C142" s="9"/>
      <c r="D142" s="9"/>
      <c r="E142" s="9"/>
      <c r="F142" s="469"/>
      <c r="G142" s="9"/>
    </row>
    <row r="143" ht="12.75" customHeight="1">
      <c r="A143" s="9"/>
      <c r="B143" s="468"/>
      <c r="C143" s="9"/>
      <c r="D143" s="9"/>
      <c r="E143" s="9"/>
      <c r="F143" s="469"/>
      <c r="G143" s="9"/>
    </row>
    <row r="144" ht="12.75" customHeight="1">
      <c r="A144" s="9"/>
      <c r="B144" s="468"/>
      <c r="C144" s="9"/>
      <c r="D144" s="9"/>
      <c r="E144" s="9"/>
      <c r="F144" s="469"/>
      <c r="G144" s="9"/>
    </row>
    <row r="145" ht="12.75" customHeight="1">
      <c r="A145" s="9"/>
      <c r="B145" s="468"/>
      <c r="C145" s="9"/>
      <c r="D145" s="9"/>
      <c r="E145" s="9"/>
      <c r="F145" s="469"/>
      <c r="G145" s="9"/>
    </row>
    <row r="146" ht="12.75" customHeight="1">
      <c r="A146" s="9"/>
      <c r="B146" s="468"/>
      <c r="C146" s="9"/>
      <c r="D146" s="9"/>
      <c r="E146" s="9"/>
      <c r="F146" s="469"/>
      <c r="G146" s="9"/>
    </row>
    <row r="147" ht="12.75" customHeight="1">
      <c r="A147" s="9"/>
      <c r="B147" s="468"/>
      <c r="C147" s="9"/>
      <c r="D147" s="9"/>
      <c r="E147" s="9"/>
      <c r="F147" s="469"/>
      <c r="G147" s="9"/>
    </row>
    <row r="148" ht="12.75" customHeight="1">
      <c r="A148" s="9"/>
      <c r="B148" s="468"/>
      <c r="C148" s="9"/>
      <c r="D148" s="9"/>
      <c r="E148" s="9"/>
      <c r="F148" s="469"/>
      <c r="G148" s="9"/>
    </row>
    <row r="149" ht="12.75" customHeight="1">
      <c r="A149" s="9"/>
      <c r="B149" s="468"/>
      <c r="C149" s="9"/>
      <c r="D149" s="9"/>
      <c r="E149" s="9"/>
      <c r="F149" s="469"/>
      <c r="G149" s="9"/>
    </row>
    <row r="150" ht="12.75" customHeight="1">
      <c r="A150" s="9"/>
      <c r="B150" s="468"/>
      <c r="C150" s="9"/>
      <c r="D150" s="9"/>
      <c r="E150" s="9"/>
      <c r="F150" s="469"/>
      <c r="G150" s="9"/>
    </row>
    <row r="151" ht="12.75" customHeight="1">
      <c r="A151" s="9"/>
      <c r="B151" s="468"/>
      <c r="C151" s="9"/>
      <c r="D151" s="9"/>
      <c r="E151" s="9"/>
      <c r="F151" s="469"/>
      <c r="G151" s="9"/>
    </row>
    <row r="152" ht="12.75" customHeight="1">
      <c r="A152" s="9"/>
      <c r="B152" s="468"/>
      <c r="C152" s="9"/>
      <c r="D152" s="9"/>
      <c r="E152" s="9"/>
      <c r="F152" s="469"/>
      <c r="G152" s="9"/>
    </row>
    <row r="153" ht="12.75" customHeight="1">
      <c r="A153" s="9"/>
      <c r="B153" s="468"/>
      <c r="C153" s="9"/>
      <c r="D153" s="9"/>
      <c r="E153" s="9"/>
      <c r="F153" s="469"/>
      <c r="G153" s="9"/>
    </row>
    <row r="154" ht="12.75" customHeight="1">
      <c r="A154" s="9"/>
      <c r="B154" s="468"/>
      <c r="C154" s="9"/>
      <c r="D154" s="9"/>
      <c r="E154" s="9"/>
      <c r="F154" s="469"/>
      <c r="G154" s="9"/>
    </row>
    <row r="155" ht="12.75" customHeight="1">
      <c r="A155" s="9"/>
      <c r="B155" s="468"/>
      <c r="C155" s="9"/>
      <c r="D155" s="9"/>
      <c r="E155" s="9"/>
      <c r="F155" s="469"/>
      <c r="G155" s="9"/>
    </row>
    <row r="156" ht="12.75" customHeight="1">
      <c r="A156" s="9"/>
      <c r="B156" s="468"/>
      <c r="C156" s="9"/>
      <c r="D156" s="9"/>
      <c r="E156" s="9"/>
      <c r="F156" s="469"/>
      <c r="G156" s="9"/>
    </row>
    <row r="157" ht="12.75" customHeight="1">
      <c r="A157" s="9"/>
      <c r="B157" s="468"/>
      <c r="C157" s="9"/>
      <c r="D157" s="9"/>
      <c r="E157" s="9"/>
      <c r="F157" s="469"/>
      <c r="G157" s="9"/>
    </row>
    <row r="158" ht="12.75" customHeight="1">
      <c r="A158" s="9"/>
      <c r="B158" s="468"/>
      <c r="C158" s="9"/>
      <c r="D158" s="9"/>
      <c r="E158" s="9"/>
      <c r="F158" s="469"/>
      <c r="G158" s="9"/>
    </row>
    <row r="159" ht="12.75" customHeight="1">
      <c r="A159" s="9"/>
      <c r="B159" s="468"/>
      <c r="C159" s="9"/>
      <c r="D159" s="9"/>
      <c r="E159" s="9"/>
      <c r="F159" s="469"/>
      <c r="G159" s="9"/>
    </row>
    <row r="160" ht="12.75" customHeight="1">
      <c r="A160" s="9"/>
      <c r="B160" s="468"/>
      <c r="C160" s="9"/>
      <c r="D160" s="9"/>
      <c r="E160" s="9"/>
      <c r="F160" s="469"/>
      <c r="G160" s="9"/>
    </row>
    <row r="161" ht="12.75" customHeight="1">
      <c r="A161" s="9"/>
      <c r="B161" s="468"/>
      <c r="C161" s="9"/>
      <c r="D161" s="9"/>
      <c r="E161" s="9"/>
      <c r="F161" s="469"/>
      <c r="G161" s="9"/>
    </row>
    <row r="162" ht="12.75" customHeight="1">
      <c r="A162" s="9"/>
      <c r="B162" s="468"/>
      <c r="C162" s="9"/>
      <c r="D162" s="9"/>
      <c r="E162" s="9"/>
      <c r="F162" s="469"/>
      <c r="G162" s="9"/>
    </row>
    <row r="163" ht="12.75" customHeight="1">
      <c r="A163" s="9"/>
      <c r="B163" s="468"/>
      <c r="C163" s="9"/>
      <c r="D163" s="9"/>
      <c r="E163" s="9"/>
      <c r="F163" s="469"/>
      <c r="G163" s="9"/>
    </row>
    <row r="164" ht="12.75" customHeight="1">
      <c r="A164" s="9"/>
      <c r="B164" s="468"/>
      <c r="C164" s="9"/>
      <c r="D164" s="9"/>
      <c r="E164" s="9"/>
      <c r="F164" s="469"/>
      <c r="G164" s="9"/>
    </row>
    <row r="165" ht="12.75" customHeight="1">
      <c r="A165" s="9"/>
      <c r="B165" s="468"/>
      <c r="C165" s="9"/>
      <c r="D165" s="9"/>
      <c r="E165" s="9"/>
      <c r="F165" s="469"/>
      <c r="G165" s="9"/>
    </row>
    <row r="166" ht="12.75" customHeight="1">
      <c r="A166" s="9"/>
      <c r="B166" s="468"/>
      <c r="C166" s="9"/>
      <c r="D166" s="9"/>
      <c r="E166" s="9"/>
      <c r="F166" s="469"/>
      <c r="G166" s="9"/>
    </row>
    <row r="167" ht="12.75" customHeight="1">
      <c r="A167" s="9"/>
      <c r="B167" s="468"/>
      <c r="C167" s="9"/>
      <c r="D167" s="9"/>
      <c r="E167" s="9"/>
      <c r="F167" s="469"/>
      <c r="G167" s="9"/>
    </row>
    <row r="168" ht="12.75" customHeight="1">
      <c r="A168" s="9"/>
      <c r="B168" s="468"/>
      <c r="C168" s="9"/>
      <c r="D168" s="9"/>
      <c r="E168" s="9"/>
      <c r="F168" s="469"/>
      <c r="G168" s="9"/>
    </row>
    <row r="169" ht="12.75" customHeight="1">
      <c r="A169" s="9"/>
      <c r="B169" s="468"/>
      <c r="C169" s="9"/>
      <c r="D169" s="9"/>
      <c r="E169" s="9"/>
      <c r="F169" s="469"/>
      <c r="G169" s="9"/>
    </row>
    <row r="170" ht="12.75" customHeight="1">
      <c r="A170" s="9"/>
      <c r="B170" s="468"/>
      <c r="C170" s="9"/>
      <c r="D170" s="9"/>
      <c r="E170" s="9"/>
      <c r="F170" s="469"/>
      <c r="G170" s="9"/>
    </row>
    <row r="171" ht="12.75" customHeight="1">
      <c r="A171" s="9"/>
      <c r="B171" s="468"/>
      <c r="C171" s="9"/>
      <c r="D171" s="9"/>
      <c r="E171" s="9"/>
      <c r="F171" s="469"/>
      <c r="G171" s="9"/>
    </row>
    <row r="172" ht="12.75" customHeight="1">
      <c r="A172" s="9"/>
      <c r="B172" s="468"/>
      <c r="C172" s="9"/>
      <c r="D172" s="9"/>
      <c r="E172" s="9"/>
      <c r="F172" s="469"/>
      <c r="G172" s="9"/>
    </row>
    <row r="173" ht="12.75" customHeight="1">
      <c r="A173" s="9"/>
      <c r="B173" s="468"/>
      <c r="C173" s="9"/>
      <c r="D173" s="9"/>
      <c r="E173" s="9"/>
      <c r="F173" s="469"/>
      <c r="G173" s="9"/>
    </row>
    <row r="174" ht="12.75" customHeight="1">
      <c r="A174" s="9"/>
      <c r="B174" s="468"/>
      <c r="C174" s="9"/>
      <c r="D174" s="9"/>
      <c r="E174" s="9"/>
      <c r="F174" s="469"/>
      <c r="G174" s="9"/>
    </row>
    <row r="175" ht="12.75" customHeight="1">
      <c r="A175" s="9"/>
      <c r="B175" s="468"/>
      <c r="C175" s="9"/>
      <c r="D175" s="9"/>
      <c r="E175" s="9"/>
      <c r="F175" s="469"/>
      <c r="G175" s="9"/>
    </row>
    <row r="176" ht="12.75" customHeight="1">
      <c r="A176" s="9"/>
      <c r="B176" s="468"/>
      <c r="C176" s="9"/>
      <c r="D176" s="9"/>
      <c r="E176" s="9"/>
      <c r="F176" s="469"/>
      <c r="G176" s="9"/>
    </row>
    <row r="177" ht="12.75" customHeight="1">
      <c r="A177" s="9"/>
      <c r="B177" s="468"/>
      <c r="C177" s="9"/>
      <c r="D177" s="9"/>
      <c r="E177" s="9"/>
      <c r="F177" s="469"/>
      <c r="G177" s="9"/>
    </row>
    <row r="178" ht="12.75" customHeight="1">
      <c r="A178" s="9"/>
      <c r="B178" s="468"/>
      <c r="C178" s="9"/>
      <c r="D178" s="9"/>
      <c r="E178" s="9"/>
      <c r="F178" s="469"/>
      <c r="G178" s="9"/>
    </row>
    <row r="179" ht="12.75" customHeight="1">
      <c r="A179" s="9"/>
      <c r="B179" s="468"/>
      <c r="C179" s="9"/>
      <c r="D179" s="9"/>
      <c r="E179" s="9"/>
      <c r="F179" s="469"/>
      <c r="G179" s="9"/>
    </row>
    <row r="180" ht="12.75" customHeight="1">
      <c r="A180" s="9"/>
      <c r="B180" s="468"/>
      <c r="C180" s="9"/>
      <c r="D180" s="9"/>
      <c r="E180" s="9"/>
      <c r="F180" s="469"/>
      <c r="G180" s="9"/>
    </row>
    <row r="181" ht="12.75" customHeight="1">
      <c r="A181" s="9"/>
      <c r="B181" s="468"/>
      <c r="C181" s="9"/>
      <c r="D181" s="9"/>
      <c r="E181" s="9"/>
      <c r="F181" s="469"/>
      <c r="G181" s="9"/>
    </row>
    <row r="182" ht="12.75" customHeight="1">
      <c r="A182" s="9"/>
      <c r="B182" s="468"/>
      <c r="C182" s="9"/>
      <c r="D182" s="9"/>
      <c r="E182" s="9"/>
      <c r="F182" s="469"/>
      <c r="G182" s="9"/>
    </row>
    <row r="183" ht="12.75" customHeight="1">
      <c r="A183" s="9"/>
      <c r="B183" s="468"/>
      <c r="C183" s="9"/>
      <c r="D183" s="9"/>
      <c r="E183" s="9"/>
      <c r="F183" s="469"/>
      <c r="G183" s="9"/>
    </row>
    <row r="184" ht="12.75" customHeight="1">
      <c r="A184" s="9"/>
      <c r="B184" s="468"/>
      <c r="C184" s="9"/>
      <c r="D184" s="9"/>
      <c r="E184" s="9"/>
      <c r="F184" s="469"/>
      <c r="G184" s="9"/>
    </row>
    <row r="185" ht="12.75" customHeight="1">
      <c r="A185" s="9"/>
      <c r="B185" s="468"/>
      <c r="C185" s="9"/>
      <c r="D185" s="9"/>
      <c r="E185" s="9"/>
      <c r="F185" s="469"/>
      <c r="G185" s="9"/>
    </row>
    <row r="186" ht="12.75" customHeight="1">
      <c r="A186" s="9"/>
      <c r="B186" s="468"/>
      <c r="C186" s="9"/>
      <c r="D186" s="9"/>
      <c r="E186" s="9"/>
      <c r="F186" s="469"/>
      <c r="G186" s="9"/>
    </row>
    <row r="187" ht="12.75" customHeight="1">
      <c r="A187" s="9"/>
      <c r="B187" s="468"/>
      <c r="C187" s="9"/>
      <c r="D187" s="9"/>
      <c r="E187" s="9"/>
      <c r="F187" s="469"/>
      <c r="G187" s="9"/>
    </row>
    <row r="188" ht="12.75" customHeight="1">
      <c r="A188" s="9"/>
      <c r="B188" s="468"/>
      <c r="C188" s="9"/>
      <c r="D188" s="9"/>
      <c r="E188" s="9"/>
      <c r="F188" s="469"/>
      <c r="G188" s="9"/>
    </row>
    <row r="189" ht="12.75" customHeight="1">
      <c r="A189" s="9"/>
      <c r="B189" s="468"/>
      <c r="C189" s="9"/>
      <c r="D189" s="9"/>
      <c r="E189" s="9"/>
      <c r="F189" s="469"/>
      <c r="G189" s="9"/>
    </row>
    <row r="190" ht="12.75" customHeight="1">
      <c r="A190" s="9"/>
      <c r="B190" s="468"/>
      <c r="C190" s="9"/>
      <c r="D190" s="9"/>
      <c r="E190" s="9"/>
      <c r="F190" s="469"/>
      <c r="G190" s="9"/>
    </row>
    <row r="191" ht="12.75" customHeight="1">
      <c r="A191" s="9"/>
      <c r="B191" s="468"/>
      <c r="C191" s="9"/>
      <c r="D191" s="9"/>
      <c r="E191" s="9"/>
      <c r="F191" s="469"/>
      <c r="G191" s="9"/>
    </row>
    <row r="192" ht="12.75" customHeight="1">
      <c r="A192" s="9"/>
      <c r="B192" s="468"/>
      <c r="C192" s="9"/>
      <c r="D192" s="9"/>
      <c r="E192" s="9"/>
      <c r="F192" s="469"/>
      <c r="G192" s="9"/>
    </row>
    <row r="193" ht="12.75" customHeight="1">
      <c r="A193" s="9"/>
      <c r="B193" s="468"/>
      <c r="C193" s="9"/>
      <c r="D193" s="9"/>
      <c r="E193" s="9"/>
      <c r="F193" s="469"/>
      <c r="G193" s="9"/>
    </row>
    <row r="194" ht="12.75" customHeight="1">
      <c r="A194" s="9"/>
      <c r="B194" s="468"/>
      <c r="C194" s="9"/>
      <c r="D194" s="9"/>
      <c r="E194" s="9"/>
      <c r="F194" s="469"/>
      <c r="G194" s="9"/>
    </row>
    <row r="195" ht="12.75" customHeight="1">
      <c r="A195" s="9"/>
      <c r="B195" s="468"/>
      <c r="C195" s="9"/>
      <c r="D195" s="9"/>
      <c r="E195" s="9"/>
      <c r="F195" s="469"/>
      <c r="G195" s="9"/>
    </row>
    <row r="196" ht="12.75" customHeight="1">
      <c r="A196" s="9"/>
      <c r="B196" s="468"/>
      <c r="C196" s="9"/>
      <c r="D196" s="9"/>
      <c r="E196" s="9"/>
      <c r="F196" s="469"/>
      <c r="G196" s="9"/>
    </row>
    <row r="197" ht="12.75" customHeight="1">
      <c r="A197" s="9"/>
      <c r="B197" s="468"/>
      <c r="C197" s="9"/>
      <c r="D197" s="9"/>
      <c r="E197" s="9"/>
      <c r="F197" s="469"/>
      <c r="G197" s="9"/>
    </row>
    <row r="198" ht="12.75" customHeight="1">
      <c r="A198" s="9"/>
      <c r="B198" s="468"/>
      <c r="C198" s="9"/>
      <c r="D198" s="9"/>
      <c r="E198" s="9"/>
      <c r="F198" s="469"/>
      <c r="G198" s="9"/>
    </row>
    <row r="199" ht="12.75" customHeight="1">
      <c r="A199" s="9"/>
      <c r="B199" s="468"/>
      <c r="C199" s="9"/>
      <c r="D199" s="9"/>
      <c r="E199" s="9"/>
      <c r="F199" s="469"/>
      <c r="G199" s="9"/>
    </row>
    <row r="200" ht="12.75" customHeight="1">
      <c r="A200" s="9"/>
      <c r="B200" s="468"/>
      <c r="C200" s="9"/>
      <c r="D200" s="9"/>
      <c r="E200" s="9"/>
      <c r="F200" s="469"/>
      <c r="G200" s="9"/>
    </row>
    <row r="201" ht="12.75" customHeight="1">
      <c r="A201" s="9"/>
      <c r="B201" s="468"/>
      <c r="C201" s="9"/>
      <c r="D201" s="9"/>
      <c r="E201" s="9"/>
      <c r="F201" s="469"/>
      <c r="G201" s="9"/>
    </row>
    <row r="202" ht="12.75" customHeight="1">
      <c r="A202" s="9"/>
      <c r="B202" s="468"/>
      <c r="C202" s="9"/>
      <c r="D202" s="9"/>
      <c r="E202" s="9"/>
      <c r="F202" s="469"/>
      <c r="G202" s="9"/>
    </row>
    <row r="203" ht="12.75" customHeight="1">
      <c r="A203" s="9"/>
      <c r="B203" s="468"/>
      <c r="C203" s="9"/>
      <c r="D203" s="9"/>
      <c r="E203" s="9"/>
      <c r="F203" s="469"/>
      <c r="G203" s="9"/>
    </row>
    <row r="204" ht="12.75" customHeight="1">
      <c r="A204" s="9"/>
      <c r="B204" s="468"/>
      <c r="C204" s="9"/>
      <c r="D204" s="9"/>
      <c r="E204" s="9"/>
      <c r="F204" s="469"/>
      <c r="G204" s="9"/>
    </row>
    <row r="205" ht="12.75" customHeight="1">
      <c r="A205" s="9"/>
      <c r="B205" s="468"/>
      <c r="C205" s="9"/>
      <c r="D205" s="9"/>
      <c r="E205" s="9"/>
      <c r="F205" s="469"/>
      <c r="G205" s="9"/>
    </row>
    <row r="206" ht="12.75" customHeight="1">
      <c r="A206" s="9"/>
      <c r="B206" s="468"/>
      <c r="C206" s="9"/>
      <c r="D206" s="9"/>
      <c r="E206" s="9"/>
      <c r="F206" s="469"/>
      <c r="G206" s="9"/>
    </row>
    <row r="207" ht="12.75" customHeight="1">
      <c r="A207" s="9"/>
      <c r="B207" s="468"/>
      <c r="C207" s="9"/>
      <c r="D207" s="9"/>
      <c r="E207" s="9"/>
      <c r="F207" s="469"/>
      <c r="G207" s="9"/>
    </row>
    <row r="208" ht="12.75" customHeight="1">
      <c r="A208" s="9"/>
      <c r="B208" s="468"/>
      <c r="C208" s="9"/>
      <c r="D208" s="9"/>
      <c r="E208" s="9"/>
      <c r="F208" s="469"/>
      <c r="G208" s="9"/>
    </row>
    <row r="209" ht="12.75" customHeight="1">
      <c r="A209" s="9"/>
      <c r="B209" s="468"/>
      <c r="C209" s="9"/>
      <c r="D209" s="9"/>
      <c r="E209" s="9"/>
      <c r="F209" s="469"/>
      <c r="G209" s="9"/>
    </row>
    <row r="210" ht="12.75" customHeight="1">
      <c r="A210" s="9"/>
      <c r="B210" s="468"/>
      <c r="C210" s="9"/>
      <c r="D210" s="9"/>
      <c r="E210" s="9"/>
      <c r="F210" s="469"/>
      <c r="G210" s="9"/>
    </row>
    <row r="211" ht="12.75" customHeight="1">
      <c r="A211" s="9"/>
      <c r="B211" s="468"/>
      <c r="C211" s="9"/>
      <c r="D211" s="9"/>
      <c r="E211" s="9"/>
      <c r="F211" s="469"/>
      <c r="G211" s="9"/>
    </row>
    <row r="212" ht="12.75" customHeight="1">
      <c r="A212" s="9"/>
      <c r="B212" s="468"/>
      <c r="C212" s="9"/>
      <c r="D212" s="9"/>
      <c r="E212" s="9"/>
      <c r="F212" s="469"/>
      <c r="G212" s="9"/>
    </row>
    <row r="213" ht="12.75" customHeight="1">
      <c r="A213" s="9"/>
      <c r="B213" s="468"/>
      <c r="C213" s="9"/>
      <c r="D213" s="9"/>
      <c r="E213" s="9"/>
      <c r="F213" s="469"/>
      <c r="G213" s="9"/>
    </row>
    <row r="214" ht="12.75" customHeight="1">
      <c r="A214" s="9"/>
      <c r="B214" s="468"/>
      <c r="C214" s="9"/>
      <c r="D214" s="9"/>
      <c r="E214" s="9"/>
      <c r="F214" s="469"/>
      <c r="G214" s="9"/>
    </row>
    <row r="215" ht="12.75" customHeight="1">
      <c r="A215" s="9"/>
      <c r="B215" s="468"/>
      <c r="C215" s="9"/>
      <c r="D215" s="9"/>
      <c r="E215" s="9"/>
      <c r="F215" s="469"/>
      <c r="G215" s="9"/>
    </row>
    <row r="216" ht="12.75" customHeight="1">
      <c r="A216" s="9"/>
      <c r="B216" s="468"/>
      <c r="C216" s="9"/>
      <c r="D216" s="9"/>
      <c r="E216" s="9"/>
      <c r="F216" s="469"/>
      <c r="G216" s="9"/>
    </row>
    <row r="217" ht="12.75" customHeight="1">
      <c r="A217" s="9"/>
      <c r="B217" s="468"/>
      <c r="C217" s="9"/>
      <c r="D217" s="9"/>
      <c r="E217" s="9"/>
      <c r="F217" s="469"/>
      <c r="G217" s="9"/>
    </row>
    <row r="218" ht="12.75" customHeight="1">
      <c r="A218" s="9"/>
      <c r="B218" s="468"/>
      <c r="C218" s="9"/>
      <c r="D218" s="9"/>
      <c r="E218" s="9"/>
      <c r="F218" s="469"/>
      <c r="G218" s="9"/>
    </row>
    <row r="219" ht="12.75" customHeight="1">
      <c r="A219" s="9"/>
      <c r="B219" s="468"/>
      <c r="C219" s="9"/>
      <c r="D219" s="9"/>
      <c r="E219" s="9"/>
      <c r="F219" s="469"/>
      <c r="G219" s="9"/>
    </row>
    <row r="220" ht="12.75" customHeight="1">
      <c r="A220" s="9"/>
      <c r="B220" s="468"/>
      <c r="C220" s="9"/>
      <c r="D220" s="9"/>
      <c r="E220" s="9"/>
      <c r="F220" s="469"/>
      <c r="G220" s="9"/>
    </row>
    <row r="221" ht="12.75" customHeight="1">
      <c r="A221" s="9"/>
      <c r="B221" s="468"/>
      <c r="C221" s="9"/>
      <c r="D221" s="9"/>
      <c r="E221" s="9"/>
      <c r="F221" s="469"/>
      <c r="G221" s="9"/>
    </row>
    <row r="222" ht="12.75" customHeight="1">
      <c r="A222" s="9"/>
      <c r="B222" s="468"/>
      <c r="C222" s="9"/>
      <c r="D222" s="9"/>
      <c r="E222" s="9"/>
      <c r="F222" s="469"/>
      <c r="G222" s="9"/>
    </row>
    <row r="223" ht="12.75" customHeight="1">
      <c r="A223" s="9"/>
      <c r="B223" s="468"/>
      <c r="C223" s="9"/>
      <c r="D223" s="9"/>
      <c r="E223" s="9"/>
      <c r="F223" s="469"/>
      <c r="G223" s="9"/>
    </row>
    <row r="224" ht="12.75" customHeight="1">
      <c r="A224" s="9"/>
      <c r="B224" s="468"/>
      <c r="C224" s="9"/>
      <c r="D224" s="9"/>
      <c r="E224" s="9"/>
      <c r="F224" s="469"/>
      <c r="G224" s="9"/>
    </row>
    <row r="225" ht="12.75" customHeight="1">
      <c r="A225" s="9"/>
      <c r="B225" s="468"/>
      <c r="C225" s="9"/>
      <c r="D225" s="9"/>
      <c r="E225" s="9"/>
      <c r="F225" s="469"/>
      <c r="G225" s="9"/>
    </row>
    <row r="226" ht="12.75" customHeight="1">
      <c r="A226" s="9"/>
      <c r="B226" s="468"/>
      <c r="C226" s="9"/>
      <c r="D226" s="9"/>
      <c r="E226" s="9"/>
      <c r="F226" s="469"/>
      <c r="G226" s="9"/>
    </row>
    <row r="227" ht="12.75" customHeight="1">
      <c r="A227" s="9"/>
      <c r="B227" s="468"/>
      <c r="C227" s="9"/>
      <c r="D227" s="9"/>
      <c r="E227" s="9"/>
      <c r="F227" s="469"/>
      <c r="G227" s="9"/>
    </row>
    <row r="228" ht="12.75" customHeight="1">
      <c r="A228" s="9"/>
      <c r="B228" s="468"/>
      <c r="C228" s="9"/>
      <c r="D228" s="9"/>
      <c r="E228" s="9"/>
      <c r="F228" s="469"/>
      <c r="G228" s="9"/>
    </row>
    <row r="229" ht="12.75" customHeight="1">
      <c r="A229" s="9"/>
      <c r="B229" s="468"/>
      <c r="C229" s="9"/>
      <c r="D229" s="9"/>
      <c r="E229" s="9"/>
      <c r="F229" s="469"/>
      <c r="G229" s="9"/>
    </row>
  </sheetData>
  <pageMargins left="0.7875" right="0.7875" top="1.025" bottom="1.025" header="0" footer="0"/>
  <pageSetup firstPageNumber="1" fitToHeight="1" fitToWidth="1" scale="100" useFirstPageNumber="0" orientation="portrait" pageOrder="downThenOver"/>
  <headerFooter>
    <oddHeader>&amp;C&amp;"Calibri,Regular"&amp;10&amp;K000000DRAP</oddHeader>
    <oddFooter>&amp;C&amp;"Calibri,Regular"&amp;10&amp;K000000Página &amp;P</oddFooter>
  </headerFooter>
</worksheet>
</file>

<file path=xl/worksheets/sheet10.xml><?xml version="1.0" encoding="utf-8"?>
<worksheet xmlns:r="http://schemas.openxmlformats.org/officeDocument/2006/relationships" xmlns="http://schemas.openxmlformats.org/spreadsheetml/2006/main">
  <dimension ref="A1:G220"/>
  <sheetViews>
    <sheetView workbookViewId="0" showGridLines="0" defaultGridColor="1"/>
  </sheetViews>
  <sheetFormatPr defaultColWidth="14.4" defaultRowHeight="15" customHeight="1" outlineLevelRow="0" outlineLevelCol="0"/>
  <cols>
    <col min="1" max="2" width="10.8125" style="476" customWidth="1"/>
    <col min="3" max="3" width="15.8125" style="476" customWidth="1"/>
    <col min="4" max="4" width="48" style="476" customWidth="1"/>
    <col min="5" max="5" width="15.8125" style="476" customWidth="1"/>
    <col min="6" max="6" width="14.2109" style="476" customWidth="1"/>
    <col min="7" max="7" width="8.8125" style="476" customWidth="1"/>
    <col min="8" max="16384" width="14.4219" style="476" customWidth="1"/>
  </cols>
  <sheetData>
    <row r="1" ht="12.75" customHeight="1">
      <c r="A1" t="s" s="259">
        <v>1136</v>
      </c>
      <c r="B1" t="s" s="260">
        <v>23</v>
      </c>
      <c r="C1" t="s" s="260">
        <v>24</v>
      </c>
      <c r="D1" t="s" s="260">
        <v>1137</v>
      </c>
      <c r="E1" t="s" s="260">
        <v>26</v>
      </c>
      <c r="F1" t="s" s="260">
        <v>27</v>
      </c>
      <c r="G1" t="s" s="371">
        <v>28</v>
      </c>
    </row>
    <row r="2" ht="12.75" customHeight="1">
      <c r="A2" s="290">
        <v>42913</v>
      </c>
      <c r="B2" s="275"/>
      <c r="C2" t="s" s="274">
        <v>1177</v>
      </c>
      <c r="D2" t="s" s="375">
        <v>1183</v>
      </c>
      <c r="E2" s="376">
        <v>552500</v>
      </c>
      <c r="F2" s="377">
        <v>33500</v>
      </c>
      <c r="G2" s="376" cm="1">
        <f t="array" ref="G2">E2/F2</f>
        <v>16.4925373134328</v>
      </c>
    </row>
    <row r="3" ht="12.75" customHeight="1">
      <c r="A3" s="287">
        <v>42983</v>
      </c>
      <c r="B3" s="282"/>
      <c r="C3" t="s" s="259">
        <v>1177</v>
      </c>
      <c r="D3" t="s" s="293">
        <v>1178</v>
      </c>
      <c r="E3" s="373">
        <v>18000</v>
      </c>
      <c r="F3" s="374">
        <v>1000</v>
      </c>
      <c r="G3" s="373">
        <v>18</v>
      </c>
    </row>
    <row r="4" ht="12.75" customHeight="1">
      <c r="A4" s="290">
        <v>43042</v>
      </c>
      <c r="B4" s="275"/>
      <c r="C4" t="s" s="274">
        <v>1177</v>
      </c>
      <c r="D4" t="s" s="375">
        <v>1183</v>
      </c>
      <c r="E4" s="376">
        <v>200000</v>
      </c>
      <c r="F4" s="377">
        <v>11100</v>
      </c>
      <c r="G4" s="376" cm="1">
        <f t="array" ref="G4">E4/F4</f>
        <v>18.018018018018</v>
      </c>
    </row>
    <row r="5" ht="12.75" customHeight="1">
      <c r="A5" s="287">
        <v>43303</v>
      </c>
      <c r="B5" s="282"/>
      <c r="C5" t="s" s="259">
        <v>1177</v>
      </c>
      <c r="D5" t="s" s="293">
        <v>223</v>
      </c>
      <c r="E5" s="373">
        <v>1400000</v>
      </c>
      <c r="F5" s="374">
        <v>50000</v>
      </c>
      <c r="G5" s="373" cm="1">
        <f t="array" ref="G5">E5/F5</f>
        <v>28</v>
      </c>
    </row>
    <row r="6" ht="12.75" customHeight="1">
      <c r="A6" s="290">
        <v>43343</v>
      </c>
      <c r="B6" s="340">
        <v>2199</v>
      </c>
      <c r="C6" t="s" s="274">
        <v>1177</v>
      </c>
      <c r="D6" t="s" s="375">
        <v>235</v>
      </c>
      <c r="E6" s="376">
        <v>89460</v>
      </c>
      <c r="F6" s="377" cm="1">
        <f t="array" ref="F6">E6/G6</f>
        <v>2417.837837837840</v>
      </c>
      <c r="G6" s="376">
        <v>37</v>
      </c>
    </row>
    <row r="7" ht="12.75" customHeight="1">
      <c r="A7" s="287">
        <v>43343</v>
      </c>
      <c r="B7" s="342">
        <v>2222</v>
      </c>
      <c r="C7" t="s" s="259">
        <v>1177</v>
      </c>
      <c r="D7" t="s" s="293">
        <v>236</v>
      </c>
      <c r="E7" s="373">
        <v>59640</v>
      </c>
      <c r="F7" s="374" cm="1">
        <f t="array" ref="F7">E7/G7</f>
        <v>1611.891891891890</v>
      </c>
      <c r="G7" s="373" cm="1">
        <f t="array" ref="G7">G6</f>
        <v>37</v>
      </c>
    </row>
    <row r="8" ht="12.75" customHeight="1">
      <c r="A8" s="290">
        <v>43432</v>
      </c>
      <c r="B8" s="340">
        <v>2145</v>
      </c>
      <c r="C8" t="s" s="274">
        <v>1177</v>
      </c>
      <c r="D8" t="s" s="375">
        <v>269</v>
      </c>
      <c r="E8" s="376">
        <v>4700</v>
      </c>
      <c r="F8" s="377" cm="1">
        <f t="array" ref="F8">E8/G8</f>
        <v>123.684210526316</v>
      </c>
      <c r="G8" s="376">
        <v>38</v>
      </c>
    </row>
    <row r="9" ht="12.75" customHeight="1">
      <c r="A9" s="287">
        <v>43501</v>
      </c>
      <c r="B9" s="282"/>
      <c r="C9" t="s" s="259">
        <v>1177</v>
      </c>
      <c r="D9" t="s" s="293">
        <v>1240</v>
      </c>
      <c r="E9" s="373">
        <v>100000</v>
      </c>
      <c r="F9" s="374">
        <v>2632</v>
      </c>
      <c r="G9" s="373">
        <v>38</v>
      </c>
    </row>
    <row r="10" ht="12.75" customHeight="1">
      <c r="A10" s="290">
        <v>43501</v>
      </c>
      <c r="B10" s="275"/>
      <c r="C10" t="s" s="274">
        <v>1177</v>
      </c>
      <c r="D10" t="s" s="375">
        <v>1241</v>
      </c>
      <c r="E10" s="376">
        <v>500000</v>
      </c>
      <c r="F10" s="377">
        <v>13160</v>
      </c>
      <c r="G10" s="376" cm="1">
        <f t="array" ref="G10">E10/F10</f>
        <v>37.9939209726444</v>
      </c>
    </row>
    <row r="11" ht="12.75" customHeight="1">
      <c r="A11" s="287">
        <v>43517</v>
      </c>
      <c r="B11" s="282"/>
      <c r="C11" t="s" s="259">
        <v>1177</v>
      </c>
      <c r="D11" t="s" s="293">
        <v>1241</v>
      </c>
      <c r="E11" s="373">
        <v>500000</v>
      </c>
      <c r="F11" s="374">
        <v>12500</v>
      </c>
      <c r="G11" s="373" cm="1">
        <f t="array" ref="G11">E11/F11</f>
        <v>40</v>
      </c>
    </row>
    <row r="12" ht="12.75" customHeight="1">
      <c r="A12" s="290"/>
      <c r="B12" s="275"/>
      <c r="C12" s="295"/>
      <c r="D12" s="275"/>
      <c r="E12" s="376"/>
      <c r="F12" s="377"/>
      <c r="G12" s="376"/>
    </row>
    <row r="13" ht="12.75" customHeight="1">
      <c r="A13" s="287"/>
      <c r="B13" s="282"/>
      <c r="C13" s="294"/>
      <c r="D13" s="282"/>
      <c r="E13" s="373"/>
      <c r="F13" s="374"/>
      <c r="G13" s="373"/>
    </row>
    <row r="14" ht="12.75" customHeight="1">
      <c r="A14" s="290"/>
      <c r="B14" s="275"/>
      <c r="C14" s="295"/>
      <c r="D14" s="275"/>
      <c r="E14" s="376"/>
      <c r="F14" s="377"/>
      <c r="G14" s="376"/>
    </row>
    <row r="15" ht="12.75" customHeight="1">
      <c r="A15" s="37"/>
      <c r="B15" s="42"/>
      <c r="C15" s="42"/>
      <c r="D15" s="42"/>
      <c r="E15" s="42"/>
      <c r="F15" s="477"/>
      <c r="G15" s="37"/>
    </row>
    <row r="16" ht="12.75" customHeight="1">
      <c r="A16" s="24"/>
      <c r="B16" t="s" s="478">
        <v>13</v>
      </c>
      <c r="C16" s="472"/>
      <c r="D16" s="472"/>
      <c r="E16" s="380" cm="1">
        <f t="array" ref="E16">SUM(E2:E14)</f>
        <v>3424300</v>
      </c>
      <c r="F16" s="473" cm="1">
        <f t="array" ref="F16">SUM(F2:F14)</f>
        <v>128045.413940256</v>
      </c>
      <c r="G16" s="18"/>
    </row>
    <row r="17" ht="12.75" customHeight="1">
      <c r="A17" s="9"/>
      <c r="B17" s="382"/>
      <c r="C17" s="382"/>
      <c r="D17" s="382"/>
      <c r="E17" s="382"/>
      <c r="F17" s="475"/>
      <c r="G17" s="9"/>
    </row>
    <row r="18" ht="12.75" customHeight="1">
      <c r="A18" s="9"/>
      <c r="B18" s="9"/>
      <c r="C18" s="9"/>
      <c r="D18" s="9"/>
      <c r="E18" s="9"/>
      <c r="F18" s="469"/>
      <c r="G18" s="9"/>
    </row>
    <row r="19" ht="12.75" customHeight="1">
      <c r="A19" s="9"/>
      <c r="B19" s="9"/>
      <c r="C19" s="9"/>
      <c r="D19" s="9"/>
      <c r="E19" s="9"/>
      <c r="F19" s="469"/>
      <c r="G19" s="9"/>
    </row>
    <row r="20" ht="12.75" customHeight="1">
      <c r="A20" s="9"/>
      <c r="B20" s="9"/>
      <c r="C20" s="9"/>
      <c r="D20" s="9"/>
      <c r="E20" s="9"/>
      <c r="F20" s="469"/>
      <c r="G20" s="9"/>
    </row>
    <row r="21" ht="12.75" customHeight="1">
      <c r="A21" s="9"/>
      <c r="B21" s="9"/>
      <c r="C21" s="9"/>
      <c r="D21" s="9"/>
      <c r="E21" s="9"/>
      <c r="F21" s="469"/>
      <c r="G21" s="9"/>
    </row>
    <row r="22" ht="12.75" customHeight="1">
      <c r="A22" s="9"/>
      <c r="B22" s="9"/>
      <c r="C22" s="9"/>
      <c r="D22" s="9"/>
      <c r="E22" s="9"/>
      <c r="F22" s="469"/>
      <c r="G22" s="9"/>
    </row>
    <row r="23" ht="12.75" customHeight="1">
      <c r="A23" s="9"/>
      <c r="B23" s="9"/>
      <c r="C23" s="9"/>
      <c r="D23" s="9"/>
      <c r="E23" s="9"/>
      <c r="F23" s="469"/>
      <c r="G23" s="9"/>
    </row>
    <row r="24" ht="12.75" customHeight="1">
      <c r="A24" s="9"/>
      <c r="B24" s="9"/>
      <c r="C24" s="9"/>
      <c r="D24" s="9"/>
      <c r="E24" s="9"/>
      <c r="F24" s="469"/>
      <c r="G24" s="9"/>
    </row>
    <row r="25" ht="12.75" customHeight="1">
      <c r="A25" s="9"/>
      <c r="B25" s="9"/>
      <c r="C25" s="9"/>
      <c r="D25" s="9"/>
      <c r="E25" s="9"/>
      <c r="F25" s="469"/>
      <c r="G25" s="9"/>
    </row>
    <row r="26" ht="12.75" customHeight="1">
      <c r="A26" s="9"/>
      <c r="B26" s="9"/>
      <c r="C26" s="9"/>
      <c r="D26" s="9"/>
      <c r="E26" s="9"/>
      <c r="F26" s="469"/>
      <c r="G26" s="9"/>
    </row>
    <row r="27" ht="12.75" customHeight="1">
      <c r="A27" s="9"/>
      <c r="B27" s="9"/>
      <c r="C27" s="9"/>
      <c r="D27" s="9"/>
      <c r="E27" s="9"/>
      <c r="F27" s="469"/>
      <c r="G27" s="9"/>
    </row>
    <row r="28" ht="12.75" customHeight="1">
      <c r="A28" s="9"/>
      <c r="B28" s="9"/>
      <c r="C28" s="9"/>
      <c r="D28" s="9"/>
      <c r="E28" s="9"/>
      <c r="F28" s="469"/>
      <c r="G28" s="9"/>
    </row>
    <row r="29" ht="12.75" customHeight="1">
      <c r="A29" s="9"/>
      <c r="B29" s="9"/>
      <c r="C29" s="9"/>
      <c r="D29" s="9"/>
      <c r="E29" s="9"/>
      <c r="F29" s="469"/>
      <c r="G29" s="9"/>
    </row>
    <row r="30" ht="12.75" customHeight="1">
      <c r="A30" s="9"/>
      <c r="B30" s="9"/>
      <c r="C30" s="9"/>
      <c r="D30" s="9"/>
      <c r="E30" s="9"/>
      <c r="F30" s="469"/>
      <c r="G30" s="9"/>
    </row>
    <row r="31" ht="12.75" customHeight="1">
      <c r="A31" s="9"/>
      <c r="B31" s="9"/>
      <c r="C31" s="9"/>
      <c r="D31" s="9"/>
      <c r="E31" s="9"/>
      <c r="F31" s="469"/>
      <c r="G31" s="9"/>
    </row>
    <row r="32" ht="12.75" customHeight="1">
      <c r="A32" s="9"/>
      <c r="B32" s="9"/>
      <c r="C32" s="9"/>
      <c r="D32" s="9"/>
      <c r="E32" s="9"/>
      <c r="F32" s="469"/>
      <c r="G32" s="9"/>
    </row>
    <row r="33" ht="12.75" customHeight="1">
      <c r="A33" s="9"/>
      <c r="B33" s="9"/>
      <c r="C33" s="9"/>
      <c r="D33" s="9"/>
      <c r="E33" s="9"/>
      <c r="F33" s="469"/>
      <c r="G33" s="9"/>
    </row>
    <row r="34" ht="12.75" customHeight="1">
      <c r="A34" s="9"/>
      <c r="B34" s="9"/>
      <c r="C34" s="9"/>
      <c r="D34" s="9"/>
      <c r="E34" s="9"/>
      <c r="F34" s="469"/>
      <c r="G34" s="9"/>
    </row>
    <row r="35" ht="12.75" customHeight="1">
      <c r="A35" s="9"/>
      <c r="B35" s="9"/>
      <c r="C35" s="9"/>
      <c r="D35" s="9"/>
      <c r="E35" s="9"/>
      <c r="F35" s="469"/>
      <c r="G35" s="9"/>
    </row>
    <row r="36" ht="12.75" customHeight="1">
      <c r="A36" s="9"/>
      <c r="B36" s="9"/>
      <c r="C36" s="9"/>
      <c r="D36" s="9"/>
      <c r="E36" s="9"/>
      <c r="F36" s="469"/>
      <c r="G36" s="9"/>
    </row>
    <row r="37" ht="12.75" customHeight="1">
      <c r="A37" s="9"/>
      <c r="B37" s="9"/>
      <c r="C37" s="9"/>
      <c r="D37" s="9"/>
      <c r="E37" s="9"/>
      <c r="F37" s="469"/>
      <c r="G37" s="9"/>
    </row>
    <row r="38" ht="12.75" customHeight="1">
      <c r="A38" s="9"/>
      <c r="B38" s="9"/>
      <c r="C38" s="9"/>
      <c r="D38" s="9"/>
      <c r="E38" s="9"/>
      <c r="F38" s="469"/>
      <c r="G38" s="9"/>
    </row>
    <row r="39" ht="12.75" customHeight="1">
      <c r="A39" s="9"/>
      <c r="B39" s="9"/>
      <c r="C39" s="9"/>
      <c r="D39" s="9"/>
      <c r="E39" s="9"/>
      <c r="F39" s="469"/>
      <c r="G39" s="9"/>
    </row>
    <row r="40" ht="12.75" customHeight="1">
      <c r="A40" s="9"/>
      <c r="B40" s="9"/>
      <c r="C40" s="9"/>
      <c r="D40" s="9"/>
      <c r="E40" s="9"/>
      <c r="F40" s="469"/>
      <c r="G40" s="9"/>
    </row>
    <row r="41" ht="12.75" customHeight="1">
      <c r="A41" s="9"/>
      <c r="B41" s="9"/>
      <c r="C41" s="9"/>
      <c r="D41" s="9"/>
      <c r="E41" s="9"/>
      <c r="F41" s="469"/>
      <c r="G41" s="9"/>
    </row>
    <row r="42" ht="12.75" customHeight="1">
      <c r="A42" s="9"/>
      <c r="B42" s="9"/>
      <c r="C42" s="9"/>
      <c r="D42" s="9"/>
      <c r="E42" s="9"/>
      <c r="F42" s="469"/>
      <c r="G42" s="9"/>
    </row>
    <row r="43" ht="12.75" customHeight="1">
      <c r="A43" s="9"/>
      <c r="B43" s="9"/>
      <c r="C43" s="9"/>
      <c r="D43" s="9"/>
      <c r="E43" s="9"/>
      <c r="F43" s="469"/>
      <c r="G43" s="9"/>
    </row>
    <row r="44" ht="12.75" customHeight="1">
      <c r="A44" s="9"/>
      <c r="B44" s="9"/>
      <c r="C44" s="9"/>
      <c r="D44" s="9"/>
      <c r="E44" s="9"/>
      <c r="F44" s="469"/>
      <c r="G44" s="9"/>
    </row>
    <row r="45" ht="12.75" customHeight="1">
      <c r="A45" s="9"/>
      <c r="B45" s="9"/>
      <c r="C45" s="9"/>
      <c r="D45" s="9"/>
      <c r="E45" s="9"/>
      <c r="F45" s="469"/>
      <c r="G45" s="9"/>
    </row>
    <row r="46" ht="12.75" customHeight="1">
      <c r="A46" s="9"/>
      <c r="B46" s="9"/>
      <c r="C46" s="9"/>
      <c r="D46" s="9"/>
      <c r="E46" s="9"/>
      <c r="F46" s="469"/>
      <c r="G46" s="9"/>
    </row>
    <row r="47" ht="12.75" customHeight="1">
      <c r="A47" s="9"/>
      <c r="B47" s="9"/>
      <c r="C47" s="9"/>
      <c r="D47" s="9"/>
      <c r="E47" s="9"/>
      <c r="F47" s="469"/>
      <c r="G47" s="9"/>
    </row>
    <row r="48" ht="12.75" customHeight="1">
      <c r="A48" s="9"/>
      <c r="B48" s="9"/>
      <c r="C48" s="9"/>
      <c r="D48" s="9"/>
      <c r="E48" s="9"/>
      <c r="F48" s="469"/>
      <c r="G48" s="9"/>
    </row>
    <row r="49" ht="12.75" customHeight="1">
      <c r="A49" s="9"/>
      <c r="B49" s="9"/>
      <c r="C49" s="9"/>
      <c r="D49" s="9"/>
      <c r="E49" s="9"/>
      <c r="F49" s="469"/>
      <c r="G49" s="9"/>
    </row>
    <row r="50" ht="12.75" customHeight="1">
      <c r="A50" s="9"/>
      <c r="B50" s="9"/>
      <c r="C50" s="9"/>
      <c r="D50" s="9"/>
      <c r="E50" s="9"/>
      <c r="F50" s="469"/>
      <c r="G50" s="9"/>
    </row>
    <row r="51" ht="12.75" customHeight="1">
      <c r="A51" s="9"/>
      <c r="B51" s="9"/>
      <c r="C51" s="9"/>
      <c r="D51" s="9"/>
      <c r="E51" s="9"/>
      <c r="F51" s="469"/>
      <c r="G51" s="9"/>
    </row>
    <row r="52" ht="12.75" customHeight="1">
      <c r="A52" s="9"/>
      <c r="B52" s="9"/>
      <c r="C52" s="9"/>
      <c r="D52" s="9"/>
      <c r="E52" s="9"/>
      <c r="F52" s="469"/>
      <c r="G52" s="9"/>
    </row>
    <row r="53" ht="12.75" customHeight="1">
      <c r="A53" s="9"/>
      <c r="B53" s="9"/>
      <c r="C53" s="9"/>
      <c r="D53" s="9"/>
      <c r="E53" s="9"/>
      <c r="F53" s="469"/>
      <c r="G53" s="9"/>
    </row>
    <row r="54" ht="12.75" customHeight="1">
      <c r="A54" s="9"/>
      <c r="B54" s="9"/>
      <c r="C54" s="9"/>
      <c r="D54" s="9"/>
      <c r="E54" s="9"/>
      <c r="F54" s="469"/>
      <c r="G54" s="9"/>
    </row>
    <row r="55" ht="12.75" customHeight="1">
      <c r="A55" s="9"/>
      <c r="B55" s="9"/>
      <c r="C55" s="9"/>
      <c r="D55" s="9"/>
      <c r="E55" s="9"/>
      <c r="F55" s="469"/>
      <c r="G55" s="9"/>
    </row>
    <row r="56" ht="12.75" customHeight="1">
      <c r="A56" s="9"/>
      <c r="B56" s="9"/>
      <c r="C56" s="9"/>
      <c r="D56" s="9"/>
      <c r="E56" s="9"/>
      <c r="F56" s="469"/>
      <c r="G56" s="9"/>
    </row>
    <row r="57" ht="12.75" customHeight="1">
      <c r="A57" s="9"/>
      <c r="B57" s="9"/>
      <c r="C57" s="9"/>
      <c r="D57" s="9"/>
      <c r="E57" s="9"/>
      <c r="F57" s="469"/>
      <c r="G57" s="9"/>
    </row>
    <row r="58" ht="12.75" customHeight="1">
      <c r="A58" s="9"/>
      <c r="B58" s="9"/>
      <c r="C58" s="9"/>
      <c r="D58" s="9"/>
      <c r="E58" s="9"/>
      <c r="F58" s="469"/>
      <c r="G58" s="9"/>
    </row>
    <row r="59" ht="12.75" customHeight="1">
      <c r="A59" s="9"/>
      <c r="B59" s="9"/>
      <c r="C59" s="9"/>
      <c r="D59" s="9"/>
      <c r="E59" s="9"/>
      <c r="F59" s="469"/>
      <c r="G59" s="9"/>
    </row>
    <row r="60" ht="12.75" customHeight="1">
      <c r="A60" s="9"/>
      <c r="B60" s="9"/>
      <c r="C60" s="9"/>
      <c r="D60" s="9"/>
      <c r="E60" s="9"/>
      <c r="F60" s="469"/>
      <c r="G60" s="9"/>
    </row>
    <row r="61" ht="12.75" customHeight="1">
      <c r="A61" s="9"/>
      <c r="B61" s="9"/>
      <c r="C61" s="9"/>
      <c r="D61" s="9"/>
      <c r="E61" s="9"/>
      <c r="F61" s="469"/>
      <c r="G61" s="9"/>
    </row>
    <row r="62" ht="12.75" customHeight="1">
      <c r="A62" s="9"/>
      <c r="B62" s="9"/>
      <c r="C62" s="9"/>
      <c r="D62" s="9"/>
      <c r="E62" s="9"/>
      <c r="F62" s="469"/>
      <c r="G62" s="9"/>
    </row>
    <row r="63" ht="12.75" customHeight="1">
      <c r="A63" s="9"/>
      <c r="B63" s="9"/>
      <c r="C63" s="9"/>
      <c r="D63" s="9"/>
      <c r="E63" s="9"/>
      <c r="F63" s="469"/>
      <c r="G63" s="9"/>
    </row>
    <row r="64" ht="12.75" customHeight="1">
      <c r="A64" s="9"/>
      <c r="B64" s="9"/>
      <c r="C64" s="9"/>
      <c r="D64" s="9"/>
      <c r="E64" s="9"/>
      <c r="F64" s="469"/>
      <c r="G64" s="9"/>
    </row>
    <row r="65" ht="12.75" customHeight="1">
      <c r="A65" s="9"/>
      <c r="B65" s="9"/>
      <c r="C65" s="9"/>
      <c r="D65" s="9"/>
      <c r="E65" s="9"/>
      <c r="F65" s="469"/>
      <c r="G65" s="9"/>
    </row>
    <row r="66" ht="12.75" customHeight="1">
      <c r="A66" s="9"/>
      <c r="B66" s="9"/>
      <c r="C66" s="9"/>
      <c r="D66" s="9"/>
      <c r="E66" s="9"/>
      <c r="F66" s="469"/>
      <c r="G66" s="9"/>
    </row>
    <row r="67" ht="12.75" customHeight="1">
      <c r="A67" s="9"/>
      <c r="B67" s="9"/>
      <c r="C67" s="9"/>
      <c r="D67" s="9"/>
      <c r="E67" s="9"/>
      <c r="F67" s="469"/>
      <c r="G67" s="9"/>
    </row>
    <row r="68" ht="12.75" customHeight="1">
      <c r="A68" s="9"/>
      <c r="B68" s="9"/>
      <c r="C68" s="9"/>
      <c r="D68" s="9"/>
      <c r="E68" s="9"/>
      <c r="F68" s="469"/>
      <c r="G68" s="9"/>
    </row>
    <row r="69" ht="12.75" customHeight="1">
      <c r="A69" s="9"/>
      <c r="B69" s="9"/>
      <c r="C69" s="9"/>
      <c r="D69" s="9"/>
      <c r="E69" s="9"/>
      <c r="F69" s="469"/>
      <c r="G69" s="9"/>
    </row>
    <row r="70" ht="12.75" customHeight="1">
      <c r="A70" s="9"/>
      <c r="B70" s="9"/>
      <c r="C70" s="9"/>
      <c r="D70" s="9"/>
      <c r="E70" s="9"/>
      <c r="F70" s="469"/>
      <c r="G70" s="9"/>
    </row>
    <row r="71" ht="12.75" customHeight="1">
      <c r="A71" s="9"/>
      <c r="B71" s="9"/>
      <c r="C71" s="9"/>
      <c r="D71" s="9"/>
      <c r="E71" s="9"/>
      <c r="F71" s="469"/>
      <c r="G71" s="9"/>
    </row>
    <row r="72" ht="12.75" customHeight="1">
      <c r="A72" s="9"/>
      <c r="B72" s="9"/>
      <c r="C72" s="9"/>
      <c r="D72" s="9"/>
      <c r="E72" s="9"/>
      <c r="F72" s="469"/>
      <c r="G72" s="9"/>
    </row>
    <row r="73" ht="12.75" customHeight="1">
      <c r="A73" s="9"/>
      <c r="B73" s="9"/>
      <c r="C73" s="9"/>
      <c r="D73" s="9"/>
      <c r="E73" s="9"/>
      <c r="F73" s="469"/>
      <c r="G73" s="9"/>
    </row>
    <row r="74" ht="12.75" customHeight="1">
      <c r="A74" s="9"/>
      <c r="B74" s="9"/>
      <c r="C74" s="9"/>
      <c r="D74" s="9"/>
      <c r="E74" s="9"/>
      <c r="F74" s="469"/>
      <c r="G74" s="9"/>
    </row>
    <row r="75" ht="12.75" customHeight="1">
      <c r="A75" s="9"/>
      <c r="B75" s="9"/>
      <c r="C75" s="9"/>
      <c r="D75" s="9"/>
      <c r="E75" s="9"/>
      <c r="F75" s="469"/>
      <c r="G75" s="9"/>
    </row>
    <row r="76" ht="12.75" customHeight="1">
      <c r="A76" s="9"/>
      <c r="B76" s="9"/>
      <c r="C76" s="9"/>
      <c r="D76" s="9"/>
      <c r="E76" s="9"/>
      <c r="F76" s="469"/>
      <c r="G76" s="9"/>
    </row>
    <row r="77" ht="12.75" customHeight="1">
      <c r="A77" s="9"/>
      <c r="B77" s="9"/>
      <c r="C77" s="9"/>
      <c r="D77" s="9"/>
      <c r="E77" s="9"/>
      <c r="F77" s="469"/>
      <c r="G77" s="9"/>
    </row>
    <row r="78" ht="12.75" customHeight="1">
      <c r="A78" s="9"/>
      <c r="B78" s="9"/>
      <c r="C78" s="9"/>
      <c r="D78" s="9"/>
      <c r="E78" s="9"/>
      <c r="F78" s="469"/>
      <c r="G78" s="9"/>
    </row>
    <row r="79" ht="12.75" customHeight="1">
      <c r="A79" s="9"/>
      <c r="B79" s="9"/>
      <c r="C79" s="9"/>
      <c r="D79" s="9"/>
      <c r="E79" s="9"/>
      <c r="F79" s="469"/>
      <c r="G79" s="9"/>
    </row>
    <row r="80" ht="12.75" customHeight="1">
      <c r="A80" s="9"/>
      <c r="B80" s="9"/>
      <c r="C80" s="9"/>
      <c r="D80" s="9"/>
      <c r="E80" s="9"/>
      <c r="F80" s="469"/>
      <c r="G80" s="9"/>
    </row>
    <row r="81" ht="12.75" customHeight="1">
      <c r="A81" s="9"/>
      <c r="B81" s="9"/>
      <c r="C81" s="9"/>
      <c r="D81" s="9"/>
      <c r="E81" s="9"/>
      <c r="F81" s="469"/>
      <c r="G81" s="9"/>
    </row>
    <row r="82" ht="12.75" customHeight="1">
      <c r="A82" s="9"/>
      <c r="B82" s="9"/>
      <c r="C82" s="9"/>
      <c r="D82" s="9"/>
      <c r="E82" s="9"/>
      <c r="F82" s="469"/>
      <c r="G82" s="9"/>
    </row>
    <row r="83" ht="12.75" customHeight="1">
      <c r="A83" s="9"/>
      <c r="B83" s="9"/>
      <c r="C83" s="9"/>
      <c r="D83" s="9"/>
      <c r="E83" s="9"/>
      <c r="F83" s="469"/>
      <c r="G83" s="9"/>
    </row>
    <row r="84" ht="12.75" customHeight="1">
      <c r="A84" s="9"/>
      <c r="B84" s="9"/>
      <c r="C84" s="9"/>
      <c r="D84" s="9"/>
      <c r="E84" s="9"/>
      <c r="F84" s="469"/>
      <c r="G84" s="9"/>
    </row>
    <row r="85" ht="12.75" customHeight="1">
      <c r="A85" s="9"/>
      <c r="B85" s="9"/>
      <c r="C85" s="9"/>
      <c r="D85" s="9"/>
      <c r="E85" s="9"/>
      <c r="F85" s="469"/>
      <c r="G85" s="9"/>
    </row>
    <row r="86" ht="12.75" customHeight="1">
      <c r="A86" s="9"/>
      <c r="B86" s="9"/>
      <c r="C86" s="9"/>
      <c r="D86" s="9"/>
      <c r="E86" s="9"/>
      <c r="F86" s="469"/>
      <c r="G86" s="9"/>
    </row>
    <row r="87" ht="12.75" customHeight="1">
      <c r="A87" s="9"/>
      <c r="B87" s="9"/>
      <c r="C87" s="9"/>
      <c r="D87" s="9"/>
      <c r="E87" s="9"/>
      <c r="F87" s="469"/>
      <c r="G87" s="9"/>
    </row>
    <row r="88" ht="12.75" customHeight="1">
      <c r="A88" s="9"/>
      <c r="B88" s="9"/>
      <c r="C88" s="9"/>
      <c r="D88" s="9"/>
      <c r="E88" s="9"/>
      <c r="F88" s="469"/>
      <c r="G88" s="9"/>
    </row>
    <row r="89" ht="12.75" customHeight="1">
      <c r="A89" s="9"/>
      <c r="B89" s="9"/>
      <c r="C89" s="9"/>
      <c r="D89" s="9"/>
      <c r="E89" s="9"/>
      <c r="F89" s="469"/>
      <c r="G89" s="9"/>
    </row>
    <row r="90" ht="12.75" customHeight="1">
      <c r="A90" s="9"/>
      <c r="B90" s="9"/>
      <c r="C90" s="9"/>
      <c r="D90" s="9"/>
      <c r="E90" s="9"/>
      <c r="F90" s="469"/>
      <c r="G90" s="9"/>
    </row>
    <row r="91" ht="12.75" customHeight="1">
      <c r="A91" s="9"/>
      <c r="B91" s="9"/>
      <c r="C91" s="9"/>
      <c r="D91" s="9"/>
      <c r="E91" s="9"/>
      <c r="F91" s="469"/>
      <c r="G91" s="9"/>
    </row>
    <row r="92" ht="12.75" customHeight="1">
      <c r="A92" s="9"/>
      <c r="B92" s="9"/>
      <c r="C92" s="9"/>
      <c r="D92" s="9"/>
      <c r="E92" s="9"/>
      <c r="F92" s="469"/>
      <c r="G92" s="9"/>
    </row>
    <row r="93" ht="12.75" customHeight="1">
      <c r="A93" s="9"/>
      <c r="B93" s="9"/>
      <c r="C93" s="9"/>
      <c r="D93" s="9"/>
      <c r="E93" s="9"/>
      <c r="F93" s="469"/>
      <c r="G93" s="9"/>
    </row>
    <row r="94" ht="12.75" customHeight="1">
      <c r="A94" s="9"/>
      <c r="B94" s="9"/>
      <c r="C94" s="9"/>
      <c r="D94" s="9"/>
      <c r="E94" s="9"/>
      <c r="F94" s="469"/>
      <c r="G94" s="9"/>
    </row>
    <row r="95" ht="12.75" customHeight="1">
      <c r="A95" s="9"/>
      <c r="B95" s="9"/>
      <c r="C95" s="9"/>
      <c r="D95" s="9"/>
      <c r="E95" s="9"/>
      <c r="F95" s="469"/>
      <c r="G95" s="9"/>
    </row>
    <row r="96" ht="12.75" customHeight="1">
      <c r="A96" s="9"/>
      <c r="B96" s="9"/>
      <c r="C96" s="9"/>
      <c r="D96" s="9"/>
      <c r="E96" s="9"/>
      <c r="F96" s="469"/>
      <c r="G96" s="9"/>
    </row>
    <row r="97" ht="12.75" customHeight="1">
      <c r="A97" s="9"/>
      <c r="B97" s="9"/>
      <c r="C97" s="9"/>
      <c r="D97" s="9"/>
      <c r="E97" s="9"/>
      <c r="F97" s="469"/>
      <c r="G97" s="9"/>
    </row>
    <row r="98" ht="12.75" customHeight="1">
      <c r="A98" s="9"/>
      <c r="B98" s="9"/>
      <c r="C98" s="9"/>
      <c r="D98" s="9"/>
      <c r="E98" s="9"/>
      <c r="F98" s="469"/>
      <c r="G98" s="9"/>
    </row>
    <row r="99" ht="12.75" customHeight="1">
      <c r="A99" s="9"/>
      <c r="B99" s="9"/>
      <c r="C99" s="9"/>
      <c r="D99" s="9"/>
      <c r="E99" s="9"/>
      <c r="F99" s="469"/>
      <c r="G99" s="9"/>
    </row>
    <row r="100" ht="12.75" customHeight="1">
      <c r="A100" s="9"/>
      <c r="B100" s="9"/>
      <c r="C100" s="9"/>
      <c r="D100" s="9"/>
      <c r="E100" s="9"/>
      <c r="F100" s="469"/>
      <c r="G100" s="9"/>
    </row>
    <row r="101" ht="12.75" customHeight="1">
      <c r="A101" s="9"/>
      <c r="B101" s="9"/>
      <c r="C101" s="9"/>
      <c r="D101" s="9"/>
      <c r="E101" s="9"/>
      <c r="F101" s="469"/>
      <c r="G101" s="9"/>
    </row>
    <row r="102" ht="12.75" customHeight="1">
      <c r="A102" s="9"/>
      <c r="B102" s="9"/>
      <c r="C102" s="9"/>
      <c r="D102" s="9"/>
      <c r="E102" s="9"/>
      <c r="F102" s="469"/>
      <c r="G102" s="9"/>
    </row>
    <row r="103" ht="12.75" customHeight="1">
      <c r="A103" s="9"/>
      <c r="B103" s="9"/>
      <c r="C103" s="9"/>
      <c r="D103" s="9"/>
      <c r="E103" s="9"/>
      <c r="F103" s="469"/>
      <c r="G103" s="9"/>
    </row>
    <row r="104" ht="12.75" customHeight="1">
      <c r="A104" s="9"/>
      <c r="B104" s="9"/>
      <c r="C104" s="9"/>
      <c r="D104" s="9"/>
      <c r="E104" s="9"/>
      <c r="F104" s="469"/>
      <c r="G104" s="9"/>
    </row>
    <row r="105" ht="12.75" customHeight="1">
      <c r="A105" s="9"/>
      <c r="B105" s="9"/>
      <c r="C105" s="9"/>
      <c r="D105" s="9"/>
      <c r="E105" s="9"/>
      <c r="F105" s="469"/>
      <c r="G105" s="9"/>
    </row>
    <row r="106" ht="12.75" customHeight="1">
      <c r="A106" s="9"/>
      <c r="B106" s="9"/>
      <c r="C106" s="9"/>
      <c r="D106" s="9"/>
      <c r="E106" s="9"/>
      <c r="F106" s="469"/>
      <c r="G106" s="9"/>
    </row>
    <row r="107" ht="12.75" customHeight="1">
      <c r="A107" s="9"/>
      <c r="B107" s="9"/>
      <c r="C107" s="9"/>
      <c r="D107" s="9"/>
      <c r="E107" s="9"/>
      <c r="F107" s="469"/>
      <c r="G107" s="9"/>
    </row>
    <row r="108" ht="12.75" customHeight="1">
      <c r="A108" s="9"/>
      <c r="B108" s="9"/>
      <c r="C108" s="9"/>
      <c r="D108" s="9"/>
      <c r="E108" s="9"/>
      <c r="F108" s="469"/>
      <c r="G108" s="9"/>
    </row>
    <row r="109" ht="12.75" customHeight="1">
      <c r="A109" s="9"/>
      <c r="B109" s="9"/>
      <c r="C109" s="9"/>
      <c r="D109" s="9"/>
      <c r="E109" s="9"/>
      <c r="F109" s="469"/>
      <c r="G109" s="9"/>
    </row>
    <row r="110" ht="12.75" customHeight="1">
      <c r="A110" s="9"/>
      <c r="B110" s="9"/>
      <c r="C110" s="9"/>
      <c r="D110" s="9"/>
      <c r="E110" s="9"/>
      <c r="F110" s="469"/>
      <c r="G110" s="9"/>
    </row>
    <row r="111" ht="12.75" customHeight="1">
      <c r="A111" s="9"/>
      <c r="B111" s="9"/>
      <c r="C111" s="9"/>
      <c r="D111" s="9"/>
      <c r="E111" s="9"/>
      <c r="F111" s="469"/>
      <c r="G111" s="9"/>
    </row>
    <row r="112" ht="12.75" customHeight="1">
      <c r="A112" s="9"/>
      <c r="B112" s="9"/>
      <c r="C112" s="9"/>
      <c r="D112" s="9"/>
      <c r="E112" s="9"/>
      <c r="F112" s="469"/>
      <c r="G112" s="9"/>
    </row>
    <row r="113" ht="12.75" customHeight="1">
      <c r="A113" s="9"/>
      <c r="B113" s="9"/>
      <c r="C113" s="9"/>
      <c r="D113" s="9"/>
      <c r="E113" s="9"/>
      <c r="F113" s="469"/>
      <c r="G113" s="9"/>
    </row>
    <row r="114" ht="12.75" customHeight="1">
      <c r="A114" s="9"/>
      <c r="B114" s="9"/>
      <c r="C114" s="9"/>
      <c r="D114" s="9"/>
      <c r="E114" s="9"/>
      <c r="F114" s="469"/>
      <c r="G114" s="9"/>
    </row>
    <row r="115" ht="12.75" customHeight="1">
      <c r="A115" s="9"/>
      <c r="B115" s="9"/>
      <c r="C115" s="9"/>
      <c r="D115" s="9"/>
      <c r="E115" s="9"/>
      <c r="F115" s="469"/>
      <c r="G115" s="9"/>
    </row>
    <row r="116" ht="12.75" customHeight="1">
      <c r="A116" s="9"/>
      <c r="B116" s="9"/>
      <c r="C116" s="9"/>
      <c r="D116" s="9"/>
      <c r="E116" s="9"/>
      <c r="F116" s="469"/>
      <c r="G116" s="9"/>
    </row>
    <row r="117" ht="12.75" customHeight="1">
      <c r="A117" s="9"/>
      <c r="B117" s="9"/>
      <c r="C117" s="9"/>
      <c r="D117" s="9"/>
      <c r="E117" s="9"/>
      <c r="F117" s="469"/>
      <c r="G117" s="9"/>
    </row>
    <row r="118" ht="12.75" customHeight="1">
      <c r="A118" s="9"/>
      <c r="B118" s="9"/>
      <c r="C118" s="9"/>
      <c r="D118" s="9"/>
      <c r="E118" s="9"/>
      <c r="F118" s="469"/>
      <c r="G118" s="9"/>
    </row>
    <row r="119" ht="12.75" customHeight="1">
      <c r="A119" s="9"/>
      <c r="B119" s="9"/>
      <c r="C119" s="9"/>
      <c r="D119" s="9"/>
      <c r="E119" s="9"/>
      <c r="F119" s="469"/>
      <c r="G119" s="9"/>
    </row>
    <row r="120" ht="12.75" customHeight="1">
      <c r="A120" s="9"/>
      <c r="B120" s="9"/>
      <c r="C120" s="9"/>
      <c r="D120" s="9"/>
      <c r="E120" s="9"/>
      <c r="F120" s="469"/>
      <c r="G120" s="9"/>
    </row>
    <row r="121" ht="12.75" customHeight="1">
      <c r="A121" s="9"/>
      <c r="B121" s="9"/>
      <c r="C121" s="9"/>
      <c r="D121" s="9"/>
      <c r="E121" s="9"/>
      <c r="F121" s="469"/>
      <c r="G121" s="9"/>
    </row>
    <row r="122" ht="12.75" customHeight="1">
      <c r="A122" s="9"/>
      <c r="B122" s="9"/>
      <c r="C122" s="9"/>
      <c r="D122" s="9"/>
      <c r="E122" s="9"/>
      <c r="F122" s="469"/>
      <c r="G122" s="9"/>
    </row>
    <row r="123" ht="12.75" customHeight="1">
      <c r="A123" s="9"/>
      <c r="B123" s="9"/>
      <c r="C123" s="9"/>
      <c r="D123" s="9"/>
      <c r="E123" s="9"/>
      <c r="F123" s="469"/>
      <c r="G123" s="9"/>
    </row>
    <row r="124" ht="12.75" customHeight="1">
      <c r="A124" s="9"/>
      <c r="B124" s="9"/>
      <c r="C124" s="9"/>
      <c r="D124" s="9"/>
      <c r="E124" s="9"/>
      <c r="F124" s="469"/>
      <c r="G124" s="9"/>
    </row>
    <row r="125" ht="12.75" customHeight="1">
      <c r="A125" s="9"/>
      <c r="B125" s="9"/>
      <c r="C125" s="9"/>
      <c r="D125" s="9"/>
      <c r="E125" s="9"/>
      <c r="F125" s="469"/>
      <c r="G125" s="9"/>
    </row>
    <row r="126" ht="12.75" customHeight="1">
      <c r="A126" s="9"/>
      <c r="B126" s="9"/>
      <c r="C126" s="9"/>
      <c r="D126" s="9"/>
      <c r="E126" s="9"/>
      <c r="F126" s="469"/>
      <c r="G126" s="9"/>
    </row>
    <row r="127" ht="12.75" customHeight="1">
      <c r="A127" s="9"/>
      <c r="B127" s="9"/>
      <c r="C127" s="9"/>
      <c r="D127" s="9"/>
      <c r="E127" s="9"/>
      <c r="F127" s="469"/>
      <c r="G127" s="9"/>
    </row>
    <row r="128" ht="12.75" customHeight="1">
      <c r="A128" s="9"/>
      <c r="B128" s="9"/>
      <c r="C128" s="9"/>
      <c r="D128" s="9"/>
      <c r="E128" s="9"/>
      <c r="F128" s="469"/>
      <c r="G128" s="9"/>
    </row>
    <row r="129" ht="12.75" customHeight="1">
      <c r="A129" s="9"/>
      <c r="B129" s="9"/>
      <c r="C129" s="9"/>
      <c r="D129" s="9"/>
      <c r="E129" s="9"/>
      <c r="F129" s="469"/>
      <c r="G129" s="9"/>
    </row>
    <row r="130" ht="12.75" customHeight="1">
      <c r="A130" s="9"/>
      <c r="B130" s="9"/>
      <c r="C130" s="9"/>
      <c r="D130" s="9"/>
      <c r="E130" s="9"/>
      <c r="F130" s="469"/>
      <c r="G130" s="9"/>
    </row>
    <row r="131" ht="12.75" customHeight="1">
      <c r="A131" s="9"/>
      <c r="B131" s="9"/>
      <c r="C131" s="9"/>
      <c r="D131" s="9"/>
      <c r="E131" s="9"/>
      <c r="F131" s="469"/>
      <c r="G131" s="9"/>
    </row>
    <row r="132" ht="12.75" customHeight="1">
      <c r="A132" s="9"/>
      <c r="B132" s="9"/>
      <c r="C132" s="9"/>
      <c r="D132" s="9"/>
      <c r="E132" s="9"/>
      <c r="F132" s="469"/>
      <c r="G132" s="9"/>
    </row>
    <row r="133" ht="12.75" customHeight="1">
      <c r="A133" s="9"/>
      <c r="B133" s="9"/>
      <c r="C133" s="9"/>
      <c r="D133" s="9"/>
      <c r="E133" s="9"/>
      <c r="F133" s="469"/>
      <c r="G133" s="9"/>
    </row>
    <row r="134" ht="12.75" customHeight="1">
      <c r="A134" s="9"/>
      <c r="B134" s="9"/>
      <c r="C134" s="9"/>
      <c r="D134" s="9"/>
      <c r="E134" s="9"/>
      <c r="F134" s="469"/>
      <c r="G134" s="9"/>
    </row>
    <row r="135" ht="12.75" customHeight="1">
      <c r="A135" s="9"/>
      <c r="B135" s="9"/>
      <c r="C135" s="9"/>
      <c r="D135" s="9"/>
      <c r="E135" s="9"/>
      <c r="F135" s="469"/>
      <c r="G135" s="9"/>
    </row>
    <row r="136" ht="12.75" customHeight="1">
      <c r="A136" s="9"/>
      <c r="B136" s="9"/>
      <c r="C136" s="9"/>
      <c r="D136" s="9"/>
      <c r="E136" s="9"/>
      <c r="F136" s="469"/>
      <c r="G136" s="9"/>
    </row>
    <row r="137" ht="12.75" customHeight="1">
      <c r="A137" s="9"/>
      <c r="B137" s="9"/>
      <c r="C137" s="9"/>
      <c r="D137" s="9"/>
      <c r="E137" s="9"/>
      <c r="F137" s="469"/>
      <c r="G137" s="9"/>
    </row>
    <row r="138" ht="12.75" customHeight="1">
      <c r="A138" s="9"/>
      <c r="B138" s="9"/>
      <c r="C138" s="9"/>
      <c r="D138" s="9"/>
      <c r="E138" s="9"/>
      <c r="F138" s="469"/>
      <c r="G138" s="9"/>
    </row>
    <row r="139" ht="12.75" customHeight="1">
      <c r="A139" s="9"/>
      <c r="B139" s="9"/>
      <c r="C139" s="9"/>
      <c r="D139" s="9"/>
      <c r="E139" s="9"/>
      <c r="F139" s="469"/>
      <c r="G139" s="9"/>
    </row>
    <row r="140" ht="12.75" customHeight="1">
      <c r="A140" s="9"/>
      <c r="B140" s="9"/>
      <c r="C140" s="9"/>
      <c r="D140" s="9"/>
      <c r="E140" s="9"/>
      <c r="F140" s="469"/>
      <c r="G140" s="9"/>
    </row>
    <row r="141" ht="12.75" customHeight="1">
      <c r="A141" s="9"/>
      <c r="B141" s="9"/>
      <c r="C141" s="9"/>
      <c r="D141" s="9"/>
      <c r="E141" s="9"/>
      <c r="F141" s="469"/>
      <c r="G141" s="9"/>
    </row>
    <row r="142" ht="12.75" customHeight="1">
      <c r="A142" s="9"/>
      <c r="B142" s="9"/>
      <c r="C142" s="9"/>
      <c r="D142" s="9"/>
      <c r="E142" s="9"/>
      <c r="F142" s="469"/>
      <c r="G142" s="9"/>
    </row>
    <row r="143" ht="12.75" customHeight="1">
      <c r="A143" s="9"/>
      <c r="B143" s="9"/>
      <c r="C143" s="9"/>
      <c r="D143" s="9"/>
      <c r="E143" s="9"/>
      <c r="F143" s="469"/>
      <c r="G143" s="9"/>
    </row>
    <row r="144" ht="12.75" customHeight="1">
      <c r="A144" s="9"/>
      <c r="B144" s="9"/>
      <c r="C144" s="9"/>
      <c r="D144" s="9"/>
      <c r="E144" s="9"/>
      <c r="F144" s="469"/>
      <c r="G144" s="9"/>
    </row>
    <row r="145" ht="12.75" customHeight="1">
      <c r="A145" s="9"/>
      <c r="B145" s="9"/>
      <c r="C145" s="9"/>
      <c r="D145" s="9"/>
      <c r="E145" s="9"/>
      <c r="F145" s="469"/>
      <c r="G145" s="9"/>
    </row>
    <row r="146" ht="12.75" customHeight="1">
      <c r="A146" s="9"/>
      <c r="B146" s="9"/>
      <c r="C146" s="9"/>
      <c r="D146" s="9"/>
      <c r="E146" s="9"/>
      <c r="F146" s="469"/>
      <c r="G146" s="9"/>
    </row>
    <row r="147" ht="12.75" customHeight="1">
      <c r="A147" s="9"/>
      <c r="B147" s="9"/>
      <c r="C147" s="9"/>
      <c r="D147" s="9"/>
      <c r="E147" s="9"/>
      <c r="F147" s="469"/>
      <c r="G147" s="9"/>
    </row>
    <row r="148" ht="12.75" customHeight="1">
      <c r="A148" s="9"/>
      <c r="B148" s="9"/>
      <c r="C148" s="9"/>
      <c r="D148" s="9"/>
      <c r="E148" s="9"/>
      <c r="F148" s="469"/>
      <c r="G148" s="9"/>
    </row>
    <row r="149" ht="12.75" customHeight="1">
      <c r="A149" s="9"/>
      <c r="B149" s="9"/>
      <c r="C149" s="9"/>
      <c r="D149" s="9"/>
      <c r="E149" s="9"/>
      <c r="F149" s="469"/>
      <c r="G149" s="9"/>
    </row>
    <row r="150" ht="12.75" customHeight="1">
      <c r="A150" s="9"/>
      <c r="B150" s="9"/>
      <c r="C150" s="9"/>
      <c r="D150" s="9"/>
      <c r="E150" s="9"/>
      <c r="F150" s="469"/>
      <c r="G150" s="9"/>
    </row>
    <row r="151" ht="12.75" customHeight="1">
      <c r="A151" s="9"/>
      <c r="B151" s="9"/>
      <c r="C151" s="9"/>
      <c r="D151" s="9"/>
      <c r="E151" s="9"/>
      <c r="F151" s="469"/>
      <c r="G151" s="9"/>
    </row>
    <row r="152" ht="12.75" customHeight="1">
      <c r="A152" s="9"/>
      <c r="B152" s="9"/>
      <c r="C152" s="9"/>
      <c r="D152" s="9"/>
      <c r="E152" s="9"/>
      <c r="F152" s="469"/>
      <c r="G152" s="9"/>
    </row>
    <row r="153" ht="12.75" customHeight="1">
      <c r="A153" s="9"/>
      <c r="B153" s="9"/>
      <c r="C153" s="9"/>
      <c r="D153" s="9"/>
      <c r="E153" s="9"/>
      <c r="F153" s="469"/>
      <c r="G153" s="9"/>
    </row>
    <row r="154" ht="12.75" customHeight="1">
      <c r="A154" s="9"/>
      <c r="B154" s="9"/>
      <c r="C154" s="9"/>
      <c r="D154" s="9"/>
      <c r="E154" s="9"/>
      <c r="F154" s="469"/>
      <c r="G154" s="9"/>
    </row>
    <row r="155" ht="12.75" customHeight="1">
      <c r="A155" s="9"/>
      <c r="B155" s="9"/>
      <c r="C155" s="9"/>
      <c r="D155" s="9"/>
      <c r="E155" s="9"/>
      <c r="F155" s="469"/>
      <c r="G155" s="9"/>
    </row>
    <row r="156" ht="12.75" customHeight="1">
      <c r="A156" s="9"/>
      <c r="B156" s="9"/>
      <c r="C156" s="9"/>
      <c r="D156" s="9"/>
      <c r="E156" s="9"/>
      <c r="F156" s="469"/>
      <c r="G156" s="9"/>
    </row>
    <row r="157" ht="12.75" customHeight="1">
      <c r="A157" s="9"/>
      <c r="B157" s="9"/>
      <c r="C157" s="9"/>
      <c r="D157" s="9"/>
      <c r="E157" s="9"/>
      <c r="F157" s="469"/>
      <c r="G157" s="9"/>
    </row>
    <row r="158" ht="12.75" customHeight="1">
      <c r="A158" s="9"/>
      <c r="B158" s="9"/>
      <c r="C158" s="9"/>
      <c r="D158" s="9"/>
      <c r="E158" s="9"/>
      <c r="F158" s="469"/>
      <c r="G158" s="9"/>
    </row>
    <row r="159" ht="12.75" customHeight="1">
      <c r="A159" s="9"/>
      <c r="B159" s="9"/>
      <c r="C159" s="9"/>
      <c r="D159" s="9"/>
      <c r="E159" s="9"/>
      <c r="F159" s="469"/>
      <c r="G159" s="9"/>
    </row>
    <row r="160" ht="12.75" customHeight="1">
      <c r="A160" s="9"/>
      <c r="B160" s="9"/>
      <c r="C160" s="9"/>
      <c r="D160" s="9"/>
      <c r="E160" s="9"/>
      <c r="F160" s="469"/>
      <c r="G160" s="9"/>
    </row>
    <row r="161" ht="12.75" customHeight="1">
      <c r="A161" s="9"/>
      <c r="B161" s="9"/>
      <c r="C161" s="9"/>
      <c r="D161" s="9"/>
      <c r="E161" s="9"/>
      <c r="F161" s="469"/>
      <c r="G161" s="9"/>
    </row>
    <row r="162" ht="12.75" customHeight="1">
      <c r="A162" s="9"/>
      <c r="B162" s="9"/>
      <c r="C162" s="9"/>
      <c r="D162" s="9"/>
      <c r="E162" s="9"/>
      <c r="F162" s="469"/>
      <c r="G162" s="9"/>
    </row>
    <row r="163" ht="12.75" customHeight="1">
      <c r="A163" s="9"/>
      <c r="B163" s="9"/>
      <c r="C163" s="9"/>
      <c r="D163" s="9"/>
      <c r="E163" s="9"/>
      <c r="F163" s="469"/>
      <c r="G163" s="9"/>
    </row>
    <row r="164" ht="12.75" customHeight="1">
      <c r="A164" s="9"/>
      <c r="B164" s="9"/>
      <c r="C164" s="9"/>
      <c r="D164" s="9"/>
      <c r="E164" s="9"/>
      <c r="F164" s="469"/>
      <c r="G164" s="9"/>
    </row>
    <row r="165" ht="12.75" customHeight="1">
      <c r="A165" s="9"/>
      <c r="B165" s="9"/>
      <c r="C165" s="9"/>
      <c r="D165" s="9"/>
      <c r="E165" s="9"/>
      <c r="F165" s="469"/>
      <c r="G165" s="9"/>
    </row>
    <row r="166" ht="12.75" customHeight="1">
      <c r="A166" s="9"/>
      <c r="B166" s="9"/>
      <c r="C166" s="9"/>
      <c r="D166" s="9"/>
      <c r="E166" s="9"/>
      <c r="F166" s="469"/>
      <c r="G166" s="9"/>
    </row>
    <row r="167" ht="12.75" customHeight="1">
      <c r="A167" s="9"/>
      <c r="B167" s="9"/>
      <c r="C167" s="9"/>
      <c r="D167" s="9"/>
      <c r="E167" s="9"/>
      <c r="F167" s="469"/>
      <c r="G167" s="9"/>
    </row>
    <row r="168" ht="12.75" customHeight="1">
      <c r="A168" s="9"/>
      <c r="B168" s="9"/>
      <c r="C168" s="9"/>
      <c r="D168" s="9"/>
      <c r="E168" s="9"/>
      <c r="F168" s="469"/>
      <c r="G168" s="9"/>
    </row>
    <row r="169" ht="12.75" customHeight="1">
      <c r="A169" s="9"/>
      <c r="B169" s="9"/>
      <c r="C169" s="9"/>
      <c r="D169" s="9"/>
      <c r="E169" s="9"/>
      <c r="F169" s="469"/>
      <c r="G169" s="9"/>
    </row>
    <row r="170" ht="12.75" customHeight="1">
      <c r="A170" s="9"/>
      <c r="B170" s="9"/>
      <c r="C170" s="9"/>
      <c r="D170" s="9"/>
      <c r="E170" s="9"/>
      <c r="F170" s="469"/>
      <c r="G170" s="9"/>
    </row>
    <row r="171" ht="12.75" customHeight="1">
      <c r="A171" s="9"/>
      <c r="B171" s="9"/>
      <c r="C171" s="9"/>
      <c r="D171" s="9"/>
      <c r="E171" s="9"/>
      <c r="F171" s="469"/>
      <c r="G171" s="9"/>
    </row>
    <row r="172" ht="12.75" customHeight="1">
      <c r="A172" s="9"/>
      <c r="B172" s="9"/>
      <c r="C172" s="9"/>
      <c r="D172" s="9"/>
      <c r="E172" s="9"/>
      <c r="F172" s="469"/>
      <c r="G172" s="9"/>
    </row>
    <row r="173" ht="12.75" customHeight="1">
      <c r="A173" s="9"/>
      <c r="B173" s="9"/>
      <c r="C173" s="9"/>
      <c r="D173" s="9"/>
      <c r="E173" s="9"/>
      <c r="F173" s="469"/>
      <c r="G173" s="9"/>
    </row>
    <row r="174" ht="12.75" customHeight="1">
      <c r="A174" s="9"/>
      <c r="B174" s="9"/>
      <c r="C174" s="9"/>
      <c r="D174" s="9"/>
      <c r="E174" s="9"/>
      <c r="F174" s="469"/>
      <c r="G174" s="9"/>
    </row>
    <row r="175" ht="12.75" customHeight="1">
      <c r="A175" s="9"/>
      <c r="B175" s="9"/>
      <c r="C175" s="9"/>
      <c r="D175" s="9"/>
      <c r="E175" s="9"/>
      <c r="F175" s="469"/>
      <c r="G175" s="9"/>
    </row>
    <row r="176" ht="12.75" customHeight="1">
      <c r="A176" s="9"/>
      <c r="B176" s="9"/>
      <c r="C176" s="9"/>
      <c r="D176" s="9"/>
      <c r="E176" s="9"/>
      <c r="F176" s="469"/>
      <c r="G176" s="9"/>
    </row>
    <row r="177" ht="12.75" customHeight="1">
      <c r="A177" s="9"/>
      <c r="B177" s="9"/>
      <c r="C177" s="9"/>
      <c r="D177" s="9"/>
      <c r="E177" s="9"/>
      <c r="F177" s="469"/>
      <c r="G177" s="9"/>
    </row>
    <row r="178" ht="12.75" customHeight="1">
      <c r="A178" s="9"/>
      <c r="B178" s="9"/>
      <c r="C178" s="9"/>
      <c r="D178" s="9"/>
      <c r="E178" s="9"/>
      <c r="F178" s="469"/>
      <c r="G178" s="9"/>
    </row>
    <row r="179" ht="12.75" customHeight="1">
      <c r="A179" s="9"/>
      <c r="B179" s="9"/>
      <c r="C179" s="9"/>
      <c r="D179" s="9"/>
      <c r="E179" s="9"/>
      <c r="F179" s="469"/>
      <c r="G179" s="9"/>
    </row>
    <row r="180" ht="12.75" customHeight="1">
      <c r="A180" s="9"/>
      <c r="B180" s="9"/>
      <c r="C180" s="9"/>
      <c r="D180" s="9"/>
      <c r="E180" s="9"/>
      <c r="F180" s="469"/>
      <c r="G180" s="9"/>
    </row>
    <row r="181" ht="12.75" customHeight="1">
      <c r="A181" s="9"/>
      <c r="B181" s="9"/>
      <c r="C181" s="9"/>
      <c r="D181" s="9"/>
      <c r="E181" s="9"/>
      <c r="F181" s="469"/>
      <c r="G181" s="9"/>
    </row>
    <row r="182" ht="12.75" customHeight="1">
      <c r="A182" s="9"/>
      <c r="B182" s="9"/>
      <c r="C182" s="9"/>
      <c r="D182" s="9"/>
      <c r="E182" s="9"/>
      <c r="F182" s="469"/>
      <c r="G182" s="9"/>
    </row>
    <row r="183" ht="12.75" customHeight="1">
      <c r="A183" s="9"/>
      <c r="B183" s="9"/>
      <c r="C183" s="9"/>
      <c r="D183" s="9"/>
      <c r="E183" s="9"/>
      <c r="F183" s="469"/>
      <c r="G183" s="9"/>
    </row>
    <row r="184" ht="12.75" customHeight="1">
      <c r="A184" s="9"/>
      <c r="B184" s="9"/>
      <c r="C184" s="9"/>
      <c r="D184" s="9"/>
      <c r="E184" s="9"/>
      <c r="F184" s="469"/>
      <c r="G184" s="9"/>
    </row>
    <row r="185" ht="12.75" customHeight="1">
      <c r="A185" s="9"/>
      <c r="B185" s="9"/>
      <c r="C185" s="9"/>
      <c r="D185" s="9"/>
      <c r="E185" s="9"/>
      <c r="F185" s="469"/>
      <c r="G185" s="9"/>
    </row>
    <row r="186" ht="12.75" customHeight="1">
      <c r="A186" s="9"/>
      <c r="B186" s="9"/>
      <c r="C186" s="9"/>
      <c r="D186" s="9"/>
      <c r="E186" s="9"/>
      <c r="F186" s="469"/>
      <c r="G186" s="9"/>
    </row>
    <row r="187" ht="12.75" customHeight="1">
      <c r="A187" s="9"/>
      <c r="B187" s="9"/>
      <c r="C187" s="9"/>
      <c r="D187" s="9"/>
      <c r="E187" s="9"/>
      <c r="F187" s="469"/>
      <c r="G187" s="9"/>
    </row>
    <row r="188" ht="12.75" customHeight="1">
      <c r="A188" s="9"/>
      <c r="B188" s="9"/>
      <c r="C188" s="9"/>
      <c r="D188" s="9"/>
      <c r="E188" s="9"/>
      <c r="F188" s="469"/>
      <c r="G188" s="9"/>
    </row>
    <row r="189" ht="12.75" customHeight="1">
      <c r="A189" s="9"/>
      <c r="B189" s="9"/>
      <c r="C189" s="9"/>
      <c r="D189" s="9"/>
      <c r="E189" s="9"/>
      <c r="F189" s="469"/>
      <c r="G189" s="9"/>
    </row>
    <row r="190" ht="12.75" customHeight="1">
      <c r="A190" s="9"/>
      <c r="B190" s="9"/>
      <c r="C190" s="9"/>
      <c r="D190" s="9"/>
      <c r="E190" s="9"/>
      <c r="F190" s="469"/>
      <c r="G190" s="9"/>
    </row>
    <row r="191" ht="12.75" customHeight="1">
      <c r="A191" s="9"/>
      <c r="B191" s="9"/>
      <c r="C191" s="9"/>
      <c r="D191" s="9"/>
      <c r="E191" s="9"/>
      <c r="F191" s="469"/>
      <c r="G191" s="9"/>
    </row>
    <row r="192" ht="12.75" customHeight="1">
      <c r="A192" s="9"/>
      <c r="B192" s="9"/>
      <c r="C192" s="9"/>
      <c r="D192" s="9"/>
      <c r="E192" s="9"/>
      <c r="F192" s="469"/>
      <c r="G192" s="9"/>
    </row>
    <row r="193" ht="12.75" customHeight="1">
      <c r="A193" s="9"/>
      <c r="B193" s="9"/>
      <c r="C193" s="9"/>
      <c r="D193" s="9"/>
      <c r="E193" s="9"/>
      <c r="F193" s="469"/>
      <c r="G193" s="9"/>
    </row>
    <row r="194" ht="12.75" customHeight="1">
      <c r="A194" s="9"/>
      <c r="B194" s="9"/>
      <c r="C194" s="9"/>
      <c r="D194" s="9"/>
      <c r="E194" s="9"/>
      <c r="F194" s="469"/>
      <c r="G194" s="9"/>
    </row>
    <row r="195" ht="12.75" customHeight="1">
      <c r="A195" s="9"/>
      <c r="B195" s="9"/>
      <c r="C195" s="9"/>
      <c r="D195" s="9"/>
      <c r="E195" s="9"/>
      <c r="F195" s="469"/>
      <c r="G195" s="9"/>
    </row>
    <row r="196" ht="12.75" customHeight="1">
      <c r="A196" s="9"/>
      <c r="B196" s="9"/>
      <c r="C196" s="9"/>
      <c r="D196" s="9"/>
      <c r="E196" s="9"/>
      <c r="F196" s="469"/>
      <c r="G196" s="9"/>
    </row>
    <row r="197" ht="12.75" customHeight="1">
      <c r="A197" s="9"/>
      <c r="B197" s="9"/>
      <c r="C197" s="9"/>
      <c r="D197" s="9"/>
      <c r="E197" s="9"/>
      <c r="F197" s="469"/>
      <c r="G197" s="9"/>
    </row>
    <row r="198" ht="12.75" customHeight="1">
      <c r="A198" s="9"/>
      <c r="B198" s="9"/>
      <c r="C198" s="9"/>
      <c r="D198" s="9"/>
      <c r="E198" s="9"/>
      <c r="F198" s="469"/>
      <c r="G198" s="9"/>
    </row>
    <row r="199" ht="12.75" customHeight="1">
      <c r="A199" s="9"/>
      <c r="B199" s="9"/>
      <c r="C199" s="9"/>
      <c r="D199" s="9"/>
      <c r="E199" s="9"/>
      <c r="F199" s="469"/>
      <c r="G199" s="9"/>
    </row>
    <row r="200" ht="12.75" customHeight="1">
      <c r="A200" s="9"/>
      <c r="B200" s="9"/>
      <c r="C200" s="9"/>
      <c r="D200" s="9"/>
      <c r="E200" s="9"/>
      <c r="F200" s="469"/>
      <c r="G200" s="9"/>
    </row>
    <row r="201" ht="12.75" customHeight="1">
      <c r="A201" s="9"/>
      <c r="B201" s="9"/>
      <c r="C201" s="9"/>
      <c r="D201" s="9"/>
      <c r="E201" s="9"/>
      <c r="F201" s="469"/>
      <c r="G201" s="9"/>
    </row>
    <row r="202" ht="12.75" customHeight="1">
      <c r="A202" s="9"/>
      <c r="B202" s="9"/>
      <c r="C202" s="9"/>
      <c r="D202" s="9"/>
      <c r="E202" s="9"/>
      <c r="F202" s="469"/>
      <c r="G202" s="9"/>
    </row>
    <row r="203" ht="12.75" customHeight="1">
      <c r="A203" s="9"/>
      <c r="B203" s="9"/>
      <c r="C203" s="9"/>
      <c r="D203" s="9"/>
      <c r="E203" s="9"/>
      <c r="F203" s="469"/>
      <c r="G203" s="9"/>
    </row>
    <row r="204" ht="12.75" customHeight="1">
      <c r="A204" s="9"/>
      <c r="B204" s="9"/>
      <c r="C204" s="9"/>
      <c r="D204" s="9"/>
      <c r="E204" s="9"/>
      <c r="F204" s="469"/>
      <c r="G204" s="9"/>
    </row>
    <row r="205" ht="12.75" customHeight="1">
      <c r="A205" s="9"/>
      <c r="B205" s="9"/>
      <c r="C205" s="9"/>
      <c r="D205" s="9"/>
      <c r="E205" s="9"/>
      <c r="F205" s="469"/>
      <c r="G205" s="9"/>
    </row>
    <row r="206" ht="12.75" customHeight="1">
      <c r="A206" s="9"/>
      <c r="B206" s="9"/>
      <c r="C206" s="9"/>
      <c r="D206" s="9"/>
      <c r="E206" s="9"/>
      <c r="F206" s="469"/>
      <c r="G206" s="9"/>
    </row>
    <row r="207" ht="12.75" customHeight="1">
      <c r="A207" s="9"/>
      <c r="B207" s="9"/>
      <c r="C207" s="9"/>
      <c r="D207" s="9"/>
      <c r="E207" s="9"/>
      <c r="F207" s="469"/>
      <c r="G207" s="9"/>
    </row>
    <row r="208" ht="12.75" customHeight="1">
      <c r="A208" s="9"/>
      <c r="B208" s="9"/>
      <c r="C208" s="9"/>
      <c r="D208" s="9"/>
      <c r="E208" s="9"/>
      <c r="F208" s="469"/>
      <c r="G208" s="9"/>
    </row>
    <row r="209" ht="12.75" customHeight="1">
      <c r="A209" s="9"/>
      <c r="B209" s="9"/>
      <c r="C209" s="9"/>
      <c r="D209" s="9"/>
      <c r="E209" s="9"/>
      <c r="F209" s="469"/>
      <c r="G209" s="9"/>
    </row>
    <row r="210" ht="12.75" customHeight="1">
      <c r="A210" s="9"/>
      <c r="B210" s="9"/>
      <c r="C210" s="9"/>
      <c r="D210" s="9"/>
      <c r="E210" s="9"/>
      <c r="F210" s="469"/>
      <c r="G210" s="9"/>
    </row>
    <row r="211" ht="12.75" customHeight="1">
      <c r="A211" s="9"/>
      <c r="B211" s="9"/>
      <c r="C211" s="9"/>
      <c r="D211" s="9"/>
      <c r="E211" s="9"/>
      <c r="F211" s="469"/>
      <c r="G211" s="9"/>
    </row>
    <row r="212" ht="12.75" customHeight="1">
      <c r="A212" s="9"/>
      <c r="B212" s="9"/>
      <c r="C212" s="9"/>
      <c r="D212" s="9"/>
      <c r="E212" s="9"/>
      <c r="F212" s="469"/>
      <c r="G212" s="9"/>
    </row>
    <row r="213" ht="12.75" customHeight="1">
      <c r="A213" s="9"/>
      <c r="B213" s="9"/>
      <c r="C213" s="9"/>
      <c r="D213" s="9"/>
      <c r="E213" s="9"/>
      <c r="F213" s="469"/>
      <c r="G213" s="9"/>
    </row>
    <row r="214" ht="12.75" customHeight="1">
      <c r="A214" s="9"/>
      <c r="B214" s="9"/>
      <c r="C214" s="9"/>
      <c r="D214" s="9"/>
      <c r="E214" s="9"/>
      <c r="F214" s="469"/>
      <c r="G214" s="9"/>
    </row>
    <row r="215" ht="12.75" customHeight="1">
      <c r="A215" s="9"/>
      <c r="B215" s="9"/>
      <c r="C215" s="9"/>
      <c r="D215" s="9"/>
      <c r="E215" s="9"/>
      <c r="F215" s="469"/>
      <c r="G215" s="9"/>
    </row>
    <row r="216" ht="12.75" customHeight="1">
      <c r="A216" s="9"/>
      <c r="B216" s="9"/>
      <c r="C216" s="9"/>
      <c r="D216" s="9"/>
      <c r="E216" s="9"/>
      <c r="F216" s="469"/>
      <c r="G216" s="9"/>
    </row>
    <row r="217" ht="12.75" customHeight="1">
      <c r="A217" s="9"/>
      <c r="B217" s="9"/>
      <c r="C217" s="9"/>
      <c r="D217" s="9"/>
      <c r="E217" s="9"/>
      <c r="F217" s="469"/>
      <c r="G217" s="9"/>
    </row>
    <row r="218" ht="12.75" customHeight="1">
      <c r="A218" s="9"/>
      <c r="B218" s="9"/>
      <c r="C218" s="9"/>
      <c r="D218" s="9"/>
      <c r="E218" s="9"/>
      <c r="F218" s="469"/>
      <c r="G218" s="9"/>
    </row>
    <row r="219" ht="12.75" customHeight="1">
      <c r="A219" s="9"/>
      <c r="B219" s="9"/>
      <c r="C219" s="9"/>
      <c r="D219" s="9"/>
      <c r="E219" s="9"/>
      <c r="F219" s="469"/>
      <c r="G219" s="9"/>
    </row>
    <row r="220" ht="12.75" customHeight="1">
      <c r="A220" s="9"/>
      <c r="B220" s="9"/>
      <c r="C220" s="9"/>
      <c r="D220" s="9"/>
      <c r="E220" s="9"/>
      <c r="F220" s="469"/>
      <c r="G220" s="9"/>
    </row>
  </sheetData>
  <pageMargins left="0.7875" right="0.7875" top="1.025" bottom="1.025" header="0" footer="0"/>
  <pageSetup firstPageNumber="1" fitToHeight="1" fitToWidth="1" scale="100" useFirstPageNumber="0" orientation="portrait" pageOrder="downThenOver"/>
  <headerFooter>
    <oddHeader>&amp;C&amp;"Calibri,Regular"&amp;10&amp;K000000ASCENSORES Y MONTA AUTOS</oddHeader>
    <oddFooter>&amp;C&amp;"Calibri,Regular"&amp;10&amp;K000000Página &amp;P</oddFooter>
  </headerFooter>
</worksheet>
</file>

<file path=xl/worksheets/sheet11.xml><?xml version="1.0" encoding="utf-8"?>
<worksheet xmlns:r="http://schemas.openxmlformats.org/officeDocument/2006/relationships" xmlns="http://schemas.openxmlformats.org/spreadsheetml/2006/main">
  <dimension ref="A1:G220"/>
  <sheetViews>
    <sheetView workbookViewId="0" showGridLines="0" defaultGridColor="1"/>
  </sheetViews>
  <sheetFormatPr defaultColWidth="14.4" defaultRowHeight="15" customHeight="1" outlineLevelRow="0" outlineLevelCol="0"/>
  <cols>
    <col min="1" max="1" width="10.8125" style="479" customWidth="1"/>
    <col min="2" max="2" width="18" style="479" customWidth="1"/>
    <col min="3" max="3" width="10.8125" style="479" customWidth="1"/>
    <col min="4" max="4" width="29.4219" style="479" customWidth="1"/>
    <col min="5" max="5" width="14.8125" style="479" customWidth="1"/>
    <col min="6" max="6" width="14.6016" style="479" customWidth="1"/>
    <col min="7" max="7" width="8.8125" style="479" customWidth="1"/>
    <col min="8" max="16384" width="14.4219" style="479" customWidth="1"/>
  </cols>
  <sheetData>
    <row r="1" ht="12.75" customHeight="1">
      <c r="A1" t="s" s="259">
        <v>1136</v>
      </c>
      <c r="B1" t="s" s="260">
        <v>23</v>
      </c>
      <c r="C1" t="s" s="260">
        <v>24</v>
      </c>
      <c r="D1" t="s" s="260">
        <v>1137</v>
      </c>
      <c r="E1" t="s" s="260">
        <v>26</v>
      </c>
      <c r="F1" t="s" s="260">
        <v>27</v>
      </c>
      <c r="G1" t="s" s="371">
        <v>28</v>
      </c>
    </row>
    <row r="2" ht="12.75" customHeight="1">
      <c r="A2" s="290">
        <v>41914</v>
      </c>
      <c r="B2" t="s" s="480">
        <v>1600</v>
      </c>
      <c r="C2" t="s" s="274">
        <v>67</v>
      </c>
      <c r="D2" t="s" s="375">
        <v>68</v>
      </c>
      <c r="E2" s="376">
        <v>449467.2</v>
      </c>
      <c r="F2" s="481">
        <v>32600</v>
      </c>
      <c r="G2" s="376">
        <v>13.8</v>
      </c>
    </row>
    <row r="3" ht="12.75" customHeight="1">
      <c r="A3" s="287">
        <v>41921</v>
      </c>
      <c r="B3" t="s" s="482">
        <v>1152</v>
      </c>
      <c r="C3" t="s" s="259">
        <v>67</v>
      </c>
      <c r="D3" t="s" s="293">
        <v>1153</v>
      </c>
      <c r="E3" s="373">
        <v>322719.6</v>
      </c>
      <c r="F3" s="483">
        <v>23730</v>
      </c>
      <c r="G3" s="373">
        <v>13.6</v>
      </c>
    </row>
    <row r="4" ht="12.75" customHeight="1">
      <c r="A4" s="290">
        <v>41947</v>
      </c>
      <c r="B4" s="275"/>
      <c r="C4" t="s" s="274">
        <v>67</v>
      </c>
      <c r="D4" t="s" s="375">
        <v>69</v>
      </c>
      <c r="E4" s="376">
        <v>450040.5</v>
      </c>
      <c r="F4" s="481">
        <v>32600</v>
      </c>
      <c r="G4" s="376">
        <v>13.8</v>
      </c>
    </row>
    <row r="5" ht="12.75" customHeight="1">
      <c r="A5" s="287">
        <v>42241</v>
      </c>
      <c r="B5" t="s" s="484">
        <v>1601</v>
      </c>
      <c r="C5" t="s" s="259">
        <v>67</v>
      </c>
      <c r="D5" t="s" s="293">
        <v>85</v>
      </c>
      <c r="E5" s="373">
        <v>599821.21</v>
      </c>
      <c r="F5" s="483">
        <v>37800</v>
      </c>
      <c r="G5" s="373">
        <v>15.87</v>
      </c>
    </row>
    <row r="6" ht="12.75" customHeight="1">
      <c r="A6" s="290">
        <v>42279</v>
      </c>
      <c r="B6" s="275"/>
      <c r="C6" t="s" s="274">
        <v>67</v>
      </c>
      <c r="D6" t="s" s="375">
        <v>87</v>
      </c>
      <c r="E6" s="376">
        <v>1623051.8</v>
      </c>
      <c r="F6" s="481">
        <v>102078</v>
      </c>
      <c r="G6" s="376">
        <v>15.9</v>
      </c>
    </row>
    <row r="7" ht="12.75" customHeight="1">
      <c r="A7" s="287">
        <v>43173</v>
      </c>
      <c r="B7" t="s" s="293">
        <v>1602</v>
      </c>
      <c r="C7" t="s" s="259">
        <v>67</v>
      </c>
      <c r="D7" t="s" s="293">
        <v>87</v>
      </c>
      <c r="E7" s="373">
        <v>666325</v>
      </c>
      <c r="F7" s="483">
        <v>32503</v>
      </c>
      <c r="G7" s="373" cm="1">
        <f t="array" ref="G7">E7/F7</f>
        <v>20.5004153462757</v>
      </c>
    </row>
    <row r="8" ht="12.75" customHeight="1">
      <c r="A8" s="290">
        <v>43187</v>
      </c>
      <c r="B8" t="s" s="375">
        <v>1603</v>
      </c>
      <c r="C8" t="s" s="274">
        <v>67</v>
      </c>
      <c r="D8" t="s" s="375">
        <v>200</v>
      </c>
      <c r="E8" s="376">
        <v>19374.43</v>
      </c>
      <c r="F8" s="481">
        <v>946</v>
      </c>
      <c r="G8" s="376" cm="1">
        <f t="array" ref="G8">E8/F8</f>
        <v>20.4803699788584</v>
      </c>
    </row>
    <row r="9" ht="12.75" customHeight="1">
      <c r="A9" s="37"/>
      <c r="B9" s="42"/>
      <c r="C9" s="42"/>
      <c r="D9" s="42"/>
      <c r="E9" s="485"/>
      <c r="F9" s="486"/>
      <c r="G9" s="37"/>
    </row>
    <row r="10" ht="12.75" customHeight="1">
      <c r="A10" s="24"/>
      <c r="B10" t="s" s="378">
        <v>13</v>
      </c>
      <c r="C10" s="472"/>
      <c r="D10" s="472"/>
      <c r="E10" s="380" cm="1">
        <f t="array" ref="E10">SUM(E2:E8)</f>
        <v>4130799.74</v>
      </c>
      <c r="F10" s="473" cm="1">
        <f t="array" ref="F10">SUM(F2:F8)</f>
        <v>262257</v>
      </c>
      <c r="G10" s="18"/>
    </row>
    <row r="11" ht="12.75" customHeight="1">
      <c r="A11" s="9"/>
      <c r="B11" s="382"/>
      <c r="C11" s="382"/>
      <c r="D11" s="382"/>
      <c r="E11" s="474"/>
      <c r="F11" s="487"/>
      <c r="G11" s="9"/>
    </row>
    <row r="12" ht="12.75" customHeight="1">
      <c r="A12" s="9"/>
      <c r="B12" s="9"/>
      <c r="C12" s="9"/>
      <c r="D12" s="9"/>
      <c r="E12" s="468"/>
      <c r="F12" s="488"/>
      <c r="G12" s="9"/>
    </row>
    <row r="13" ht="12.75" customHeight="1">
      <c r="A13" s="9"/>
      <c r="B13" s="9"/>
      <c r="C13" s="9"/>
      <c r="D13" s="9"/>
      <c r="E13" s="468"/>
      <c r="F13" s="488"/>
      <c r="G13" s="9"/>
    </row>
    <row r="14" ht="12.75" customHeight="1">
      <c r="A14" s="9"/>
      <c r="B14" s="9"/>
      <c r="C14" s="9"/>
      <c r="D14" s="9"/>
      <c r="E14" s="468"/>
      <c r="F14" s="488"/>
      <c r="G14" s="9"/>
    </row>
    <row r="15" ht="12.75" customHeight="1">
      <c r="A15" s="9"/>
      <c r="B15" s="9"/>
      <c r="C15" s="9"/>
      <c r="D15" s="9"/>
      <c r="E15" s="468"/>
      <c r="F15" s="488"/>
      <c r="G15" s="9"/>
    </row>
    <row r="16" ht="12.75" customHeight="1">
      <c r="A16" s="9"/>
      <c r="B16" s="9"/>
      <c r="C16" s="9"/>
      <c r="D16" s="9"/>
      <c r="E16" s="468"/>
      <c r="F16" s="488"/>
      <c r="G16" s="9"/>
    </row>
    <row r="17" ht="12.75" customHeight="1">
      <c r="A17" s="9"/>
      <c r="B17" s="9"/>
      <c r="C17" s="9"/>
      <c r="D17" s="9"/>
      <c r="E17" s="468"/>
      <c r="F17" s="488"/>
      <c r="G17" s="9"/>
    </row>
    <row r="18" ht="12.75" customHeight="1">
      <c r="A18" s="9"/>
      <c r="B18" s="9"/>
      <c r="C18" s="9"/>
      <c r="D18" s="9"/>
      <c r="E18" s="468"/>
      <c r="F18" s="488"/>
      <c r="G18" s="9"/>
    </row>
    <row r="19" ht="12.75" customHeight="1">
      <c r="A19" s="9"/>
      <c r="B19" s="9"/>
      <c r="C19" s="9"/>
      <c r="D19" s="9"/>
      <c r="E19" s="468"/>
      <c r="F19" s="488"/>
      <c r="G19" s="9"/>
    </row>
    <row r="20" ht="12.75" customHeight="1">
      <c r="A20" s="9"/>
      <c r="B20" s="9"/>
      <c r="C20" s="9"/>
      <c r="D20" s="9"/>
      <c r="E20" s="468"/>
      <c r="F20" s="488"/>
      <c r="G20" s="9"/>
    </row>
    <row r="21" ht="12.75" customHeight="1">
      <c r="A21" s="9"/>
      <c r="B21" s="9"/>
      <c r="C21" s="9"/>
      <c r="D21" s="9"/>
      <c r="E21" s="468"/>
      <c r="F21" s="488"/>
      <c r="G21" s="9"/>
    </row>
    <row r="22" ht="12.75" customHeight="1">
      <c r="A22" s="9"/>
      <c r="B22" s="9"/>
      <c r="C22" s="9"/>
      <c r="D22" s="9"/>
      <c r="E22" s="468"/>
      <c r="F22" s="488"/>
      <c r="G22" s="9"/>
    </row>
    <row r="23" ht="12.75" customHeight="1">
      <c r="A23" s="9"/>
      <c r="B23" s="9"/>
      <c r="C23" s="9"/>
      <c r="D23" s="9"/>
      <c r="E23" s="468"/>
      <c r="F23" s="488"/>
      <c r="G23" s="9"/>
    </row>
    <row r="24" ht="12.75" customHeight="1">
      <c r="A24" s="9"/>
      <c r="B24" s="9"/>
      <c r="C24" s="9"/>
      <c r="D24" s="9"/>
      <c r="E24" s="468"/>
      <c r="F24" s="488"/>
      <c r="G24" s="9"/>
    </row>
    <row r="25" ht="12.75" customHeight="1">
      <c r="A25" s="9"/>
      <c r="B25" s="9"/>
      <c r="C25" s="9"/>
      <c r="D25" s="9"/>
      <c r="E25" s="468"/>
      <c r="F25" s="488"/>
      <c r="G25" s="9"/>
    </row>
    <row r="26" ht="12.75" customHeight="1">
      <c r="A26" s="9"/>
      <c r="B26" s="9"/>
      <c r="C26" s="9"/>
      <c r="D26" s="9"/>
      <c r="E26" s="468"/>
      <c r="F26" s="488"/>
      <c r="G26" s="9"/>
    </row>
    <row r="27" ht="12.75" customHeight="1">
      <c r="A27" s="9"/>
      <c r="B27" s="9"/>
      <c r="C27" s="9"/>
      <c r="D27" s="9"/>
      <c r="E27" s="468"/>
      <c r="F27" s="488"/>
      <c r="G27" s="9"/>
    </row>
    <row r="28" ht="12.75" customHeight="1">
      <c r="A28" s="9"/>
      <c r="B28" s="9"/>
      <c r="C28" s="9"/>
      <c r="D28" s="9"/>
      <c r="E28" s="468"/>
      <c r="F28" s="488"/>
      <c r="G28" s="9"/>
    </row>
    <row r="29" ht="12.75" customHeight="1">
      <c r="A29" s="9"/>
      <c r="B29" s="9"/>
      <c r="C29" s="9"/>
      <c r="D29" s="9"/>
      <c r="E29" s="468"/>
      <c r="F29" s="488"/>
      <c r="G29" s="9"/>
    </row>
    <row r="30" ht="12.75" customHeight="1">
      <c r="A30" s="9"/>
      <c r="B30" s="9"/>
      <c r="C30" s="9"/>
      <c r="D30" s="9"/>
      <c r="E30" s="468"/>
      <c r="F30" s="488"/>
      <c r="G30" s="9"/>
    </row>
    <row r="31" ht="12.75" customHeight="1">
      <c r="A31" s="9"/>
      <c r="B31" s="9"/>
      <c r="C31" s="9"/>
      <c r="D31" s="9"/>
      <c r="E31" s="468"/>
      <c r="F31" s="488"/>
      <c r="G31" s="9"/>
    </row>
    <row r="32" ht="12.75" customHeight="1">
      <c r="A32" s="9"/>
      <c r="B32" s="9"/>
      <c r="C32" s="9"/>
      <c r="D32" s="9"/>
      <c r="E32" s="468"/>
      <c r="F32" s="488"/>
      <c r="G32" s="9"/>
    </row>
    <row r="33" ht="12.75" customHeight="1">
      <c r="A33" s="9"/>
      <c r="B33" s="9"/>
      <c r="C33" s="9"/>
      <c r="D33" s="9"/>
      <c r="E33" s="468"/>
      <c r="F33" s="488"/>
      <c r="G33" s="9"/>
    </row>
    <row r="34" ht="12.75" customHeight="1">
      <c r="A34" s="9"/>
      <c r="B34" s="9"/>
      <c r="C34" s="9"/>
      <c r="D34" s="9"/>
      <c r="E34" s="468"/>
      <c r="F34" s="488"/>
      <c r="G34" s="9"/>
    </row>
    <row r="35" ht="12.75" customHeight="1">
      <c r="A35" s="9"/>
      <c r="B35" s="9"/>
      <c r="C35" s="9"/>
      <c r="D35" s="9"/>
      <c r="E35" s="468"/>
      <c r="F35" s="488"/>
      <c r="G35" s="9"/>
    </row>
    <row r="36" ht="12.75" customHeight="1">
      <c r="A36" s="9"/>
      <c r="B36" s="9"/>
      <c r="C36" s="9"/>
      <c r="D36" s="9"/>
      <c r="E36" s="468"/>
      <c r="F36" s="488"/>
      <c r="G36" s="9"/>
    </row>
    <row r="37" ht="12.75" customHeight="1">
      <c r="A37" s="9"/>
      <c r="B37" s="9"/>
      <c r="C37" s="9"/>
      <c r="D37" s="9"/>
      <c r="E37" s="468"/>
      <c r="F37" s="488"/>
      <c r="G37" s="9"/>
    </row>
    <row r="38" ht="12.75" customHeight="1">
      <c r="A38" s="9"/>
      <c r="B38" s="9"/>
      <c r="C38" s="9"/>
      <c r="D38" s="9"/>
      <c r="E38" s="468"/>
      <c r="F38" s="488"/>
      <c r="G38" s="9"/>
    </row>
    <row r="39" ht="12.75" customHeight="1">
      <c r="A39" s="9"/>
      <c r="B39" s="9"/>
      <c r="C39" s="9"/>
      <c r="D39" s="9"/>
      <c r="E39" s="468"/>
      <c r="F39" s="488"/>
      <c r="G39" s="9"/>
    </row>
    <row r="40" ht="12.75" customHeight="1">
      <c r="A40" s="9"/>
      <c r="B40" s="9"/>
      <c r="C40" s="9"/>
      <c r="D40" s="9"/>
      <c r="E40" s="468"/>
      <c r="F40" s="488"/>
      <c r="G40" s="9"/>
    </row>
    <row r="41" ht="12.75" customHeight="1">
      <c r="A41" s="9"/>
      <c r="B41" s="9"/>
      <c r="C41" s="9"/>
      <c r="D41" s="9"/>
      <c r="E41" s="468"/>
      <c r="F41" s="488"/>
      <c r="G41" s="9"/>
    </row>
    <row r="42" ht="12.75" customHeight="1">
      <c r="A42" s="9"/>
      <c r="B42" s="9"/>
      <c r="C42" s="9"/>
      <c r="D42" s="9"/>
      <c r="E42" s="468"/>
      <c r="F42" s="488"/>
      <c r="G42" s="9"/>
    </row>
    <row r="43" ht="12.75" customHeight="1">
      <c r="A43" s="9"/>
      <c r="B43" s="9"/>
      <c r="C43" s="9"/>
      <c r="D43" s="9"/>
      <c r="E43" s="468"/>
      <c r="F43" s="488"/>
      <c r="G43" s="9"/>
    </row>
    <row r="44" ht="12.75" customHeight="1">
      <c r="A44" s="9"/>
      <c r="B44" s="9"/>
      <c r="C44" s="9"/>
      <c r="D44" s="9"/>
      <c r="E44" s="468"/>
      <c r="F44" s="488"/>
      <c r="G44" s="9"/>
    </row>
    <row r="45" ht="12.75" customHeight="1">
      <c r="A45" s="9"/>
      <c r="B45" s="9"/>
      <c r="C45" s="9"/>
      <c r="D45" s="9"/>
      <c r="E45" s="468"/>
      <c r="F45" s="488"/>
      <c r="G45" s="9"/>
    </row>
    <row r="46" ht="12.75" customHeight="1">
      <c r="A46" s="9"/>
      <c r="B46" s="9"/>
      <c r="C46" s="9"/>
      <c r="D46" s="9"/>
      <c r="E46" s="468"/>
      <c r="F46" s="488"/>
      <c r="G46" s="9"/>
    </row>
    <row r="47" ht="12.75" customHeight="1">
      <c r="A47" s="9"/>
      <c r="B47" s="9"/>
      <c r="C47" s="9"/>
      <c r="D47" s="9"/>
      <c r="E47" s="468"/>
      <c r="F47" s="488"/>
      <c r="G47" s="9"/>
    </row>
    <row r="48" ht="12.75" customHeight="1">
      <c r="A48" s="9"/>
      <c r="B48" s="9"/>
      <c r="C48" s="9"/>
      <c r="D48" s="9"/>
      <c r="E48" s="468"/>
      <c r="F48" s="488"/>
      <c r="G48" s="9"/>
    </row>
    <row r="49" ht="12.75" customHeight="1">
      <c r="A49" s="9"/>
      <c r="B49" s="9"/>
      <c r="C49" s="9"/>
      <c r="D49" s="9"/>
      <c r="E49" s="468"/>
      <c r="F49" s="488"/>
      <c r="G49" s="9"/>
    </row>
    <row r="50" ht="12.75" customHeight="1">
      <c r="A50" s="9"/>
      <c r="B50" s="9"/>
      <c r="C50" s="9"/>
      <c r="D50" s="9"/>
      <c r="E50" s="468"/>
      <c r="F50" s="488"/>
      <c r="G50" s="9"/>
    </row>
    <row r="51" ht="12.75" customHeight="1">
      <c r="A51" s="9"/>
      <c r="B51" s="9"/>
      <c r="C51" s="9"/>
      <c r="D51" s="9"/>
      <c r="E51" s="468"/>
      <c r="F51" s="488"/>
      <c r="G51" s="9"/>
    </row>
    <row r="52" ht="12.75" customHeight="1">
      <c r="A52" s="9"/>
      <c r="B52" s="9"/>
      <c r="C52" s="9"/>
      <c r="D52" s="9"/>
      <c r="E52" s="468"/>
      <c r="F52" s="488"/>
      <c r="G52" s="9"/>
    </row>
    <row r="53" ht="12.75" customHeight="1">
      <c r="A53" s="9"/>
      <c r="B53" s="9"/>
      <c r="C53" s="9"/>
      <c r="D53" s="9"/>
      <c r="E53" s="468"/>
      <c r="F53" s="488"/>
      <c r="G53" s="9"/>
    </row>
    <row r="54" ht="12.75" customHeight="1">
      <c r="A54" s="9"/>
      <c r="B54" s="9"/>
      <c r="C54" s="9"/>
      <c r="D54" s="9"/>
      <c r="E54" s="468"/>
      <c r="F54" s="488"/>
      <c r="G54" s="9"/>
    </row>
    <row r="55" ht="12.75" customHeight="1">
      <c r="A55" s="9"/>
      <c r="B55" s="9"/>
      <c r="C55" s="9"/>
      <c r="D55" s="9"/>
      <c r="E55" s="468"/>
      <c r="F55" s="488"/>
      <c r="G55" s="9"/>
    </row>
    <row r="56" ht="12.75" customHeight="1">
      <c r="A56" s="9"/>
      <c r="B56" s="9"/>
      <c r="C56" s="9"/>
      <c r="D56" s="9"/>
      <c r="E56" s="468"/>
      <c r="F56" s="488"/>
      <c r="G56" s="9"/>
    </row>
    <row r="57" ht="12.75" customHeight="1">
      <c r="A57" s="9"/>
      <c r="B57" s="9"/>
      <c r="C57" s="9"/>
      <c r="D57" s="9"/>
      <c r="E57" s="468"/>
      <c r="F57" s="488"/>
      <c r="G57" s="9"/>
    </row>
    <row r="58" ht="12.75" customHeight="1">
      <c r="A58" s="9"/>
      <c r="B58" s="9"/>
      <c r="C58" s="9"/>
      <c r="D58" s="9"/>
      <c r="E58" s="468"/>
      <c r="F58" s="488"/>
      <c r="G58" s="9"/>
    </row>
    <row r="59" ht="12.75" customHeight="1">
      <c r="A59" s="9"/>
      <c r="B59" s="9"/>
      <c r="C59" s="9"/>
      <c r="D59" s="9"/>
      <c r="E59" s="468"/>
      <c r="F59" s="488"/>
      <c r="G59" s="9"/>
    </row>
    <row r="60" ht="12.75" customHeight="1">
      <c r="A60" s="9"/>
      <c r="B60" s="9"/>
      <c r="C60" s="9"/>
      <c r="D60" s="9"/>
      <c r="E60" s="468"/>
      <c r="F60" s="488"/>
      <c r="G60" s="9"/>
    </row>
    <row r="61" ht="12.75" customHeight="1">
      <c r="A61" s="9"/>
      <c r="B61" s="9"/>
      <c r="C61" s="9"/>
      <c r="D61" s="9"/>
      <c r="E61" s="468"/>
      <c r="F61" s="488"/>
      <c r="G61" s="9"/>
    </row>
    <row r="62" ht="12.75" customHeight="1">
      <c r="A62" s="9"/>
      <c r="B62" s="9"/>
      <c r="C62" s="9"/>
      <c r="D62" s="9"/>
      <c r="E62" s="468"/>
      <c r="F62" s="488"/>
      <c r="G62" s="9"/>
    </row>
    <row r="63" ht="12.75" customHeight="1">
      <c r="A63" s="9"/>
      <c r="B63" s="9"/>
      <c r="C63" s="9"/>
      <c r="D63" s="9"/>
      <c r="E63" s="468"/>
      <c r="F63" s="488"/>
      <c r="G63" s="9"/>
    </row>
    <row r="64" ht="12.75" customHeight="1">
      <c r="A64" s="9"/>
      <c r="B64" s="9"/>
      <c r="C64" s="9"/>
      <c r="D64" s="9"/>
      <c r="E64" s="468"/>
      <c r="F64" s="488"/>
      <c r="G64" s="9"/>
    </row>
    <row r="65" ht="12.75" customHeight="1">
      <c r="A65" s="9"/>
      <c r="B65" s="9"/>
      <c r="C65" s="9"/>
      <c r="D65" s="9"/>
      <c r="E65" s="468"/>
      <c r="F65" s="488"/>
      <c r="G65" s="9"/>
    </row>
    <row r="66" ht="12.75" customHeight="1">
      <c r="A66" s="9"/>
      <c r="B66" s="9"/>
      <c r="C66" s="9"/>
      <c r="D66" s="9"/>
      <c r="E66" s="468"/>
      <c r="F66" s="488"/>
      <c r="G66" s="9"/>
    </row>
    <row r="67" ht="12.75" customHeight="1">
      <c r="A67" s="9"/>
      <c r="B67" s="9"/>
      <c r="C67" s="9"/>
      <c r="D67" s="9"/>
      <c r="E67" s="468"/>
      <c r="F67" s="488"/>
      <c r="G67" s="9"/>
    </row>
    <row r="68" ht="12.75" customHeight="1">
      <c r="A68" s="9"/>
      <c r="B68" s="9"/>
      <c r="C68" s="9"/>
      <c r="D68" s="9"/>
      <c r="E68" s="468"/>
      <c r="F68" s="488"/>
      <c r="G68" s="9"/>
    </row>
    <row r="69" ht="12.75" customHeight="1">
      <c r="A69" s="9"/>
      <c r="B69" s="9"/>
      <c r="C69" s="9"/>
      <c r="D69" s="9"/>
      <c r="E69" s="468"/>
      <c r="F69" s="488"/>
      <c r="G69" s="9"/>
    </row>
    <row r="70" ht="12.75" customHeight="1">
      <c r="A70" s="9"/>
      <c r="B70" s="9"/>
      <c r="C70" s="9"/>
      <c r="D70" s="9"/>
      <c r="E70" s="468"/>
      <c r="F70" s="488"/>
      <c r="G70" s="9"/>
    </row>
    <row r="71" ht="12.75" customHeight="1">
      <c r="A71" s="9"/>
      <c r="B71" s="9"/>
      <c r="C71" s="9"/>
      <c r="D71" s="9"/>
      <c r="E71" s="468"/>
      <c r="F71" s="488"/>
      <c r="G71" s="9"/>
    </row>
    <row r="72" ht="12.75" customHeight="1">
      <c r="A72" s="9"/>
      <c r="B72" s="9"/>
      <c r="C72" s="9"/>
      <c r="D72" s="9"/>
      <c r="E72" s="468"/>
      <c r="F72" s="488"/>
      <c r="G72" s="9"/>
    </row>
    <row r="73" ht="12.75" customHeight="1">
      <c r="A73" s="9"/>
      <c r="B73" s="9"/>
      <c r="C73" s="9"/>
      <c r="D73" s="9"/>
      <c r="E73" s="468"/>
      <c r="F73" s="488"/>
      <c r="G73" s="9"/>
    </row>
    <row r="74" ht="12.75" customHeight="1">
      <c r="A74" s="9"/>
      <c r="B74" s="9"/>
      <c r="C74" s="9"/>
      <c r="D74" s="9"/>
      <c r="E74" s="468"/>
      <c r="F74" s="488"/>
      <c r="G74" s="9"/>
    </row>
    <row r="75" ht="12.75" customHeight="1">
      <c r="A75" s="9"/>
      <c r="B75" s="9"/>
      <c r="C75" s="9"/>
      <c r="D75" s="9"/>
      <c r="E75" s="468"/>
      <c r="F75" s="488"/>
      <c r="G75" s="9"/>
    </row>
    <row r="76" ht="12.75" customHeight="1">
      <c r="A76" s="9"/>
      <c r="B76" s="9"/>
      <c r="C76" s="9"/>
      <c r="D76" s="9"/>
      <c r="E76" s="468"/>
      <c r="F76" s="488"/>
      <c r="G76" s="9"/>
    </row>
    <row r="77" ht="12.75" customHeight="1">
      <c r="A77" s="9"/>
      <c r="B77" s="9"/>
      <c r="C77" s="9"/>
      <c r="D77" s="9"/>
      <c r="E77" s="468"/>
      <c r="F77" s="488"/>
      <c r="G77" s="9"/>
    </row>
    <row r="78" ht="12.75" customHeight="1">
      <c r="A78" s="9"/>
      <c r="B78" s="9"/>
      <c r="C78" s="9"/>
      <c r="D78" s="9"/>
      <c r="E78" s="468"/>
      <c r="F78" s="488"/>
      <c r="G78" s="9"/>
    </row>
    <row r="79" ht="12.75" customHeight="1">
      <c r="A79" s="9"/>
      <c r="B79" s="9"/>
      <c r="C79" s="9"/>
      <c r="D79" s="9"/>
      <c r="E79" s="468"/>
      <c r="F79" s="488"/>
      <c r="G79" s="9"/>
    </row>
    <row r="80" ht="12.75" customHeight="1">
      <c r="A80" s="9"/>
      <c r="B80" s="9"/>
      <c r="C80" s="9"/>
      <c r="D80" s="9"/>
      <c r="E80" s="468"/>
      <c r="F80" s="488"/>
      <c r="G80" s="9"/>
    </row>
    <row r="81" ht="12.75" customHeight="1">
      <c r="A81" s="9"/>
      <c r="B81" s="9"/>
      <c r="C81" s="9"/>
      <c r="D81" s="9"/>
      <c r="E81" s="468"/>
      <c r="F81" s="488"/>
      <c r="G81" s="9"/>
    </row>
    <row r="82" ht="12.75" customHeight="1">
      <c r="A82" s="9"/>
      <c r="B82" s="9"/>
      <c r="C82" s="9"/>
      <c r="D82" s="9"/>
      <c r="E82" s="468"/>
      <c r="F82" s="488"/>
      <c r="G82" s="9"/>
    </row>
    <row r="83" ht="12.75" customHeight="1">
      <c r="A83" s="9"/>
      <c r="B83" s="9"/>
      <c r="C83" s="9"/>
      <c r="D83" s="9"/>
      <c r="E83" s="468"/>
      <c r="F83" s="488"/>
      <c r="G83" s="9"/>
    </row>
    <row r="84" ht="12.75" customHeight="1">
      <c r="A84" s="9"/>
      <c r="B84" s="9"/>
      <c r="C84" s="9"/>
      <c r="D84" s="9"/>
      <c r="E84" s="468"/>
      <c r="F84" s="488"/>
      <c r="G84" s="9"/>
    </row>
    <row r="85" ht="12.75" customHeight="1">
      <c r="A85" s="9"/>
      <c r="B85" s="9"/>
      <c r="C85" s="9"/>
      <c r="D85" s="9"/>
      <c r="E85" s="468"/>
      <c r="F85" s="488"/>
      <c r="G85" s="9"/>
    </row>
    <row r="86" ht="12.75" customHeight="1">
      <c r="A86" s="9"/>
      <c r="B86" s="9"/>
      <c r="C86" s="9"/>
      <c r="D86" s="9"/>
      <c r="E86" s="468"/>
      <c r="F86" s="488"/>
      <c r="G86" s="9"/>
    </row>
    <row r="87" ht="12.75" customHeight="1">
      <c r="A87" s="9"/>
      <c r="B87" s="9"/>
      <c r="C87" s="9"/>
      <c r="D87" s="9"/>
      <c r="E87" s="468"/>
      <c r="F87" s="488"/>
      <c r="G87" s="9"/>
    </row>
    <row r="88" ht="12.75" customHeight="1">
      <c r="A88" s="9"/>
      <c r="B88" s="9"/>
      <c r="C88" s="9"/>
      <c r="D88" s="9"/>
      <c r="E88" s="468"/>
      <c r="F88" s="488"/>
      <c r="G88" s="9"/>
    </row>
    <row r="89" ht="12.75" customHeight="1">
      <c r="A89" s="9"/>
      <c r="B89" s="9"/>
      <c r="C89" s="9"/>
      <c r="D89" s="9"/>
      <c r="E89" s="468"/>
      <c r="F89" s="488"/>
      <c r="G89" s="9"/>
    </row>
    <row r="90" ht="12.75" customHeight="1">
      <c r="A90" s="9"/>
      <c r="B90" s="9"/>
      <c r="C90" s="9"/>
      <c r="D90" s="9"/>
      <c r="E90" s="468"/>
      <c r="F90" s="488"/>
      <c r="G90" s="9"/>
    </row>
    <row r="91" ht="12.75" customHeight="1">
      <c r="A91" s="9"/>
      <c r="B91" s="9"/>
      <c r="C91" s="9"/>
      <c r="D91" s="9"/>
      <c r="E91" s="468"/>
      <c r="F91" s="488"/>
      <c r="G91" s="9"/>
    </row>
    <row r="92" ht="12.75" customHeight="1">
      <c r="A92" s="9"/>
      <c r="B92" s="9"/>
      <c r="C92" s="9"/>
      <c r="D92" s="9"/>
      <c r="E92" s="468"/>
      <c r="F92" s="488"/>
      <c r="G92" s="9"/>
    </row>
    <row r="93" ht="12.75" customHeight="1">
      <c r="A93" s="9"/>
      <c r="B93" s="9"/>
      <c r="C93" s="9"/>
      <c r="D93" s="9"/>
      <c r="E93" s="468"/>
      <c r="F93" s="488"/>
      <c r="G93" s="9"/>
    </row>
    <row r="94" ht="12.75" customHeight="1">
      <c r="A94" s="9"/>
      <c r="B94" s="9"/>
      <c r="C94" s="9"/>
      <c r="D94" s="9"/>
      <c r="E94" s="468"/>
      <c r="F94" s="488"/>
      <c r="G94" s="9"/>
    </row>
    <row r="95" ht="12.75" customHeight="1">
      <c r="A95" s="9"/>
      <c r="B95" s="9"/>
      <c r="C95" s="9"/>
      <c r="D95" s="9"/>
      <c r="E95" s="468"/>
      <c r="F95" s="488"/>
      <c r="G95" s="9"/>
    </row>
    <row r="96" ht="12.75" customHeight="1">
      <c r="A96" s="9"/>
      <c r="B96" s="9"/>
      <c r="C96" s="9"/>
      <c r="D96" s="9"/>
      <c r="E96" s="468"/>
      <c r="F96" s="488"/>
      <c r="G96" s="9"/>
    </row>
    <row r="97" ht="12.75" customHeight="1">
      <c r="A97" s="9"/>
      <c r="B97" s="9"/>
      <c r="C97" s="9"/>
      <c r="D97" s="9"/>
      <c r="E97" s="468"/>
      <c r="F97" s="488"/>
      <c r="G97" s="9"/>
    </row>
    <row r="98" ht="12.75" customHeight="1">
      <c r="A98" s="9"/>
      <c r="B98" s="9"/>
      <c r="C98" s="9"/>
      <c r="D98" s="9"/>
      <c r="E98" s="468"/>
      <c r="F98" s="488"/>
      <c r="G98" s="9"/>
    </row>
    <row r="99" ht="12.75" customHeight="1">
      <c r="A99" s="9"/>
      <c r="B99" s="9"/>
      <c r="C99" s="9"/>
      <c r="D99" s="9"/>
      <c r="E99" s="468"/>
      <c r="F99" s="488"/>
      <c r="G99" s="9"/>
    </row>
    <row r="100" ht="12.75" customHeight="1">
      <c r="A100" s="9"/>
      <c r="B100" s="9"/>
      <c r="C100" s="9"/>
      <c r="D100" s="9"/>
      <c r="E100" s="468"/>
      <c r="F100" s="488"/>
      <c r="G100" s="9"/>
    </row>
    <row r="101" ht="12.75" customHeight="1">
      <c r="A101" s="9"/>
      <c r="B101" s="9"/>
      <c r="C101" s="9"/>
      <c r="D101" s="9"/>
      <c r="E101" s="468"/>
      <c r="F101" s="488"/>
      <c r="G101" s="9"/>
    </row>
    <row r="102" ht="12.75" customHeight="1">
      <c r="A102" s="9"/>
      <c r="B102" s="9"/>
      <c r="C102" s="9"/>
      <c r="D102" s="9"/>
      <c r="E102" s="468"/>
      <c r="F102" s="488"/>
      <c r="G102" s="9"/>
    </row>
    <row r="103" ht="12.75" customHeight="1">
      <c r="A103" s="9"/>
      <c r="B103" s="9"/>
      <c r="C103" s="9"/>
      <c r="D103" s="9"/>
      <c r="E103" s="468"/>
      <c r="F103" s="488"/>
      <c r="G103" s="9"/>
    </row>
    <row r="104" ht="12.75" customHeight="1">
      <c r="A104" s="9"/>
      <c r="B104" s="9"/>
      <c r="C104" s="9"/>
      <c r="D104" s="9"/>
      <c r="E104" s="468"/>
      <c r="F104" s="488"/>
      <c r="G104" s="9"/>
    </row>
    <row r="105" ht="12.75" customHeight="1">
      <c r="A105" s="9"/>
      <c r="B105" s="9"/>
      <c r="C105" s="9"/>
      <c r="D105" s="9"/>
      <c r="E105" s="468"/>
      <c r="F105" s="488"/>
      <c r="G105" s="9"/>
    </row>
    <row r="106" ht="12.75" customHeight="1">
      <c r="A106" s="9"/>
      <c r="B106" s="9"/>
      <c r="C106" s="9"/>
      <c r="D106" s="9"/>
      <c r="E106" s="468"/>
      <c r="F106" s="488"/>
      <c r="G106" s="9"/>
    </row>
    <row r="107" ht="12.75" customHeight="1">
      <c r="A107" s="9"/>
      <c r="B107" s="9"/>
      <c r="C107" s="9"/>
      <c r="D107" s="9"/>
      <c r="E107" s="468"/>
      <c r="F107" s="488"/>
      <c r="G107" s="9"/>
    </row>
    <row r="108" ht="12.75" customHeight="1">
      <c r="A108" s="9"/>
      <c r="B108" s="9"/>
      <c r="C108" s="9"/>
      <c r="D108" s="9"/>
      <c r="E108" s="468"/>
      <c r="F108" s="488"/>
      <c r="G108" s="9"/>
    </row>
    <row r="109" ht="12.75" customHeight="1">
      <c r="A109" s="9"/>
      <c r="B109" s="9"/>
      <c r="C109" s="9"/>
      <c r="D109" s="9"/>
      <c r="E109" s="468"/>
      <c r="F109" s="488"/>
      <c r="G109" s="9"/>
    </row>
    <row r="110" ht="12.75" customHeight="1">
      <c r="A110" s="9"/>
      <c r="B110" s="9"/>
      <c r="C110" s="9"/>
      <c r="D110" s="9"/>
      <c r="E110" s="468"/>
      <c r="F110" s="488"/>
      <c r="G110" s="9"/>
    </row>
    <row r="111" ht="12.75" customHeight="1">
      <c r="A111" s="9"/>
      <c r="B111" s="9"/>
      <c r="C111" s="9"/>
      <c r="D111" s="9"/>
      <c r="E111" s="468"/>
      <c r="F111" s="488"/>
      <c r="G111" s="9"/>
    </row>
    <row r="112" ht="12.75" customHeight="1">
      <c r="A112" s="9"/>
      <c r="B112" s="9"/>
      <c r="C112" s="9"/>
      <c r="D112" s="9"/>
      <c r="E112" s="468"/>
      <c r="F112" s="488"/>
      <c r="G112" s="9"/>
    </row>
    <row r="113" ht="12.75" customHeight="1">
      <c r="A113" s="9"/>
      <c r="B113" s="9"/>
      <c r="C113" s="9"/>
      <c r="D113" s="9"/>
      <c r="E113" s="468"/>
      <c r="F113" s="488"/>
      <c r="G113" s="9"/>
    </row>
    <row r="114" ht="12.75" customHeight="1">
      <c r="A114" s="9"/>
      <c r="B114" s="9"/>
      <c r="C114" s="9"/>
      <c r="D114" s="9"/>
      <c r="E114" s="468"/>
      <c r="F114" s="488"/>
      <c r="G114" s="9"/>
    </row>
    <row r="115" ht="12.75" customHeight="1">
      <c r="A115" s="9"/>
      <c r="B115" s="9"/>
      <c r="C115" s="9"/>
      <c r="D115" s="9"/>
      <c r="E115" s="468"/>
      <c r="F115" s="488"/>
      <c r="G115" s="9"/>
    </row>
    <row r="116" ht="12.75" customHeight="1">
      <c r="A116" s="9"/>
      <c r="B116" s="9"/>
      <c r="C116" s="9"/>
      <c r="D116" s="9"/>
      <c r="E116" s="468"/>
      <c r="F116" s="488"/>
      <c r="G116" s="9"/>
    </row>
    <row r="117" ht="12.75" customHeight="1">
      <c r="A117" s="9"/>
      <c r="B117" s="9"/>
      <c r="C117" s="9"/>
      <c r="D117" s="9"/>
      <c r="E117" s="468"/>
      <c r="F117" s="488"/>
      <c r="G117" s="9"/>
    </row>
    <row r="118" ht="12.75" customHeight="1">
      <c r="A118" s="9"/>
      <c r="B118" s="9"/>
      <c r="C118" s="9"/>
      <c r="D118" s="9"/>
      <c r="E118" s="468"/>
      <c r="F118" s="488"/>
      <c r="G118" s="9"/>
    </row>
    <row r="119" ht="12.75" customHeight="1">
      <c r="A119" s="9"/>
      <c r="B119" s="9"/>
      <c r="C119" s="9"/>
      <c r="D119" s="9"/>
      <c r="E119" s="468"/>
      <c r="F119" s="488"/>
      <c r="G119" s="9"/>
    </row>
    <row r="120" ht="12.75" customHeight="1">
      <c r="A120" s="9"/>
      <c r="B120" s="9"/>
      <c r="C120" s="9"/>
      <c r="D120" s="9"/>
      <c r="E120" s="468"/>
      <c r="F120" s="488"/>
      <c r="G120" s="9"/>
    </row>
    <row r="121" ht="12.75" customHeight="1">
      <c r="A121" s="9"/>
      <c r="B121" s="9"/>
      <c r="C121" s="9"/>
      <c r="D121" s="9"/>
      <c r="E121" s="468"/>
      <c r="F121" s="488"/>
      <c r="G121" s="9"/>
    </row>
    <row r="122" ht="12.75" customHeight="1">
      <c r="A122" s="9"/>
      <c r="B122" s="9"/>
      <c r="C122" s="9"/>
      <c r="D122" s="9"/>
      <c r="E122" s="468"/>
      <c r="F122" s="488"/>
      <c r="G122" s="9"/>
    </row>
    <row r="123" ht="12.75" customHeight="1">
      <c r="A123" s="9"/>
      <c r="B123" s="9"/>
      <c r="C123" s="9"/>
      <c r="D123" s="9"/>
      <c r="E123" s="468"/>
      <c r="F123" s="488"/>
      <c r="G123" s="9"/>
    </row>
    <row r="124" ht="12.75" customHeight="1">
      <c r="A124" s="9"/>
      <c r="B124" s="9"/>
      <c r="C124" s="9"/>
      <c r="D124" s="9"/>
      <c r="E124" s="468"/>
      <c r="F124" s="488"/>
      <c r="G124" s="9"/>
    </row>
    <row r="125" ht="12.75" customHeight="1">
      <c r="A125" s="9"/>
      <c r="B125" s="9"/>
      <c r="C125" s="9"/>
      <c r="D125" s="9"/>
      <c r="E125" s="468"/>
      <c r="F125" s="488"/>
      <c r="G125" s="9"/>
    </row>
    <row r="126" ht="12.75" customHeight="1">
      <c r="A126" s="9"/>
      <c r="B126" s="9"/>
      <c r="C126" s="9"/>
      <c r="D126" s="9"/>
      <c r="E126" s="468"/>
      <c r="F126" s="488"/>
      <c r="G126" s="9"/>
    </row>
    <row r="127" ht="12.75" customHeight="1">
      <c r="A127" s="9"/>
      <c r="B127" s="9"/>
      <c r="C127" s="9"/>
      <c r="D127" s="9"/>
      <c r="E127" s="468"/>
      <c r="F127" s="488"/>
      <c r="G127" s="9"/>
    </row>
    <row r="128" ht="12.75" customHeight="1">
      <c r="A128" s="9"/>
      <c r="B128" s="9"/>
      <c r="C128" s="9"/>
      <c r="D128" s="9"/>
      <c r="E128" s="468"/>
      <c r="F128" s="488"/>
      <c r="G128" s="9"/>
    </row>
    <row r="129" ht="12.75" customHeight="1">
      <c r="A129" s="9"/>
      <c r="B129" s="9"/>
      <c r="C129" s="9"/>
      <c r="D129" s="9"/>
      <c r="E129" s="468"/>
      <c r="F129" s="488"/>
      <c r="G129" s="9"/>
    </row>
    <row r="130" ht="12.75" customHeight="1">
      <c r="A130" s="9"/>
      <c r="B130" s="9"/>
      <c r="C130" s="9"/>
      <c r="D130" s="9"/>
      <c r="E130" s="468"/>
      <c r="F130" s="488"/>
      <c r="G130" s="9"/>
    </row>
    <row r="131" ht="12.75" customHeight="1">
      <c r="A131" s="9"/>
      <c r="B131" s="9"/>
      <c r="C131" s="9"/>
      <c r="D131" s="9"/>
      <c r="E131" s="468"/>
      <c r="F131" s="488"/>
      <c r="G131" s="9"/>
    </row>
    <row r="132" ht="12.75" customHeight="1">
      <c r="A132" s="9"/>
      <c r="B132" s="9"/>
      <c r="C132" s="9"/>
      <c r="D132" s="9"/>
      <c r="E132" s="468"/>
      <c r="F132" s="488"/>
      <c r="G132" s="9"/>
    </row>
    <row r="133" ht="12.75" customHeight="1">
      <c r="A133" s="9"/>
      <c r="B133" s="9"/>
      <c r="C133" s="9"/>
      <c r="D133" s="9"/>
      <c r="E133" s="468"/>
      <c r="F133" s="488"/>
      <c r="G133" s="9"/>
    </row>
    <row r="134" ht="12.75" customHeight="1">
      <c r="A134" s="9"/>
      <c r="B134" s="9"/>
      <c r="C134" s="9"/>
      <c r="D134" s="9"/>
      <c r="E134" s="468"/>
      <c r="F134" s="488"/>
      <c r="G134" s="9"/>
    </row>
    <row r="135" ht="12.75" customHeight="1">
      <c r="A135" s="9"/>
      <c r="B135" s="9"/>
      <c r="C135" s="9"/>
      <c r="D135" s="9"/>
      <c r="E135" s="468"/>
      <c r="F135" s="488"/>
      <c r="G135" s="9"/>
    </row>
    <row r="136" ht="12.75" customHeight="1">
      <c r="A136" s="9"/>
      <c r="B136" s="9"/>
      <c r="C136" s="9"/>
      <c r="D136" s="9"/>
      <c r="E136" s="468"/>
      <c r="F136" s="488"/>
      <c r="G136" s="9"/>
    </row>
    <row r="137" ht="12.75" customHeight="1">
      <c r="A137" s="9"/>
      <c r="B137" s="9"/>
      <c r="C137" s="9"/>
      <c r="D137" s="9"/>
      <c r="E137" s="468"/>
      <c r="F137" s="488"/>
      <c r="G137" s="9"/>
    </row>
    <row r="138" ht="12.75" customHeight="1">
      <c r="A138" s="9"/>
      <c r="B138" s="9"/>
      <c r="C138" s="9"/>
      <c r="D138" s="9"/>
      <c r="E138" s="468"/>
      <c r="F138" s="488"/>
      <c r="G138" s="9"/>
    </row>
    <row r="139" ht="12.75" customHeight="1">
      <c r="A139" s="9"/>
      <c r="B139" s="9"/>
      <c r="C139" s="9"/>
      <c r="D139" s="9"/>
      <c r="E139" s="468"/>
      <c r="F139" s="488"/>
      <c r="G139" s="9"/>
    </row>
    <row r="140" ht="12.75" customHeight="1">
      <c r="A140" s="9"/>
      <c r="B140" s="9"/>
      <c r="C140" s="9"/>
      <c r="D140" s="9"/>
      <c r="E140" s="468"/>
      <c r="F140" s="488"/>
      <c r="G140" s="9"/>
    </row>
    <row r="141" ht="12.75" customHeight="1">
      <c r="A141" s="9"/>
      <c r="B141" s="9"/>
      <c r="C141" s="9"/>
      <c r="D141" s="9"/>
      <c r="E141" s="468"/>
      <c r="F141" s="488"/>
      <c r="G141" s="9"/>
    </row>
    <row r="142" ht="12.75" customHeight="1">
      <c r="A142" s="9"/>
      <c r="B142" s="9"/>
      <c r="C142" s="9"/>
      <c r="D142" s="9"/>
      <c r="E142" s="468"/>
      <c r="F142" s="488"/>
      <c r="G142" s="9"/>
    </row>
    <row r="143" ht="12.75" customHeight="1">
      <c r="A143" s="9"/>
      <c r="B143" s="9"/>
      <c r="C143" s="9"/>
      <c r="D143" s="9"/>
      <c r="E143" s="468"/>
      <c r="F143" s="488"/>
      <c r="G143" s="9"/>
    </row>
    <row r="144" ht="12.75" customHeight="1">
      <c r="A144" s="9"/>
      <c r="B144" s="9"/>
      <c r="C144" s="9"/>
      <c r="D144" s="9"/>
      <c r="E144" s="468"/>
      <c r="F144" s="488"/>
      <c r="G144" s="9"/>
    </row>
    <row r="145" ht="12.75" customHeight="1">
      <c r="A145" s="9"/>
      <c r="B145" s="9"/>
      <c r="C145" s="9"/>
      <c r="D145" s="9"/>
      <c r="E145" s="468"/>
      <c r="F145" s="488"/>
      <c r="G145" s="9"/>
    </row>
    <row r="146" ht="12.75" customHeight="1">
      <c r="A146" s="9"/>
      <c r="B146" s="9"/>
      <c r="C146" s="9"/>
      <c r="D146" s="9"/>
      <c r="E146" s="468"/>
      <c r="F146" s="488"/>
      <c r="G146" s="9"/>
    </row>
    <row r="147" ht="12.75" customHeight="1">
      <c r="A147" s="9"/>
      <c r="B147" s="9"/>
      <c r="C147" s="9"/>
      <c r="D147" s="9"/>
      <c r="E147" s="468"/>
      <c r="F147" s="488"/>
      <c r="G147" s="9"/>
    </row>
    <row r="148" ht="12.75" customHeight="1">
      <c r="A148" s="9"/>
      <c r="B148" s="9"/>
      <c r="C148" s="9"/>
      <c r="D148" s="9"/>
      <c r="E148" s="468"/>
      <c r="F148" s="488"/>
      <c r="G148" s="9"/>
    </row>
    <row r="149" ht="12.75" customHeight="1">
      <c r="A149" s="9"/>
      <c r="B149" s="9"/>
      <c r="C149" s="9"/>
      <c r="D149" s="9"/>
      <c r="E149" s="468"/>
      <c r="F149" s="488"/>
      <c r="G149" s="9"/>
    </row>
    <row r="150" ht="12.75" customHeight="1">
      <c r="A150" s="9"/>
      <c r="B150" s="9"/>
      <c r="C150" s="9"/>
      <c r="D150" s="9"/>
      <c r="E150" s="468"/>
      <c r="F150" s="488"/>
      <c r="G150" s="9"/>
    </row>
    <row r="151" ht="12.75" customHeight="1">
      <c r="A151" s="9"/>
      <c r="B151" s="9"/>
      <c r="C151" s="9"/>
      <c r="D151" s="9"/>
      <c r="E151" s="468"/>
      <c r="F151" s="488"/>
      <c r="G151" s="9"/>
    </row>
    <row r="152" ht="12.75" customHeight="1">
      <c r="A152" s="9"/>
      <c r="B152" s="9"/>
      <c r="C152" s="9"/>
      <c r="D152" s="9"/>
      <c r="E152" s="468"/>
      <c r="F152" s="488"/>
      <c r="G152" s="9"/>
    </row>
    <row r="153" ht="12.75" customHeight="1">
      <c r="A153" s="9"/>
      <c r="B153" s="9"/>
      <c r="C153" s="9"/>
      <c r="D153" s="9"/>
      <c r="E153" s="468"/>
      <c r="F153" s="488"/>
      <c r="G153" s="9"/>
    </row>
    <row r="154" ht="12.75" customHeight="1">
      <c r="A154" s="9"/>
      <c r="B154" s="9"/>
      <c r="C154" s="9"/>
      <c r="D154" s="9"/>
      <c r="E154" s="468"/>
      <c r="F154" s="488"/>
      <c r="G154" s="9"/>
    </row>
    <row r="155" ht="12.75" customHeight="1">
      <c r="A155" s="9"/>
      <c r="B155" s="9"/>
      <c r="C155" s="9"/>
      <c r="D155" s="9"/>
      <c r="E155" s="468"/>
      <c r="F155" s="488"/>
      <c r="G155" s="9"/>
    </row>
    <row r="156" ht="12.75" customHeight="1">
      <c r="A156" s="9"/>
      <c r="B156" s="9"/>
      <c r="C156" s="9"/>
      <c r="D156" s="9"/>
      <c r="E156" s="468"/>
      <c r="F156" s="488"/>
      <c r="G156" s="9"/>
    </row>
    <row r="157" ht="12.75" customHeight="1">
      <c r="A157" s="9"/>
      <c r="B157" s="9"/>
      <c r="C157" s="9"/>
      <c r="D157" s="9"/>
      <c r="E157" s="468"/>
      <c r="F157" s="488"/>
      <c r="G157" s="9"/>
    </row>
    <row r="158" ht="12.75" customHeight="1">
      <c r="A158" s="9"/>
      <c r="B158" s="9"/>
      <c r="C158" s="9"/>
      <c r="D158" s="9"/>
      <c r="E158" s="468"/>
      <c r="F158" s="488"/>
      <c r="G158" s="9"/>
    </row>
    <row r="159" ht="12.75" customHeight="1">
      <c r="A159" s="9"/>
      <c r="B159" s="9"/>
      <c r="C159" s="9"/>
      <c r="D159" s="9"/>
      <c r="E159" s="468"/>
      <c r="F159" s="488"/>
      <c r="G159" s="9"/>
    </row>
    <row r="160" ht="12.75" customHeight="1">
      <c r="A160" s="9"/>
      <c r="B160" s="9"/>
      <c r="C160" s="9"/>
      <c r="D160" s="9"/>
      <c r="E160" s="468"/>
      <c r="F160" s="488"/>
      <c r="G160" s="9"/>
    </row>
    <row r="161" ht="12.75" customHeight="1">
      <c r="A161" s="9"/>
      <c r="B161" s="9"/>
      <c r="C161" s="9"/>
      <c r="D161" s="9"/>
      <c r="E161" s="468"/>
      <c r="F161" s="488"/>
      <c r="G161" s="9"/>
    </row>
    <row r="162" ht="12.75" customHeight="1">
      <c r="A162" s="9"/>
      <c r="B162" s="9"/>
      <c r="C162" s="9"/>
      <c r="D162" s="9"/>
      <c r="E162" s="468"/>
      <c r="F162" s="488"/>
      <c r="G162" s="9"/>
    </row>
    <row r="163" ht="12.75" customHeight="1">
      <c r="A163" s="9"/>
      <c r="B163" s="9"/>
      <c r="C163" s="9"/>
      <c r="D163" s="9"/>
      <c r="E163" s="468"/>
      <c r="F163" s="488"/>
      <c r="G163" s="9"/>
    </row>
    <row r="164" ht="12.75" customHeight="1">
      <c r="A164" s="9"/>
      <c r="B164" s="9"/>
      <c r="C164" s="9"/>
      <c r="D164" s="9"/>
      <c r="E164" s="468"/>
      <c r="F164" s="488"/>
      <c r="G164" s="9"/>
    </row>
    <row r="165" ht="12.75" customHeight="1">
      <c r="A165" s="9"/>
      <c r="B165" s="9"/>
      <c r="C165" s="9"/>
      <c r="D165" s="9"/>
      <c r="E165" s="468"/>
      <c r="F165" s="488"/>
      <c r="G165" s="9"/>
    </row>
    <row r="166" ht="12.75" customHeight="1">
      <c r="A166" s="9"/>
      <c r="B166" s="9"/>
      <c r="C166" s="9"/>
      <c r="D166" s="9"/>
      <c r="E166" s="468"/>
      <c r="F166" s="488"/>
      <c r="G166" s="9"/>
    </row>
    <row r="167" ht="12.75" customHeight="1">
      <c r="A167" s="9"/>
      <c r="B167" s="9"/>
      <c r="C167" s="9"/>
      <c r="D167" s="9"/>
      <c r="E167" s="468"/>
      <c r="F167" s="488"/>
      <c r="G167" s="9"/>
    </row>
    <row r="168" ht="12.75" customHeight="1">
      <c r="A168" s="9"/>
      <c r="B168" s="9"/>
      <c r="C168" s="9"/>
      <c r="D168" s="9"/>
      <c r="E168" s="468"/>
      <c r="F168" s="488"/>
      <c r="G168" s="9"/>
    </row>
    <row r="169" ht="12.75" customHeight="1">
      <c r="A169" s="9"/>
      <c r="B169" s="9"/>
      <c r="C169" s="9"/>
      <c r="D169" s="9"/>
      <c r="E169" s="468"/>
      <c r="F169" s="488"/>
      <c r="G169" s="9"/>
    </row>
    <row r="170" ht="12.75" customHeight="1">
      <c r="A170" s="9"/>
      <c r="B170" s="9"/>
      <c r="C170" s="9"/>
      <c r="D170" s="9"/>
      <c r="E170" s="468"/>
      <c r="F170" s="488"/>
      <c r="G170" s="9"/>
    </row>
    <row r="171" ht="12.75" customHeight="1">
      <c r="A171" s="9"/>
      <c r="B171" s="9"/>
      <c r="C171" s="9"/>
      <c r="D171" s="9"/>
      <c r="E171" s="468"/>
      <c r="F171" s="488"/>
      <c r="G171" s="9"/>
    </row>
    <row r="172" ht="12.75" customHeight="1">
      <c r="A172" s="9"/>
      <c r="B172" s="9"/>
      <c r="C172" s="9"/>
      <c r="D172" s="9"/>
      <c r="E172" s="468"/>
      <c r="F172" s="488"/>
      <c r="G172" s="9"/>
    </row>
    <row r="173" ht="12.75" customHeight="1">
      <c r="A173" s="9"/>
      <c r="B173" s="9"/>
      <c r="C173" s="9"/>
      <c r="D173" s="9"/>
      <c r="E173" s="468"/>
      <c r="F173" s="488"/>
      <c r="G173" s="9"/>
    </row>
    <row r="174" ht="12.75" customHeight="1">
      <c r="A174" s="9"/>
      <c r="B174" s="9"/>
      <c r="C174" s="9"/>
      <c r="D174" s="9"/>
      <c r="E174" s="468"/>
      <c r="F174" s="488"/>
      <c r="G174" s="9"/>
    </row>
    <row r="175" ht="12.75" customHeight="1">
      <c r="A175" s="9"/>
      <c r="B175" s="9"/>
      <c r="C175" s="9"/>
      <c r="D175" s="9"/>
      <c r="E175" s="468"/>
      <c r="F175" s="488"/>
      <c r="G175" s="9"/>
    </row>
    <row r="176" ht="12.75" customHeight="1">
      <c r="A176" s="9"/>
      <c r="B176" s="9"/>
      <c r="C176" s="9"/>
      <c r="D176" s="9"/>
      <c r="E176" s="468"/>
      <c r="F176" s="488"/>
      <c r="G176" s="9"/>
    </row>
    <row r="177" ht="12.75" customHeight="1">
      <c r="A177" s="9"/>
      <c r="B177" s="9"/>
      <c r="C177" s="9"/>
      <c r="D177" s="9"/>
      <c r="E177" s="468"/>
      <c r="F177" s="488"/>
      <c r="G177" s="9"/>
    </row>
    <row r="178" ht="12.75" customHeight="1">
      <c r="A178" s="9"/>
      <c r="B178" s="9"/>
      <c r="C178" s="9"/>
      <c r="D178" s="9"/>
      <c r="E178" s="468"/>
      <c r="F178" s="488"/>
      <c r="G178" s="9"/>
    </row>
    <row r="179" ht="12.75" customHeight="1">
      <c r="A179" s="9"/>
      <c r="B179" s="9"/>
      <c r="C179" s="9"/>
      <c r="D179" s="9"/>
      <c r="E179" s="468"/>
      <c r="F179" s="488"/>
      <c r="G179" s="9"/>
    </row>
    <row r="180" ht="12.75" customHeight="1">
      <c r="A180" s="9"/>
      <c r="B180" s="9"/>
      <c r="C180" s="9"/>
      <c r="D180" s="9"/>
      <c r="E180" s="468"/>
      <c r="F180" s="488"/>
      <c r="G180" s="9"/>
    </row>
    <row r="181" ht="12.75" customHeight="1">
      <c r="A181" s="9"/>
      <c r="B181" s="9"/>
      <c r="C181" s="9"/>
      <c r="D181" s="9"/>
      <c r="E181" s="468"/>
      <c r="F181" s="488"/>
      <c r="G181" s="9"/>
    </row>
    <row r="182" ht="12.75" customHeight="1">
      <c r="A182" s="9"/>
      <c r="B182" s="9"/>
      <c r="C182" s="9"/>
      <c r="D182" s="9"/>
      <c r="E182" s="468"/>
      <c r="F182" s="488"/>
      <c r="G182" s="9"/>
    </row>
    <row r="183" ht="12.75" customHeight="1">
      <c r="A183" s="9"/>
      <c r="B183" s="9"/>
      <c r="C183" s="9"/>
      <c r="D183" s="9"/>
      <c r="E183" s="468"/>
      <c r="F183" s="488"/>
      <c r="G183" s="9"/>
    </row>
    <row r="184" ht="12.75" customHeight="1">
      <c r="A184" s="9"/>
      <c r="B184" s="9"/>
      <c r="C184" s="9"/>
      <c r="D184" s="9"/>
      <c r="E184" s="468"/>
      <c r="F184" s="488"/>
      <c r="G184" s="9"/>
    </row>
    <row r="185" ht="12.75" customHeight="1">
      <c r="A185" s="9"/>
      <c r="B185" s="9"/>
      <c r="C185" s="9"/>
      <c r="D185" s="9"/>
      <c r="E185" s="468"/>
      <c r="F185" s="488"/>
      <c r="G185" s="9"/>
    </row>
    <row r="186" ht="12.75" customHeight="1">
      <c r="A186" s="9"/>
      <c r="B186" s="9"/>
      <c r="C186" s="9"/>
      <c r="D186" s="9"/>
      <c r="E186" s="468"/>
      <c r="F186" s="488"/>
      <c r="G186" s="9"/>
    </row>
    <row r="187" ht="12.75" customHeight="1">
      <c r="A187" s="9"/>
      <c r="B187" s="9"/>
      <c r="C187" s="9"/>
      <c r="D187" s="9"/>
      <c r="E187" s="468"/>
      <c r="F187" s="488"/>
      <c r="G187" s="9"/>
    </row>
    <row r="188" ht="12.75" customHeight="1">
      <c r="A188" s="9"/>
      <c r="B188" s="9"/>
      <c r="C188" s="9"/>
      <c r="D188" s="9"/>
      <c r="E188" s="468"/>
      <c r="F188" s="488"/>
      <c r="G188" s="9"/>
    </row>
    <row r="189" ht="12.75" customHeight="1">
      <c r="A189" s="9"/>
      <c r="B189" s="9"/>
      <c r="C189" s="9"/>
      <c r="D189" s="9"/>
      <c r="E189" s="468"/>
      <c r="F189" s="488"/>
      <c r="G189" s="9"/>
    </row>
    <row r="190" ht="12.75" customHeight="1">
      <c r="A190" s="9"/>
      <c r="B190" s="9"/>
      <c r="C190" s="9"/>
      <c r="D190" s="9"/>
      <c r="E190" s="468"/>
      <c r="F190" s="488"/>
      <c r="G190" s="9"/>
    </row>
    <row r="191" ht="12.75" customHeight="1">
      <c r="A191" s="9"/>
      <c r="B191" s="9"/>
      <c r="C191" s="9"/>
      <c r="D191" s="9"/>
      <c r="E191" s="468"/>
      <c r="F191" s="488"/>
      <c r="G191" s="9"/>
    </row>
    <row r="192" ht="12.75" customHeight="1">
      <c r="A192" s="9"/>
      <c r="B192" s="9"/>
      <c r="C192" s="9"/>
      <c r="D192" s="9"/>
      <c r="E192" s="468"/>
      <c r="F192" s="488"/>
      <c r="G192" s="9"/>
    </row>
    <row r="193" ht="12.75" customHeight="1">
      <c r="A193" s="9"/>
      <c r="B193" s="9"/>
      <c r="C193" s="9"/>
      <c r="D193" s="9"/>
      <c r="E193" s="468"/>
      <c r="F193" s="488"/>
      <c r="G193" s="9"/>
    </row>
    <row r="194" ht="12.75" customHeight="1">
      <c r="A194" s="9"/>
      <c r="B194" s="9"/>
      <c r="C194" s="9"/>
      <c r="D194" s="9"/>
      <c r="E194" s="468"/>
      <c r="F194" s="488"/>
      <c r="G194" s="9"/>
    </row>
    <row r="195" ht="12.75" customHeight="1">
      <c r="A195" s="9"/>
      <c r="B195" s="9"/>
      <c r="C195" s="9"/>
      <c r="D195" s="9"/>
      <c r="E195" s="468"/>
      <c r="F195" s="488"/>
      <c r="G195" s="9"/>
    </row>
    <row r="196" ht="12.75" customHeight="1">
      <c r="A196" s="9"/>
      <c r="B196" s="9"/>
      <c r="C196" s="9"/>
      <c r="D196" s="9"/>
      <c r="E196" s="468"/>
      <c r="F196" s="488"/>
      <c r="G196" s="9"/>
    </row>
    <row r="197" ht="12.75" customHeight="1">
      <c r="A197" s="9"/>
      <c r="B197" s="9"/>
      <c r="C197" s="9"/>
      <c r="D197" s="9"/>
      <c r="E197" s="468"/>
      <c r="F197" s="488"/>
      <c r="G197" s="9"/>
    </row>
    <row r="198" ht="12.75" customHeight="1">
      <c r="A198" s="9"/>
      <c r="B198" s="9"/>
      <c r="C198" s="9"/>
      <c r="D198" s="9"/>
      <c r="E198" s="468"/>
      <c r="F198" s="488"/>
      <c r="G198" s="9"/>
    </row>
    <row r="199" ht="12.75" customHeight="1">
      <c r="A199" s="9"/>
      <c r="B199" s="9"/>
      <c r="C199" s="9"/>
      <c r="D199" s="9"/>
      <c r="E199" s="468"/>
      <c r="F199" s="488"/>
      <c r="G199" s="9"/>
    </row>
    <row r="200" ht="12.75" customHeight="1">
      <c r="A200" s="9"/>
      <c r="B200" s="9"/>
      <c r="C200" s="9"/>
      <c r="D200" s="9"/>
      <c r="E200" s="468"/>
      <c r="F200" s="488"/>
      <c r="G200" s="9"/>
    </row>
    <row r="201" ht="12.75" customHeight="1">
      <c r="A201" s="9"/>
      <c r="B201" s="9"/>
      <c r="C201" s="9"/>
      <c r="D201" s="9"/>
      <c r="E201" s="468"/>
      <c r="F201" s="488"/>
      <c r="G201" s="9"/>
    </row>
    <row r="202" ht="12.75" customHeight="1">
      <c r="A202" s="9"/>
      <c r="B202" s="9"/>
      <c r="C202" s="9"/>
      <c r="D202" s="9"/>
      <c r="E202" s="468"/>
      <c r="F202" s="488"/>
      <c r="G202" s="9"/>
    </row>
    <row r="203" ht="12.75" customHeight="1">
      <c r="A203" s="9"/>
      <c r="B203" s="9"/>
      <c r="C203" s="9"/>
      <c r="D203" s="9"/>
      <c r="E203" s="468"/>
      <c r="F203" s="488"/>
      <c r="G203" s="9"/>
    </row>
    <row r="204" ht="12.75" customHeight="1">
      <c r="A204" s="9"/>
      <c r="B204" s="9"/>
      <c r="C204" s="9"/>
      <c r="D204" s="9"/>
      <c r="E204" s="468"/>
      <c r="F204" s="488"/>
      <c r="G204" s="9"/>
    </row>
    <row r="205" ht="12.75" customHeight="1">
      <c r="A205" s="9"/>
      <c r="B205" s="9"/>
      <c r="C205" s="9"/>
      <c r="D205" s="9"/>
      <c r="E205" s="468"/>
      <c r="F205" s="488"/>
      <c r="G205" s="9"/>
    </row>
    <row r="206" ht="12.75" customHeight="1">
      <c r="A206" s="9"/>
      <c r="B206" s="9"/>
      <c r="C206" s="9"/>
      <c r="D206" s="9"/>
      <c r="E206" s="468"/>
      <c r="F206" s="488"/>
      <c r="G206" s="9"/>
    </row>
    <row r="207" ht="12.75" customHeight="1">
      <c r="A207" s="9"/>
      <c r="B207" s="9"/>
      <c r="C207" s="9"/>
      <c r="D207" s="9"/>
      <c r="E207" s="468"/>
      <c r="F207" s="488"/>
      <c r="G207" s="9"/>
    </row>
    <row r="208" ht="12.75" customHeight="1">
      <c r="A208" s="9"/>
      <c r="B208" s="9"/>
      <c r="C208" s="9"/>
      <c r="D208" s="9"/>
      <c r="E208" s="468"/>
      <c r="F208" s="488"/>
      <c r="G208" s="9"/>
    </row>
    <row r="209" ht="12.75" customHeight="1">
      <c r="A209" s="9"/>
      <c r="B209" s="9"/>
      <c r="C209" s="9"/>
      <c r="D209" s="9"/>
      <c r="E209" s="468"/>
      <c r="F209" s="488"/>
      <c r="G209" s="9"/>
    </row>
    <row r="210" ht="12.75" customHeight="1">
      <c r="A210" s="9"/>
      <c r="B210" s="9"/>
      <c r="C210" s="9"/>
      <c r="D210" s="9"/>
      <c r="E210" s="468"/>
      <c r="F210" s="488"/>
      <c r="G210" s="9"/>
    </row>
    <row r="211" ht="12.75" customHeight="1">
      <c r="A211" s="9"/>
      <c r="B211" s="9"/>
      <c r="C211" s="9"/>
      <c r="D211" s="9"/>
      <c r="E211" s="468"/>
      <c r="F211" s="488"/>
      <c r="G211" s="9"/>
    </row>
    <row r="212" ht="12.75" customHeight="1">
      <c r="A212" s="9"/>
      <c r="B212" s="9"/>
      <c r="C212" s="9"/>
      <c r="D212" s="9"/>
      <c r="E212" s="468"/>
      <c r="F212" s="488"/>
      <c r="G212" s="9"/>
    </row>
    <row r="213" ht="12.75" customHeight="1">
      <c r="A213" s="9"/>
      <c r="B213" s="9"/>
      <c r="C213" s="9"/>
      <c r="D213" s="9"/>
      <c r="E213" s="468"/>
      <c r="F213" s="488"/>
      <c r="G213" s="9"/>
    </row>
    <row r="214" ht="12.75" customHeight="1">
      <c r="A214" s="9"/>
      <c r="B214" s="9"/>
      <c r="C214" s="9"/>
      <c r="D214" s="9"/>
      <c r="E214" s="468"/>
      <c r="F214" s="488"/>
      <c r="G214" s="9"/>
    </row>
    <row r="215" ht="12.75" customHeight="1">
      <c r="A215" s="9"/>
      <c r="B215" s="9"/>
      <c r="C215" s="9"/>
      <c r="D215" s="9"/>
      <c r="E215" s="468"/>
      <c r="F215" s="488"/>
      <c r="G215" s="9"/>
    </row>
    <row r="216" ht="12.75" customHeight="1">
      <c r="A216" s="9"/>
      <c r="B216" s="9"/>
      <c r="C216" s="9"/>
      <c r="D216" s="9"/>
      <c r="E216" s="468"/>
      <c r="F216" s="488"/>
      <c r="G216" s="9"/>
    </row>
    <row r="217" ht="12.75" customHeight="1">
      <c r="A217" s="9"/>
      <c r="B217" s="9"/>
      <c r="C217" s="9"/>
      <c r="D217" s="9"/>
      <c r="E217" s="468"/>
      <c r="F217" s="488"/>
      <c r="G217" s="9"/>
    </row>
    <row r="218" ht="12.75" customHeight="1">
      <c r="A218" s="9"/>
      <c r="B218" s="9"/>
      <c r="C218" s="9"/>
      <c r="D218" s="9"/>
      <c r="E218" s="468"/>
      <c r="F218" s="488"/>
      <c r="G218" s="9"/>
    </row>
    <row r="219" ht="12.75" customHeight="1">
      <c r="A219" s="9"/>
      <c r="B219" s="9"/>
      <c r="C219" s="9"/>
      <c r="D219" s="9"/>
      <c r="E219" s="468"/>
      <c r="F219" s="488"/>
      <c r="G219" s="9"/>
    </row>
    <row r="220" ht="12.75" customHeight="1">
      <c r="A220" s="9"/>
      <c r="B220" s="9"/>
      <c r="C220" s="9"/>
      <c r="D220" s="9"/>
      <c r="E220" s="468"/>
      <c r="F220" s="488"/>
      <c r="G220" s="9"/>
    </row>
  </sheetData>
  <pageMargins left="0.7875" right="0.7875" top="1.025" bottom="1.025" header="0" footer="0"/>
  <pageSetup firstPageNumber="1" fitToHeight="1" fitToWidth="1" scale="100" useFirstPageNumber="0" orientation="portrait" pageOrder="downThenOver"/>
  <headerFooter>
    <oddHeader>&amp;C&amp;"Calibri,Regular"&amp;10&amp;K000000IMEPHO</oddHeader>
    <oddFooter>&amp;C&amp;"Calibri,Regular"&amp;10&amp;K000000Página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