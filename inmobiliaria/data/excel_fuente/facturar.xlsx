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ENERAL Facturado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<sst xmlns="http://schemas.openxmlformats.org/spreadsheetml/2006/main" uniqueCount="1115">
  <si>
    <t>INGRESOS</t>
  </si>
  <si>
    <t>GASTOS</t>
  </si>
  <si>
    <t>SALDO</t>
  </si>
  <si>
    <t>COMPROBANTE</t>
  </si>
  <si>
    <t>PROVEEDOR</t>
  </si>
  <si>
    <t>.</t>
  </si>
  <si>
    <t>PESOS</t>
  </si>
  <si>
    <t>DOLARES</t>
  </si>
  <si>
    <t>TIPO DE CAMBIO</t>
  </si>
  <si>
    <t>COMPRA LOTE</t>
  </si>
  <si>
    <t>COMISION ESPATOLERO - COMPRA LOTE</t>
  </si>
  <si>
    <t>GTOS DE ESCRITURA - PEREZ LLANA</t>
  </si>
  <si>
    <t>ARBA</t>
  </si>
  <si>
    <t>IMPUESTO INMOBILIARIO - PAGO ANUAL 2011</t>
  </si>
  <si>
    <t>OSSE</t>
  </si>
  <si>
    <t>PERIODO 01/2011</t>
  </si>
  <si>
    <t>PERIODO 02/2011</t>
  </si>
  <si>
    <t>PERIODO 03/2011</t>
  </si>
  <si>
    <t>PERIODO 05/2011</t>
  </si>
  <si>
    <t>PERIODO 06/2011</t>
  </si>
  <si>
    <t>IMPUESTO INMOBILIARIO - PAGO ANUAL 2012</t>
  </si>
  <si>
    <t>ARM</t>
  </si>
  <si>
    <t>IMPUESTO MUNICIPAL - PAGO ANUAL 2012</t>
  </si>
  <si>
    <t>PERIODO 01/2012</t>
  </si>
  <si>
    <t>PERIODO 02/2012</t>
  </si>
  <si>
    <t>PERIODO 03/2012</t>
  </si>
  <si>
    <t>PERIODO 04/2012</t>
  </si>
  <si>
    <t>PERIODO 05/2012</t>
  </si>
  <si>
    <t>IMPUESTO MUNICIPAL - PAGO ANUAL 2013</t>
  </si>
  <si>
    <t>PERIODO 01/2013</t>
  </si>
  <si>
    <t>IMPUESTO INMOBILIARIO - PAGO ANUAL 2013</t>
  </si>
  <si>
    <t>PERIODO 02/2013</t>
  </si>
  <si>
    <t>PERIODO 03/2013</t>
  </si>
  <si>
    <t>PERIODOI 04/2013</t>
  </si>
  <si>
    <t>MUNICIPALIDAD</t>
  </si>
  <si>
    <t>PERIODO 05/2013</t>
  </si>
  <si>
    <t>INSTALACION AGUA Y KIT MEDICION</t>
  </si>
  <si>
    <t>PERIODO 06/2013</t>
  </si>
  <si>
    <t>IMPUESTO MUNICIPAL - PAGO ANUAL 2014</t>
  </si>
  <si>
    <t>PERIODO 01/2014</t>
  </si>
  <si>
    <t>AGRIMENSOR</t>
  </si>
  <si>
    <t xml:space="preserve">HONORARIOS </t>
  </si>
  <si>
    <t>IMPUESTO INMOBILIARIO - PAGO ANUAL 2014</t>
  </si>
  <si>
    <t>PERIODO 02/2014</t>
  </si>
  <si>
    <t>PERIODO 06/2014</t>
  </si>
  <si>
    <t>ARQUITECTO AGUERO MERCENARO</t>
  </si>
  <si>
    <t>PERIODO 08/2014</t>
  </si>
  <si>
    <t>IMEPHO</t>
  </si>
  <si>
    <t>HORMIGON - 392 M3</t>
  </si>
  <si>
    <t>HORMIGON - 392.5 M3</t>
  </si>
  <si>
    <t>PERIODO 10/2014</t>
  </si>
  <si>
    <t>PERIODO 09/2014</t>
  </si>
  <si>
    <t>PERIODO 07/2014</t>
  </si>
  <si>
    <t>PERIODO 12/2014</t>
  </si>
  <si>
    <t>TSH - PAGO ANUAL 2015</t>
  </si>
  <si>
    <t>PERIODO 01/2015</t>
  </si>
  <si>
    <t>IMPUESTO INMOBILIARIO - PAGO ANUAL 2015</t>
  </si>
  <si>
    <t>PERIODO 02/2015</t>
  </si>
  <si>
    <t>PERIODO 04/2015</t>
  </si>
  <si>
    <t>PERIODO 03/2015</t>
  </si>
  <si>
    <t>DIFERENCIAS</t>
  </si>
  <si>
    <t>PERIODO 05/2015</t>
  </si>
  <si>
    <t>PERIODO 06/2015</t>
  </si>
  <si>
    <t>PERIODO 07/2015</t>
  </si>
  <si>
    <t>PERIODO 08/2015</t>
  </si>
  <si>
    <t>COMPRA HORMIGON</t>
  </si>
  <si>
    <t>PERIODO 09/2015</t>
  </si>
  <si>
    <t>ACOPIO</t>
  </si>
  <si>
    <t>PERIODO 10/2015</t>
  </si>
  <si>
    <t>PERIODO 11/2015</t>
  </si>
  <si>
    <t>IMPUESTO MUNICIPAL - CUOTA ANUAL 2016</t>
  </si>
  <si>
    <t>PERIODO 01/2016</t>
  </si>
  <si>
    <t>IMPUESTO INMOBILIARIO - PAGO ANUAL 2016</t>
  </si>
  <si>
    <t>DERECHOS DE CONSTRUCCION</t>
  </si>
  <si>
    <t>DIFERENCIAS GTOS MUNICIPALES</t>
  </si>
  <si>
    <t>PERIODO 12/2015</t>
  </si>
  <si>
    <t>PERIODO 02/2016</t>
  </si>
  <si>
    <t>DERECHOS CONSTRUCCION</t>
  </si>
  <si>
    <t>PERIODO 03/2016</t>
  </si>
  <si>
    <t>EDEA</t>
  </si>
  <si>
    <t>PERIODO 06/2016</t>
  </si>
  <si>
    <t>NES S.A.</t>
  </si>
  <si>
    <t>M.O. HORMIGON - CUOTA 1</t>
  </si>
  <si>
    <t>PERIODO 03/2016 - CTA. 02</t>
  </si>
  <si>
    <t>PERIODO 07/2016</t>
  </si>
  <si>
    <t>M.O. HORMIGON - CUOTA 2</t>
  </si>
  <si>
    <t>PERIODO 04/2016 - CTA. 01</t>
  </si>
  <si>
    <t>PERIODO 08/2016</t>
  </si>
  <si>
    <t>SEGURO FEDERACION PATRONAL</t>
  </si>
  <si>
    <t>DEL 25/08/2016 AL 25/08/2017</t>
  </si>
  <si>
    <t>CELTOP SRL</t>
  </si>
  <si>
    <t>MATERIALES</t>
  </si>
  <si>
    <t>EXTRACCION 2 ARBOLES Y TRAMITES</t>
  </si>
  <si>
    <t>M.O. HORMIGON - CUOTA 3</t>
  </si>
  <si>
    <t>M.O. HORMIGON - CUOTA 4</t>
  </si>
  <si>
    <t>PERIODO 04/2016 - CTA. 02</t>
  </si>
  <si>
    <t>PERIODO 09/2016</t>
  </si>
  <si>
    <t>PERIODO 05/2016 - CTA . 01</t>
  </si>
  <si>
    <t>PERIODO 10/2016</t>
  </si>
  <si>
    <t>PERIODO 05/2016 - CTA. 02</t>
  </si>
  <si>
    <t>M.O. HORMIGON - CUOTA 5</t>
  </si>
  <si>
    <t>M.O. HORMIGON - CUOTA 6</t>
  </si>
  <si>
    <t>CAPARELLI</t>
  </si>
  <si>
    <t>TERGOPORLES P/LOZAS</t>
  </si>
  <si>
    <t>PERIODO 11/2016</t>
  </si>
  <si>
    <t>PERIODO 06/2016 - CTA. 01</t>
  </si>
  <si>
    <t>PERIODO 12/2016</t>
  </si>
  <si>
    <t>M.O. HORMIGON - CUOTA 7</t>
  </si>
  <si>
    <t>PERIODO 06/2016 - CTA. 02</t>
  </si>
  <si>
    <t>IMPUESTO MUNICIPAL - PAGO ANUAL 2017</t>
  </si>
  <si>
    <t>PERIODO 01/2017</t>
  </si>
  <si>
    <t>PERIODO 01/2017 - CTA. 01</t>
  </si>
  <si>
    <t>M.O. HORMIGON - CUOTA 8</t>
  </si>
  <si>
    <t>IMPUESTO INMOBILIARIO - PAGO ANUAL 2017</t>
  </si>
  <si>
    <t>PERIODO 02/2017</t>
  </si>
  <si>
    <t>M.O. HORMIGON - CUOTA 9</t>
  </si>
  <si>
    <t>PERIODO 01/2017 - CTA. 02</t>
  </si>
  <si>
    <t>PERIODO 03/2017</t>
  </si>
  <si>
    <t>PERIODO 02/2017 - CTA. 01</t>
  </si>
  <si>
    <t>M.O. HORMIGON - CUOTA 10</t>
  </si>
  <si>
    <t>PERIODO 04/2017</t>
  </si>
  <si>
    <t>M.O. HORMIGON - CUOTA 11</t>
  </si>
  <si>
    <t>PERIODO 02/2017 - CTA. 02</t>
  </si>
  <si>
    <t>PERIODO 05/2017</t>
  </si>
  <si>
    <t>M.O. HORMIGON - CUOTA 12</t>
  </si>
  <si>
    <t>PERIODO 03/2017 - CTA. 01</t>
  </si>
  <si>
    <t>JUAN - 1°ETAPA - ANTICIPO</t>
  </si>
  <si>
    <t>IMPUESTO MUNICIPAL  - AJUSTE 2017</t>
  </si>
  <si>
    <t>PERIODO 06/2017</t>
  </si>
  <si>
    <t>ASCENSORES ULTRA</t>
  </si>
  <si>
    <t>COMPRA MONTAUTOS</t>
  </si>
  <si>
    <t>M.O. HORMIGON - CUOTA 13</t>
  </si>
  <si>
    <t>PERIODO 03/2017 - CTA. 02</t>
  </si>
  <si>
    <t>PINTURAS - DRAP</t>
  </si>
  <si>
    <t>PROTEX</t>
  </si>
  <si>
    <t>PERIODO 07/2017</t>
  </si>
  <si>
    <t>M.O. HORMIGON - CUOTA 14</t>
  </si>
  <si>
    <t>PERIODO 04/17 - CTA. 01</t>
  </si>
  <si>
    <t>PERIODO 08/2017</t>
  </si>
  <si>
    <t>DEL 25/08/2017 AL 25/08/2018</t>
  </si>
  <si>
    <t>COMPRA</t>
  </si>
  <si>
    <t>PERIODO 04/17 - CTA. 02</t>
  </si>
  <si>
    <t>M.O. HORMIGON - CUOTA 15</t>
  </si>
  <si>
    <t>PERIODO 09/2017</t>
  </si>
  <si>
    <t>TERGOPOLES P/LOZAS</t>
  </si>
  <si>
    <t>PERIODO 05/2017 - CTA. 01</t>
  </si>
  <si>
    <t>PERIODO 10/2017</t>
  </si>
  <si>
    <t>PERIODO 11/2017</t>
  </si>
  <si>
    <t>2°ETAPA - A CTA. ANTICIPO</t>
  </si>
  <si>
    <t>ELECTRICIDAD</t>
  </si>
  <si>
    <t>CIARDI HNOS.</t>
  </si>
  <si>
    <t>2°ETAPA -  A CTA. ANTICIPO</t>
  </si>
  <si>
    <t xml:space="preserve">STARKLOFF </t>
  </si>
  <si>
    <t>METALIZADOS MONTA AUTOS</t>
  </si>
  <si>
    <t>ORIGINAL 156200 (u$s8335) 24200 EN B Y 132000 EN N</t>
  </si>
  <si>
    <t>PERIODO 06/2017 - CTA. 01</t>
  </si>
  <si>
    <t>CUOTA 3 - AÑO 2018</t>
  </si>
  <si>
    <t>50% Y 50% ($200000(u$s10000) ORIGINALES)</t>
  </si>
  <si>
    <t>REPUESTO BOMBA DE AGUA</t>
  </si>
  <si>
    <t>PERIODO 12/2017</t>
  </si>
  <si>
    <t>TACURU</t>
  </si>
  <si>
    <t>PERIODO 06/2017 - CTA. 02</t>
  </si>
  <si>
    <t>TEXTIL KOPRUCH</t>
  </si>
  <si>
    <t>CIARDI - MATERIALES ELECTRICOS</t>
  </si>
  <si>
    <t>PERIODO 01/2018</t>
  </si>
  <si>
    <t>PLOMERIA</t>
  </si>
  <si>
    <t>SANITARIOS SANCHEZ - DESAGUES</t>
  </si>
  <si>
    <t>655569/65601</t>
  </si>
  <si>
    <t>SCOR-DINA SRL</t>
  </si>
  <si>
    <t>TRANSPORTE</t>
  </si>
  <si>
    <t>IMPUESTO INMOBILIARIO - PAGO ANUAL 2018</t>
  </si>
  <si>
    <t>PERIODO 01/2018 - CTA. 01</t>
  </si>
  <si>
    <t>TOLOZA - M.O. DESAGUES</t>
  </si>
  <si>
    <t>PERIODO 01/2018 - CTA. 02</t>
  </si>
  <si>
    <t xml:space="preserve">PERIODO 02/2018 </t>
  </si>
  <si>
    <t>PERIODO 03/2018</t>
  </si>
  <si>
    <t>BENIPLAS</t>
  </si>
  <si>
    <t>PLASTICOS NEGROS</t>
  </si>
  <si>
    <t>LANDA</t>
  </si>
  <si>
    <t>BOLSAS CEMENTO</t>
  </si>
  <si>
    <t>CERAMICO BAJO PILETA 100 M.</t>
  </si>
  <si>
    <t>MALLA DE FIBRA</t>
  </si>
  <si>
    <t>PERIODO 02/2018 - CTA. 01</t>
  </si>
  <si>
    <t>PERIODO 04/2018</t>
  </si>
  <si>
    <t>PERIODO 02/2018 - CTA. 02</t>
  </si>
  <si>
    <t>PERIODO 05/2018</t>
  </si>
  <si>
    <t>ROMA</t>
  </si>
  <si>
    <t>CONTENEDOR</t>
  </si>
  <si>
    <t>PERIODO 03/2018 - CTA. 01</t>
  </si>
  <si>
    <t>2°ETAPA: CUOTA 3</t>
  </si>
  <si>
    <t>PERIODO 06/2018</t>
  </si>
  <si>
    <t>STARKLOFF</t>
  </si>
  <si>
    <t>TRABAJOS POR PROYECCION</t>
  </si>
  <si>
    <t>CASA BLANCO - MANGUERAS - CAJAS</t>
  </si>
  <si>
    <t>PERIODO 03/2018 - CTA. 02</t>
  </si>
  <si>
    <t>IMPUESTO MUNICIPAL - 1°SEMESTRE 2018</t>
  </si>
  <si>
    <t>IMPUESTO MUNICIPAL - CUOTA 07/2018</t>
  </si>
  <si>
    <t>IMPUESTO MUNICIPAL - AJUSTE 01/2018</t>
  </si>
  <si>
    <t>ERRAMAR</t>
  </si>
  <si>
    <t>COMPRA - 2 ROLLETES, 2 RIELES, 6 CARROS, 2 CANDADOS</t>
  </si>
  <si>
    <t>HIERROMETAL</t>
  </si>
  <si>
    <t>COMPRA BANDEJA EDIFICIO (TORNILLOS, ELECTRODOS, DISCO, ETC)</t>
  </si>
  <si>
    <t>2199/2222</t>
  </si>
  <si>
    <t>2 ASENSORES ( A CTA, SALDO EN FEB 2019)</t>
  </si>
  <si>
    <t>PERIODO 07/2018</t>
  </si>
  <si>
    <t>IMPUESTO MUNICIPAL - CUOTA 08/2018</t>
  </si>
  <si>
    <t>IMPUESTO MUNICIPAL - AJUSTE 02/2018</t>
  </si>
  <si>
    <t>PERIODO 04/2018 - CTA. 01</t>
  </si>
  <si>
    <t>PINTURA</t>
  </si>
  <si>
    <t>PINTURA VARIOS</t>
  </si>
  <si>
    <t>PERIODO 08/2018</t>
  </si>
  <si>
    <t>ENTRADA DE AGUA (GARRIDO)</t>
  </si>
  <si>
    <t>MANETTA E HIJOS</t>
  </si>
  <si>
    <t>ALAMBRE</t>
  </si>
  <si>
    <t>MACROFER - FERRETERIA PARA ELECTRICIDAD</t>
  </si>
  <si>
    <t>FACTURA JULIO</t>
  </si>
  <si>
    <t>FACTURA AGOSTO</t>
  </si>
  <si>
    <t>LATEX, RODILLO, PINCEL, LIJAS, ETC</t>
  </si>
  <si>
    <t>ACOPIO - FIJADOR - MURO BLANCO</t>
  </si>
  <si>
    <t>DEL 25/08/18 AL 25/08/2019</t>
  </si>
  <si>
    <t>PERIODO 04/2018 - CTA. 02</t>
  </si>
  <si>
    <t>2º ETAPA: CUOTA 6</t>
  </si>
  <si>
    <t>PERIODO 09/2018</t>
  </si>
  <si>
    <t xml:space="preserve"> A CTA - PUERTAS CHAPA GALVANIZADAS Y CARPINTERIA DE ALUMINIO</t>
  </si>
  <si>
    <t>PERIODO 05/2018 - CTA. 01</t>
  </si>
  <si>
    <t>AGROMAN NEGRO</t>
  </si>
  <si>
    <t xml:space="preserve">ROMA </t>
  </si>
  <si>
    <t>CONTENEDORES</t>
  </si>
  <si>
    <t>FIJADOR, DURAMAX, CINTA, LIJA, ETC.</t>
  </si>
  <si>
    <t>MATERIALES DE CONTRUCCIÓN</t>
  </si>
  <si>
    <t>TASA POR SERVICIOS VARIOS</t>
  </si>
  <si>
    <t>3 BOLSAS DE YESO</t>
  </si>
  <si>
    <t>IMPUESTO MUNICIPAL - CUOTA 09 Y 10/2018</t>
  </si>
  <si>
    <t>OK 26/10/18</t>
  </si>
  <si>
    <t>CARPETAS VENTA CORRALON</t>
  </si>
  <si>
    <t>SANITARIOS SANCHEZ</t>
  </si>
  <si>
    <t>ARTICULOS VARIOS</t>
  </si>
  <si>
    <t>COLORANTE</t>
  </si>
  <si>
    <t>OK 5/11</t>
  </si>
  <si>
    <t>3 CONTENEDORES</t>
  </si>
  <si>
    <t>IMPUESTO MUNICIPAL - CUOTA 11/2018</t>
  </si>
  <si>
    <t>PERIODO 05/2018 - CTA. 02</t>
  </si>
  <si>
    <t>PERIODO 10/2018</t>
  </si>
  <si>
    <t>MATERIALES VARIOS</t>
  </si>
  <si>
    <t>/</t>
  </si>
  <si>
    <t>REVESTA</t>
  </si>
  <si>
    <t>CASA BLANCO - MATERIALES VARIOS</t>
  </si>
  <si>
    <t>PALO Y CEPILLO</t>
  </si>
  <si>
    <t>PERIODO 11/2018</t>
  </si>
  <si>
    <t>PROYECTO Y DIRECCION INSTALACION MONTACOCHE</t>
  </si>
  <si>
    <t>2°ETAPA: A CTA. CUOTA 9</t>
  </si>
  <si>
    <t>3 CONTENEDORES GRNADES</t>
  </si>
  <si>
    <t>PERIODO 06/2018 - CTA. 01</t>
  </si>
  <si>
    <t>IMPUESTO MUNICIPAL - CUOTA 12/2018</t>
  </si>
  <si>
    <t xml:space="preserve">KEROSEN P/MANCHAS </t>
  </si>
  <si>
    <t>PERIODO 12/2018</t>
  </si>
  <si>
    <t>DRAP</t>
  </si>
  <si>
    <t>MATERIALES COCHERA</t>
  </si>
  <si>
    <t>VARIOS</t>
  </si>
  <si>
    <t>ABETE Y CIA SA - TOPES COCHERA</t>
  </si>
  <si>
    <t>LA CASA DE LOS PEGAMENTOS</t>
  </si>
  <si>
    <t>ALCOCHOL P/COHERA</t>
  </si>
  <si>
    <t>PERIODO 06/2018 - CTA. 02</t>
  </si>
  <si>
    <t>IMPUESTO MUNICIPAL - CUOTA 01/2019</t>
  </si>
  <si>
    <t>DIVISION COCHERA</t>
  </si>
  <si>
    <t>PERIODO 01/2019</t>
  </si>
  <si>
    <t>ok AL 24/1/19</t>
  </si>
  <si>
    <t>SELLADOR MEDIANERAS</t>
  </si>
  <si>
    <t>PEGAMENTO TACOS COCHERAS</t>
  </si>
  <si>
    <t>PERIODO 01/2019 - CTA. 01</t>
  </si>
  <si>
    <t>IMPUESTO MUNICIPAL - CUOTA 02/2019</t>
  </si>
  <si>
    <t>IMPUESTO INMOBILIARIO - PAGO ANUAL 2019</t>
  </si>
  <si>
    <t>PERIODO 02/2019</t>
  </si>
  <si>
    <t>PERIODO 01/2019 - CTA. 02</t>
  </si>
  <si>
    <t>CENTROSIDER</t>
  </si>
  <si>
    <t>IMPUESTO MUNICIPAL - CUOTA 03/2019</t>
  </si>
  <si>
    <t>FEBRERO DE 2019</t>
  </si>
  <si>
    <t>4 CONTENEDORES</t>
  </si>
  <si>
    <t>PERIODO 03/2019</t>
  </si>
  <si>
    <t>TROCHE DANIEL</t>
  </si>
  <si>
    <t>DANIEL TROCHE - 1ºPAGO ACOPIO</t>
  </si>
  <si>
    <t>IMPUESTO MUNICIPAL - CUOTA 04/2019</t>
  </si>
  <si>
    <t>PERIODO 02/2019 - CTA. 01</t>
  </si>
  <si>
    <t>PERIODO 04/2019</t>
  </si>
  <si>
    <t>MARZO DE 2019</t>
  </si>
  <si>
    <t>HOLLAS VENTANA</t>
  </si>
  <si>
    <t>CODOS P/VENTILACION BAÑOS</t>
  </si>
  <si>
    <t>55 VALVULAS DESCARGA Y 55 MONOCOMANDO DUCHA</t>
  </si>
  <si>
    <t>MADERAS MISIONES</t>
  </si>
  <si>
    <t>FENONLICOS ASCENSOR</t>
  </si>
  <si>
    <t>CAÑOS P/VENTILACIONES</t>
  </si>
  <si>
    <t>HERRAJES EL GREMIO - VISAGRAS PUERTA ASCENSOR</t>
  </si>
  <si>
    <t>CAÑO PVC, TUBO MH Y CODO 50...</t>
  </si>
  <si>
    <t>CRESPO CARLOS RODOLFO</t>
  </si>
  <si>
    <t>IMPUESTO MUNICIPAL - CUOTA 05/2019</t>
  </si>
  <si>
    <t>PERIODO 02/2019 - CTA. 02</t>
  </si>
  <si>
    <t>BAZAN - COPIA DE LLAVE</t>
  </si>
  <si>
    <t>200 MALLAS 10*10</t>
  </si>
  <si>
    <t>TUBOS MACHOS/HEMBRA, PRECINTOS</t>
  </si>
  <si>
    <t>TAPON 1/2 PP Y PAPA 3/4 PP</t>
  </si>
  <si>
    <t>CODO A 45º20 AZUL Y TAPON 1/2 PP</t>
  </si>
  <si>
    <t>FS FERRETERIA</t>
  </si>
  <si>
    <t>VARILLAS, .TUERCAS, MECHAS. ETC</t>
  </si>
  <si>
    <t>DANIEL TROCHE - Nº1</t>
  </si>
  <si>
    <t>TAPA PVC Y TUBO MH</t>
  </si>
  <si>
    <t>PROLONGACION P/SOPORTES</t>
  </si>
  <si>
    <t>CODO A 45º20 AZUL FUSION</t>
  </si>
  <si>
    <t>PERIODO 05/2019</t>
  </si>
  <si>
    <t>PERIODO 03/2019 -  CTA. 01</t>
  </si>
  <si>
    <t>IMPUESTO MUNICIPAL - CUOTA 06/2019</t>
  </si>
  <si>
    <t>CASA FARINA</t>
  </si>
  <si>
    <t>COMPRAS VARIAS (21/3 AL 11/6)</t>
  </si>
  <si>
    <t>LA ESQUINA DEL PINO - CHIFONNIER 4 CAJONES</t>
  </si>
  <si>
    <t>MASCARILLA Y ANTEOJOS</t>
  </si>
  <si>
    <t>WEBER IMPERMEABLE</t>
  </si>
  <si>
    <t>TUBO MH 50 X 3.00 AWADUCT 1016</t>
  </si>
  <si>
    <t>QUIMICA DEM</t>
  </si>
  <si>
    <t>TEE NORMAL 25 AZUL FUSION</t>
  </si>
  <si>
    <t>PISTOLA APLICADORA AMARILLA</t>
  </si>
  <si>
    <t>2 CONTENEDORES ROMA</t>
  </si>
  <si>
    <t xml:space="preserve">CERA P/LAJA NEGRA </t>
  </si>
  <si>
    <t>OK AL 24/6/19 $23.597.684,48 U$S 1.502.516,71</t>
  </si>
  <si>
    <t>BUJE RED 40X32 AZUL FUSION</t>
  </si>
  <si>
    <t>PERSIANA PLASTICA MOVIL</t>
  </si>
  <si>
    <t>CAÑO PVC, TUBO MACHO</t>
  </si>
  <si>
    <t>CODO-COVERTHOR BCO.-BUJE RED-MANOMETRO</t>
  </si>
  <si>
    <t>FERROKER-LINE BLANCO-MADAGASCAR-INDIA-K2</t>
  </si>
  <si>
    <t>TROCHE DANIEL JOSE - Nº 2  - INST SAN</t>
  </si>
  <si>
    <t>RAMAL 63 A 45- TUBO MH 110</t>
  </si>
  <si>
    <t>TAPA 160 PVC TUBOFORTE</t>
  </si>
  <si>
    <t>TAPON 1/2 PP Y CODO A 45º 20 AZUL FUSION</t>
  </si>
  <si>
    <t>PRECINTO 4.6 X 300</t>
  </si>
  <si>
    <t>CODO 50 A 90º HH 2046 AWADUCT</t>
  </si>
  <si>
    <t>PERIODO 03/2019 - CTA. 02</t>
  </si>
  <si>
    <t>UNION DOBLE - ROSCA</t>
  </si>
  <si>
    <t>PERSIANA-VALVULA-TUBO MACHO-UNION DOBLE</t>
  </si>
  <si>
    <t>CODO HH BCE. Y ROSCA C/ TUERCA</t>
  </si>
  <si>
    <t>CODO HH - Y ROSCA C/ TUERCA</t>
  </si>
  <si>
    <t>REVESTA-THINER-RODILLO-PINCEL-CIN</t>
  </si>
  <si>
    <t xml:space="preserve">PERIODO 06/2019 </t>
  </si>
  <si>
    <t>REVESTA GRIS - LIJA</t>
  </si>
  <si>
    <t>22/07/2019</t>
  </si>
  <si>
    <t>BUJE RED 75X50 AZUL FUSION</t>
  </si>
  <si>
    <t>BUJE - CODO - UNION - PROLONGACION</t>
  </si>
  <si>
    <t xml:space="preserve">CINTA - ADHESIL </t>
  </si>
  <si>
    <t>CODO-BOQUILLA-BUJE-TUBE-FLEXIBLE</t>
  </si>
  <si>
    <t>ABETE Y CIA SA</t>
  </si>
  <si>
    <t>RIEGO TECNOCOM</t>
  </si>
  <si>
    <t>PORCELANATO</t>
  </si>
  <si>
    <t>ARTICULOS LIMPIEZA</t>
  </si>
  <si>
    <t>PASACERA Y GUANTES LATEX</t>
  </si>
  <si>
    <t>CODO - ROSCA</t>
  </si>
  <si>
    <t>TROCHE DANIEL JOSE - Nº 3  - INST SAN</t>
  </si>
  <si>
    <t>PERIODO 04/2019 - CTA. 01</t>
  </si>
  <si>
    <t>26/08/2019</t>
  </si>
  <si>
    <t>CODO-SOPORTES-TORNILLOS-TARUGOS</t>
  </si>
  <si>
    <t>27/08/2019</t>
  </si>
  <si>
    <t>CALEFACCION &amp; CONFORT</t>
  </si>
  <si>
    <t>TUBO-PANEL-TERMOSTATO-COLECTOR-CABEZAL 1º CTA.</t>
  </si>
  <si>
    <t>29/08/2019</t>
  </si>
  <si>
    <t>VALVULA DESCARGA-TAPA TECLA CUADRADA</t>
  </si>
  <si>
    <t>BUJE RED - TEE NORMAL</t>
  </si>
  <si>
    <t>BERTELLO E HIJOS</t>
  </si>
  <si>
    <t>CONTENEDOR - 3 SERVICIOS</t>
  </si>
  <si>
    <t>PROLONGACION - BUJES RED - TUBO</t>
  </si>
  <si>
    <t>TAPA PVC - UNION NORMAL</t>
  </si>
  <si>
    <t>TROCHE DANIEL - COMPLEMENTARIO LLAVES DE PASO</t>
  </si>
  <si>
    <t>SEGURO ANUAL (25/08/19 - 25/08/20)</t>
  </si>
  <si>
    <t>TROCHE DANIEL - CERT. Nº 4 - INST. SANITARIA</t>
  </si>
  <si>
    <t>UNION-TEE NORMAL-BUJE-CODO-CAÑO</t>
  </si>
  <si>
    <t>TROCHE DANIEL - COMPLEMENTARIO P.B.</t>
  </si>
  <si>
    <t>PERIODO 04/2019 - CTA. 02</t>
  </si>
  <si>
    <t>TUBO-CODO-BUJE-TAPON-DISCO</t>
  </si>
  <si>
    <t>16/09/2019</t>
  </si>
  <si>
    <t>PERIODOS 07 Y 08/2019</t>
  </si>
  <si>
    <t>18/09/2019</t>
  </si>
  <si>
    <t>PERIODO 09/2019</t>
  </si>
  <si>
    <t>20/09/2019</t>
  </si>
  <si>
    <t>CAMBIO LIMITE FINAL SUBIR</t>
  </si>
  <si>
    <t>CAÑO-CODO-TUBOS-MECHA-VARILLA-ETC</t>
  </si>
  <si>
    <t>CODO - BUJE RED</t>
  </si>
  <si>
    <t>DISCO-TARUGO-TORNILLO-GRAMPA-CODO</t>
  </si>
  <si>
    <t>TRABAJOS DE MAMPOSTERIA - CUOTA Nº 1</t>
  </si>
  <si>
    <t>24/09/2019</t>
  </si>
  <si>
    <t>TUBO-VALVULA-UNION-CODO-BUJE</t>
  </si>
  <si>
    <t>25/09/2019</t>
  </si>
  <si>
    <t>PROLONGACION-SOPORTE-UNION DOBLE</t>
  </si>
  <si>
    <t>DUCHA-MEZCLADORA-KIT 4 DUCHAS</t>
  </si>
  <si>
    <t>ISOPOR PE 20 KG</t>
  </si>
  <si>
    <t>26/09/2019</t>
  </si>
  <si>
    <t>CONTENEDORES - 3 SRVICIOS</t>
  </si>
  <si>
    <t>ROTOMOLDEO M&amp;M</t>
  </si>
  <si>
    <t>AGUAS GRISES Y 5 TANQUES - A CUENTA</t>
  </si>
  <si>
    <t>PERIODO 05/2019 - CTA. 01</t>
  </si>
  <si>
    <t>15/10/2019</t>
  </si>
  <si>
    <t>CODO-TEE-CURVA-BUJE-BOQUILLA</t>
  </si>
  <si>
    <t>17/10/2019</t>
  </si>
  <si>
    <t>CARELLI VICTOR DAMIAN</t>
  </si>
  <si>
    <t>INST. LOSA RADIANTE MANO DE OBRA (TOTAL:$ 604500+IVA DE LA 1ºETAPA)</t>
  </si>
  <si>
    <t>CERTIFICADO Nº 5 - INST. SANITARIA</t>
  </si>
  <si>
    <t>18/10/2019</t>
  </si>
  <si>
    <t>TRABAJOS DE MAMPOSTERIA - CUOTA Nº 2</t>
  </si>
  <si>
    <t>23/10/2019</t>
  </si>
  <si>
    <t>TUBO-PANEL-TERMOSTATO-COLECTOR-CABEZAL 2ª CTA.</t>
  </si>
  <si>
    <t>29/10/2019</t>
  </si>
  <si>
    <t>FIBRADRETE FYM POLIPROPILENO</t>
  </si>
  <si>
    <t>MACROFER - VARILLAS, TUERCAS, TACOS</t>
  </si>
  <si>
    <t>EL COLONO - TANZA X 1 KG</t>
  </si>
  <si>
    <t>RE-SA - ROSACA C/TUERCA</t>
  </si>
  <si>
    <t>CURVA-CODO-TUBO-VALV-BUJE-BOQUILLA-PROLONG</t>
  </si>
  <si>
    <t>ANGULO 1" 1/2 X 3/16</t>
  </si>
  <si>
    <t>TRABAJOS DE MAMPOSTERIA - CUOTA Nº 3</t>
  </si>
  <si>
    <t>UNION DOBLE - TUBO MACHO</t>
  </si>
  <si>
    <t>TUBO-PANEL-TERMOSTATO-COLECTOR-CABEZAL 3ª CTA.</t>
  </si>
  <si>
    <t>CAÑOS MONTANTES CALEFACCION - 1º PAGO</t>
  </si>
  <si>
    <t>*Pte factura de $250000 para enero</t>
  </si>
  <si>
    <t>CERTIFICADO Nº 6 - INST. SANITARIA</t>
  </si>
  <si>
    <t>PERIODO 05/2019 - CTA. 02</t>
  </si>
  <si>
    <t>21/11/2019</t>
  </si>
  <si>
    <t>PERIODO 11/2019</t>
  </si>
  <si>
    <t>GRAMPA Y SOPORTE</t>
  </si>
  <si>
    <t>GRAMPA AMURAR 110 X 50</t>
  </si>
  <si>
    <t>CODO 110 A 45°</t>
  </si>
  <si>
    <t>CINTA P/MONTAJE 10 MTS.</t>
  </si>
  <si>
    <t>CTA. CTA. NOVIEMBRE 2019</t>
  </si>
  <si>
    <t>CTA. CTE. DICIEMBRE 2019</t>
  </si>
  <si>
    <t>ADHESIVO BLANCO</t>
  </si>
  <si>
    <t>TRABAJOS DE MAMPOSTERIA - CUOTA Nº 4</t>
  </si>
  <si>
    <t>PERIODO 10/2019</t>
  </si>
  <si>
    <t>13/12/2019</t>
  </si>
  <si>
    <t>7 CONTENEDORES GRANDES Y 1 CHICO</t>
  </si>
  <si>
    <t>14/12/2019</t>
  </si>
  <si>
    <t>CAÑOS MONTANTES CALEFACCION - 2º PAGO</t>
  </si>
  <si>
    <t>16/12/2019</t>
  </si>
  <si>
    <t>8 FENOLICOS</t>
  </si>
  <si>
    <t>23/12/2019</t>
  </si>
  <si>
    <t>ABETE Y COMBUSTIBLE</t>
  </si>
  <si>
    <t>24/12/2019</t>
  </si>
  <si>
    <t>510/511</t>
  </si>
  <si>
    <t>DIF. DUCHAS ANTIVABALICAS</t>
  </si>
  <si>
    <t xml:space="preserve">M. COSTO Nª6 </t>
  </si>
  <si>
    <t>TRABAJOS DE MAMPOSTERIA - CUOTA Nº 5</t>
  </si>
  <si>
    <t>COMPRA MATERIALES VARIOS</t>
  </si>
  <si>
    <t>PISO SALA TANQUES SOTANO</t>
  </si>
  <si>
    <t>13/01/2020</t>
  </si>
  <si>
    <t>23/01/2020</t>
  </si>
  <si>
    <t>PERIODO 01/2020</t>
  </si>
  <si>
    <t>24/01/2020</t>
  </si>
  <si>
    <t>ENERO DE 2020</t>
  </si>
  <si>
    <t>30/1/2020</t>
  </si>
  <si>
    <t>COMPRA VARIOS</t>
  </si>
  <si>
    <t>LLAVE DE PASO</t>
  </si>
  <si>
    <t>GRIFERIA BAÑOS - COCINA</t>
  </si>
  <si>
    <t>PAGO A CTA. INSTALACION EQUIPOS AIRES</t>
  </si>
  <si>
    <t>CERTIFICADO Nº7 - INST. SANITARIA</t>
  </si>
  <si>
    <t xml:space="preserve">EDEA </t>
  </si>
  <si>
    <t>PERIODO 01/2020 - CTA. 01</t>
  </si>
  <si>
    <t>TRABAJOS DE MAMPOSTERIA - CUOTA Nº6</t>
  </si>
  <si>
    <t>17/2/2020</t>
  </si>
  <si>
    <t>INST. LOSA RADIANTE MANO DE OBRA (SALDO DE LA 1ºETAPA)</t>
  </si>
  <si>
    <t>M. COSTO Nº 7</t>
  </si>
  <si>
    <t xml:space="preserve">LANDA </t>
  </si>
  <si>
    <t>TACURU X 4LT.</t>
  </si>
  <si>
    <t>21/02/2020</t>
  </si>
  <si>
    <t>PERIODO 02/2020</t>
  </si>
  <si>
    <t>25/2/2020</t>
  </si>
  <si>
    <t>26/02/2020</t>
  </si>
  <si>
    <t>PERIODO 12/2019</t>
  </si>
  <si>
    <t>28/02/2020</t>
  </si>
  <si>
    <t>FEBRERO DE 2020</t>
  </si>
  <si>
    <t>IMPUESTO INMOBILIARIO - PAGO ANUAL 2020</t>
  </si>
  <si>
    <t>PERIODO 01/2020 - CTA. 02</t>
  </si>
  <si>
    <t>IMPUESTO MUNICIPAL - CTAS. 7-8-9-10-11-12/2019 Y 1-2-3/2020</t>
  </si>
  <si>
    <t>TRABAJOS DE MAMPOSTERIA - CUOTA Nº7</t>
  </si>
  <si>
    <t>DECORADORA</t>
  </si>
  <si>
    <t>1ºETAPA - ( A Cta.) TOTAL:$280.000</t>
  </si>
  <si>
    <t>17/3/2020</t>
  </si>
  <si>
    <t>GIRSU - 12/2019</t>
  </si>
  <si>
    <t>64 DESAGUES LINEAL 70 CM BURBUJA IDEAL</t>
  </si>
  <si>
    <t>13/4</t>
  </si>
  <si>
    <t>TRABAJOS DE MAMPOSTERIA - CUOTA Nº8</t>
  </si>
  <si>
    <t>17/4/2020</t>
  </si>
  <si>
    <t>PERIODO 02/2020 - CTA.01</t>
  </si>
  <si>
    <t>1806/1643/1423</t>
  </si>
  <si>
    <t>55 INODOROS, BIDET Y SUS TAPAS</t>
  </si>
  <si>
    <t>TRABAJOS DE MAMPOSTERIA - CUOTA Nº9</t>
  </si>
  <si>
    <t>13/5/2020</t>
  </si>
  <si>
    <t>PERIODO 04/2020</t>
  </si>
  <si>
    <t>Ok 19/5/2020 $37.691.627,25 + DIF OSSE $254.43</t>
  </si>
  <si>
    <t>SAYCO SACIF</t>
  </si>
  <si>
    <t>LAVATORIO, CANILLA, DEPOSITO ETC.</t>
  </si>
  <si>
    <t xml:space="preserve">MATERIALES VARIOS </t>
  </si>
  <si>
    <t>18/05/2020</t>
  </si>
  <si>
    <t>PERIODO 02/2020 - CTA.02</t>
  </si>
  <si>
    <t>29/5/2020</t>
  </si>
  <si>
    <t>PERIODO 03/2020</t>
  </si>
  <si>
    <t>PERIODO 05/2020</t>
  </si>
  <si>
    <t>MATERIALES RED INCENDIO</t>
  </si>
  <si>
    <t>TUBO MH 40 HOJA SIERRA</t>
  </si>
  <si>
    <t>PERIODO 03/2020 - CTA. 01</t>
  </si>
  <si>
    <t>IMPUESTO MUNICIPAL - CUOTA 06/2020</t>
  </si>
  <si>
    <t>23/6/2020</t>
  </si>
  <si>
    <t>GASTOS VARIOS</t>
  </si>
  <si>
    <t>NAFTA</t>
  </si>
  <si>
    <t>CUOTA AÑO 2020</t>
  </si>
  <si>
    <t>26/6/2020</t>
  </si>
  <si>
    <t>LADRILLO 12X18X33</t>
  </si>
  <si>
    <t>HIERRO 6 MM.</t>
  </si>
  <si>
    <t>26/62020</t>
  </si>
  <si>
    <t>CAL, HIERRO 6 MM, TACURU Y LADRILLO 8X18X33</t>
  </si>
  <si>
    <t>FIRE SEC SRL</t>
  </si>
  <si>
    <t>GRAMPAS - RED DE INCENDIO</t>
  </si>
  <si>
    <t>PERIODO 03/2020 - CTA. 02</t>
  </si>
  <si>
    <t>13/7/2020</t>
  </si>
  <si>
    <t>IMPUESTO MUNICIPAL - CUOTA 07/2020</t>
  </si>
  <si>
    <t>20/7/2020</t>
  </si>
  <si>
    <t>DEL CENTRO - NORTON TELA</t>
  </si>
  <si>
    <t>22/7/2020</t>
  </si>
  <si>
    <t>EL BUFALO BULONERA - TACOS</t>
  </si>
  <si>
    <t>30/07/2020</t>
  </si>
  <si>
    <t>PERIODO 07/2020</t>
  </si>
  <si>
    <t>PERIODO 06/2020</t>
  </si>
  <si>
    <t>MATERIALES INCENDIO</t>
  </si>
  <si>
    <t>GAS</t>
  </si>
  <si>
    <t>FAC. PTE. X $137.000</t>
  </si>
  <si>
    <t>OBRA GAS</t>
  </si>
  <si>
    <t>YA ENTREGARON FACTURA $100.000 + $137.000 (20/10)</t>
  </si>
  <si>
    <t>DISCO, TUBO MH</t>
  </si>
  <si>
    <t>IMPUESTO MUNICIPAL - CUOTA 08/2020</t>
  </si>
  <si>
    <t>PERIODO 04/2020 - CTA. 01</t>
  </si>
  <si>
    <t>TASA POR SERVICIO DE VALET (DESCARGA)</t>
  </si>
  <si>
    <t>18/08/2020</t>
  </si>
  <si>
    <t>3 PALETS LADRILLOS 12X18X33</t>
  </si>
  <si>
    <t>19/8/2020</t>
  </si>
  <si>
    <t>226/7 FACTURA 19/9</t>
  </si>
  <si>
    <t>PAGO A CTA. MATERIALES RED DE INCENDIOS</t>
  </si>
  <si>
    <t>20/8/2020</t>
  </si>
  <si>
    <t>PERIODO 08/2020</t>
  </si>
  <si>
    <t>12 M. DE HORMIGON P/TERRAZA</t>
  </si>
  <si>
    <t>25/08/2020</t>
  </si>
  <si>
    <t>MOREYRA ROLANDO</t>
  </si>
  <si>
    <t>RED DE INCENDIO: MATERIALES</t>
  </si>
  <si>
    <t>27/08/2020</t>
  </si>
  <si>
    <t>28/08/2020</t>
  </si>
  <si>
    <t>RED DE INCENDIO: FLETE</t>
  </si>
  <si>
    <t>SEGURO ANUAL (25/08/20 - 25/08/21)</t>
  </si>
  <si>
    <t>CEMENTO, CAL, TACURU, HIERRO, ALAMBRE</t>
  </si>
  <si>
    <t>YESO, INTERIOR,COLORANTE, ETC.</t>
  </si>
  <si>
    <t>226/7 - FACTURA 19/9</t>
  </si>
  <si>
    <t>FAC. PTE. (DEL 5/9 AL 10/12) X $679.370</t>
  </si>
  <si>
    <t>LOZA RADIANTE: MATERIALES. 6 CALDERAS ARISTON</t>
  </si>
  <si>
    <t>CONSORTI - SILVA</t>
  </si>
  <si>
    <t>A CTA. ELECTRICIDAD CON MATERIALES</t>
  </si>
  <si>
    <t>FAC. PTE. (DEL 10/10 AL 10/01) X $838.440</t>
  </si>
  <si>
    <t>ACCESORIOS SALA DE CALDERAS</t>
  </si>
  <si>
    <t>PERIODO 04/2020 - LIQ. 02</t>
  </si>
  <si>
    <t>IMPUESTO MUNICIPAL - CUOTA 09/2020</t>
  </si>
  <si>
    <t>17/09/2020</t>
  </si>
  <si>
    <t>EL COLONO / EDEN - GASTOS VARIOS</t>
  </si>
  <si>
    <t>22/9/2020</t>
  </si>
  <si>
    <t>DESAGUE LINEAL REGULADOR</t>
  </si>
  <si>
    <t>16/09/2020</t>
  </si>
  <si>
    <t>LADRILLO HUEVO, HIERRO 8 MM</t>
  </si>
  <si>
    <t>23/09/2020</t>
  </si>
  <si>
    <t>28 CODOS, 6 CAÑOS</t>
  </si>
  <si>
    <t>FLETE FIRE SEC SRL</t>
  </si>
  <si>
    <t>29/09/2020</t>
  </si>
  <si>
    <t>LADRILLO 8 X 18, PLASTICOR, HIERRO 8 MM</t>
  </si>
  <si>
    <t>LADRILLO 8 X18, 12 X 18, CAL, HIERRO 6 MM</t>
  </si>
  <si>
    <t>NAFTA, TONILLOS</t>
  </si>
  <si>
    <t>PERIODO 05/20 LIQ. 1</t>
  </si>
  <si>
    <t>ARENA</t>
  </si>
  <si>
    <t>13/10/2020</t>
  </si>
  <si>
    <t>PINTURERIA</t>
  </si>
  <si>
    <t>DEL CENTRO - ALBALUX Y FONDO</t>
  </si>
  <si>
    <t>IMPUESTO MUNICIPAL - CUOTA 10/2020</t>
  </si>
  <si>
    <t>19/10/2020</t>
  </si>
  <si>
    <t>PERIODO 09/2020</t>
  </si>
  <si>
    <t>16/10/2020</t>
  </si>
  <si>
    <t>20/10</t>
  </si>
  <si>
    <t>RED DE INCENDIO: MATERIALES EL BUFALO TACO</t>
  </si>
  <si>
    <t>20/10/2020</t>
  </si>
  <si>
    <t>PAGO A CUENTA - VARIOS (SALDO $1.300.000 + IVA)</t>
  </si>
  <si>
    <t>PLOMERIA TERRAZA</t>
  </si>
  <si>
    <t>PLOMERIA TROCHE - CAÑERIAS AGUA CALIENTE - PROVISION AISLACIONES ELASTOMETRICAS P/FORRADO CAÑERIAS</t>
  </si>
  <si>
    <t>21/10/2020</t>
  </si>
  <si>
    <t>PRODUCTOS QUIMICOS</t>
  </si>
  <si>
    <t>23/10/2020</t>
  </si>
  <si>
    <t>CEMENTO, CAL, PALLET, FLETE</t>
  </si>
  <si>
    <t>27/10/2020</t>
  </si>
  <si>
    <t>GAS OIL (TICKETS A VARIOS)</t>
  </si>
  <si>
    <t>28/10/2020</t>
  </si>
  <si>
    <t>RED DE INCENDIO: MOREYRA: ELECTRODOS, DISCOS</t>
  </si>
  <si>
    <t>RED DE INCENDIO MATERIALES</t>
  </si>
  <si>
    <t>29/10/2020</t>
  </si>
  <si>
    <t>DEL CENTRO PINTURERIAS</t>
  </si>
  <si>
    <t>15 CAL X 2 KG.</t>
  </si>
  <si>
    <t>RED DE INCENDIO MATERIALES: URBANIA EQUIPAMIENTO P/HOGAR</t>
  </si>
  <si>
    <t>RED DE INCENDIO MATERIALES: 123.22 M2 CUCINA 28X45</t>
  </si>
  <si>
    <t>PERIODO 05/20 - LIQ. 2</t>
  </si>
  <si>
    <t>LADRILLOS 18X18/12X18, HIERRO 8 Y6, CAL, CEMENTO</t>
  </si>
  <si>
    <t>RED DE INCENDIO MATERIALES: 40,4 M2 CUCINA 28X45</t>
  </si>
  <si>
    <t>FACTURAS VARIAS</t>
  </si>
  <si>
    <t>IMPUESTO MUNICIPAL - CUOTA 11/2020</t>
  </si>
  <si>
    <t>16/11/2020</t>
  </si>
  <si>
    <t>RODILLO, ESM SINTETICO, DILUYENTE</t>
  </si>
  <si>
    <t>IMPUESTO MUNICIPAL - CUOTA 04 y 05/2020</t>
  </si>
  <si>
    <t>18/11/2020</t>
  </si>
  <si>
    <t>MATERIALES INCENDIO SOTANO</t>
  </si>
  <si>
    <t>20/11/2020</t>
  </si>
  <si>
    <t>GIRSU/ENOSUR - AJUSTE 2019</t>
  </si>
  <si>
    <t>24/11/2020</t>
  </si>
  <si>
    <t>25/11/2020</t>
  </si>
  <si>
    <t>CUCINA ARANCIO</t>
  </si>
  <si>
    <t>PERIODO 06/2020 - CTA. 01</t>
  </si>
  <si>
    <t>EL BUFALO BULONERA - CINTA</t>
  </si>
  <si>
    <t>IMPUESTO MUNICIPAL - CUOTA 12/2020</t>
  </si>
  <si>
    <t>PERIODO 11/2020</t>
  </si>
  <si>
    <t>21/12/2020</t>
  </si>
  <si>
    <t>MATERIALES: FACTURAS VARIAS</t>
  </si>
  <si>
    <t>22/12/2020</t>
  </si>
  <si>
    <t>GASOIL Y ABETE</t>
  </si>
  <si>
    <t>PERIODO 12/2020</t>
  </si>
  <si>
    <t>29/12/2020</t>
  </si>
  <si>
    <t>POLIPROPILENO X 600</t>
  </si>
  <si>
    <t>CEMENTO</t>
  </si>
  <si>
    <t>PERIODO 06/2020 - CTA 02</t>
  </si>
  <si>
    <t>18/1/2021</t>
  </si>
  <si>
    <t>CAL, LADRILLO 12X18X33, ISOCRET, CEMENTO</t>
  </si>
  <si>
    <t>IMPUESTO MUNICIPAL - CUOTA 01/2021</t>
  </si>
  <si>
    <t>22/1/2021</t>
  </si>
  <si>
    <t>PERIODO 01/2021</t>
  </si>
  <si>
    <t>25/1/2021</t>
  </si>
  <si>
    <t>LADRILLOS, CEMENTO, CLAVOS</t>
  </si>
  <si>
    <t>6 TANQUES 600 L Y 1 DE 2500L</t>
  </si>
  <si>
    <t>27/1/2021</t>
  </si>
  <si>
    <t>RED DE INCENDIO MATERIALES: VARIOS</t>
  </si>
  <si>
    <t>28/1/2021</t>
  </si>
  <si>
    <t>MATERIALES SALA DE TANQUES</t>
  </si>
  <si>
    <t>HOSPITAL ITALIANO - CIRUGIA ROBOTICA</t>
  </si>
  <si>
    <t>HONORIOS MEDICOS CIRUGIA</t>
  </si>
  <si>
    <t>COMPRA MATERIALES VS.</t>
  </si>
  <si>
    <t>PERIODO 01/21 - CTA. 01</t>
  </si>
  <si>
    <t>14/2/2021</t>
  </si>
  <si>
    <t>IMPUESTO MUNICIPAL - CUOTA 02/2021</t>
  </si>
  <si>
    <t>16/2/2021</t>
  </si>
  <si>
    <t>REGALOS EMPRESARIALES</t>
  </si>
  <si>
    <t>20/2/21</t>
  </si>
  <si>
    <t>EL BUFALO</t>
  </si>
  <si>
    <t>21/2/21</t>
  </si>
  <si>
    <t>ERRIQUEZ SALA DE TANQUES</t>
  </si>
  <si>
    <t>22/2/2021</t>
  </si>
  <si>
    <t>PERIODO 02/2021</t>
  </si>
  <si>
    <t>23/2/2021</t>
  </si>
  <si>
    <t>596/5767/5859</t>
  </si>
  <si>
    <t>3 FACTURAS VARIAS</t>
  </si>
  <si>
    <t>CASA JULIANA</t>
  </si>
  <si>
    <t>IMP. INMOBILIARIO - AÑO 2021</t>
  </si>
  <si>
    <t>25/2/2021</t>
  </si>
  <si>
    <t>CEMENTO Y CAL</t>
  </si>
  <si>
    <t>26/2/2021</t>
  </si>
  <si>
    <t>MARZO Y DICIEMBRE 2020 - ENERO Y FEBREROO 2021</t>
  </si>
  <si>
    <t>PERIODO 01/21 - CTA. 02</t>
  </si>
  <si>
    <t>CERAMICOS</t>
  </si>
  <si>
    <t>CERTIFICADO Nº8 - INST. SANITARIA</t>
  </si>
  <si>
    <t>IMPUESTO MUNICIPAL - CUOTA 03/2021</t>
  </si>
  <si>
    <t>17/3/2021</t>
  </si>
  <si>
    <t>19/3/21</t>
  </si>
  <si>
    <t>CASA BLANCO</t>
  </si>
  <si>
    <t>1 TERMICA</t>
  </si>
  <si>
    <t>23/03/2021</t>
  </si>
  <si>
    <t>PERIODO 03/20/21</t>
  </si>
  <si>
    <t>23/3/21</t>
  </si>
  <si>
    <t>SALA DE TANQUES: ADICIONALES</t>
  </si>
  <si>
    <t>MAYOR COSTO N°8</t>
  </si>
  <si>
    <t>25/3/21</t>
  </si>
  <si>
    <t>CEMENTO X 50 KG</t>
  </si>
  <si>
    <t>MARZO DE 2021</t>
  </si>
  <si>
    <t>PERIODO 02/21 - CTA. 01</t>
  </si>
  <si>
    <t>LADRILLOS, CEMENTO, PALLET</t>
  </si>
  <si>
    <t>13/4/21</t>
  </si>
  <si>
    <t>14/4/21</t>
  </si>
  <si>
    <t>IMPUESTO MUNICIPAL - ANTICIPO 04/2021</t>
  </si>
  <si>
    <t>16/4/21</t>
  </si>
  <si>
    <t>BOMBA ELEVADORA 20 HP</t>
  </si>
  <si>
    <t>20/4/21</t>
  </si>
  <si>
    <t>VARIAS</t>
  </si>
  <si>
    <t>LA CASA DEL JARDINERO</t>
  </si>
  <si>
    <t>23/4/21</t>
  </si>
  <si>
    <t>PERIODO 04/2021</t>
  </si>
  <si>
    <t>29/4/21</t>
  </si>
  <si>
    <t>TACURU X 20</t>
  </si>
  <si>
    <t>MACROFER</t>
  </si>
  <si>
    <t xml:space="preserve">ALAMBRE NEGRO </t>
  </si>
  <si>
    <t>30/4/21</t>
  </si>
  <si>
    <t>PERIODO 02/21 - CTA. 02</t>
  </si>
  <si>
    <t>OK 14/05/21 $56125126.69</t>
  </si>
  <si>
    <t>21/5/21</t>
  </si>
  <si>
    <t>PERIODO 05/2021</t>
  </si>
  <si>
    <t>LADRILLO HUEVO 8x18x33</t>
  </si>
  <si>
    <t>PLASTICO</t>
  </si>
  <si>
    <t>PERIODO 03/21 - CTA.1</t>
  </si>
  <si>
    <t>23/6/21</t>
  </si>
  <si>
    <t>PERIODO 06/2021</t>
  </si>
  <si>
    <t>ROSCAMAR</t>
  </si>
  <si>
    <t>BROCAS, MECHAS, SELLADOR, PITONES</t>
  </si>
  <si>
    <t>AMBITO</t>
  </si>
  <si>
    <t>YESSAN YESO PARIS X 6KG</t>
  </si>
  <si>
    <t>PERIODO 03/21 - CTA.2</t>
  </si>
  <si>
    <t>VARILLA, TUERCA, ARANDELA</t>
  </si>
  <si>
    <t>14/7</t>
  </si>
  <si>
    <t>YESO X 5KG</t>
  </si>
  <si>
    <t>20/7</t>
  </si>
  <si>
    <t>HIERRO 6 MM., CEMENTO, HIDROFUGO, PASTINA</t>
  </si>
  <si>
    <t>PERIODO 04/21 - CTA. 1</t>
  </si>
  <si>
    <t>RUIDO MAZAS DE RECORRIDO, LIMPIEZA, ENGRASE</t>
  </si>
  <si>
    <t>SEGURO ANUAL (25/08/21 - 25/08/22)</t>
  </si>
  <si>
    <t>PERIODO 8/2021</t>
  </si>
  <si>
    <t>CEMENTO Y TUCURU</t>
  </si>
  <si>
    <t>TACURU X 10L.</t>
  </si>
  <si>
    <t>CERTIFICADO Nº9 - INST. SANITARIA</t>
  </si>
  <si>
    <t>IMPUESTO MUNICIPAL - ANTICIPO 09/2021</t>
  </si>
  <si>
    <t>AJUSTE CERTIFICADO Nº9 - INST. SANITARIA</t>
  </si>
  <si>
    <t>A CTA. TRABAJOS ADICIONALES (2)</t>
  </si>
  <si>
    <t>PERIODO 09/2021</t>
  </si>
  <si>
    <t>MALLA FIBRA VIDRIO</t>
  </si>
  <si>
    <t>MAGIC BLANCO, MASILLA PLASTICA, SEAKROME CONV. BLANCO</t>
  </si>
  <si>
    <t>FONDO GALVANIZADO, MAGIC GRIS, REVSTA, THINNER, RODILLO</t>
  </si>
  <si>
    <t>A CTA. ELECTRICIDAD CON MATERIALES (TOTAL U$S 200.000 +  IVA)</t>
  </si>
  <si>
    <t>IMPUESTO MUNICIPAL - ANTICIPO 10/2021</t>
  </si>
  <si>
    <t xml:space="preserve">WEBER, HIERRO, TACURU, ALAMBRE, ETC </t>
  </si>
  <si>
    <t>PERIODO 10/2021</t>
  </si>
  <si>
    <t>ALETADO 6MM.</t>
  </si>
  <si>
    <t>IMPUESTO MUNICIPAL - ANTICIPO 11/2021</t>
  </si>
  <si>
    <t>MADERAS MISIONES - FENOLICOS</t>
  </si>
  <si>
    <t>PERIODO 11/2021</t>
  </si>
  <si>
    <t>ALQUILER</t>
  </si>
  <si>
    <t>ALQUILER TEMP. (16/12/21 AL 30/04/2022)</t>
  </si>
  <si>
    <t>SILCOR YESERIA</t>
  </si>
  <si>
    <t>PAGO A CTA. MANETTA (TOTAL: $28.471.000)</t>
  </si>
  <si>
    <t>PAGO A CTA. DRAP (TOTAL:$ 28.471.000)</t>
  </si>
  <si>
    <t>CEMENTO Y CERMICO</t>
  </si>
  <si>
    <t>MATERALES VARIOS</t>
  </si>
  <si>
    <t>ANTICIPO 5, 6 Y 8/2021</t>
  </si>
  <si>
    <t>PERIODO 06/2021 - CTA. 2</t>
  </si>
  <si>
    <t>SERVICIO DICIEMBRE 2021</t>
  </si>
  <si>
    <t>CAMBIO FOTOCELULA 4 HACES - MONTACOCHES</t>
  </si>
  <si>
    <t>PERIODO 01/2022</t>
  </si>
  <si>
    <t>2 FACTURAS - TAPON CUPLA</t>
  </si>
  <si>
    <t>SERVICIO ENERO 2022</t>
  </si>
  <si>
    <t>PERIODO 01/22 CTA. 1 (11/11 - 13/1/22)</t>
  </si>
  <si>
    <t>PERIODO 02/2022</t>
  </si>
  <si>
    <t>IMPUESTOS INMOBILIARIO AÑO 2022</t>
  </si>
  <si>
    <t>PERIODO 01/22 CTA. 2 (11/11 - 13/1/22)</t>
  </si>
  <si>
    <t>PERIODO 03/2022</t>
  </si>
  <si>
    <t>SERVICIO FEBRERO 2022</t>
  </si>
  <si>
    <t>CAMBIO CABLES ACERO Y BRAZO</t>
  </si>
  <si>
    <t>CORRIMIENTO DE CAJAS, MATERIALES P/LUZ</t>
  </si>
  <si>
    <t>PERIODO 02/22 - CTA. 1</t>
  </si>
  <si>
    <t>IMP. MUNICIPAL ANTICIPO 04/2022</t>
  </si>
  <si>
    <t>PERIODO 04/2022</t>
  </si>
  <si>
    <t>CEMENTO, ARENA</t>
  </si>
  <si>
    <t>CEMENTO, CAL, ARENA (1/4)</t>
  </si>
  <si>
    <t>PERIODO 02/2022 - CTA.2</t>
  </si>
  <si>
    <t>PERIODO 05/2022</t>
  </si>
  <si>
    <t>SANITARIOS PATACHON - VARIOS</t>
  </si>
  <si>
    <t>PERIODO 03/2022 CTA. 1</t>
  </si>
  <si>
    <t>ARENA, CAL</t>
  </si>
  <si>
    <t>PERIODO 06/2022</t>
  </si>
  <si>
    <t>CAL, FLETE</t>
  </si>
  <si>
    <t>HIDROFUGO</t>
  </si>
  <si>
    <t>PERIODO 03/2022 CTA. 2</t>
  </si>
  <si>
    <t>ADICIONAL - SALA BOILER, INS. SANITARIA</t>
  </si>
  <si>
    <t>PERIODO 07/2022</t>
  </si>
  <si>
    <t>ARENA, CEMENTO, CAL, HIDROFUGO, ETC</t>
  </si>
  <si>
    <t>PERIODO 04/2022 CTA.1</t>
  </si>
  <si>
    <t>ANTICIPO 8/2022</t>
  </si>
  <si>
    <t>PERIODO 08/2022</t>
  </si>
  <si>
    <t>SEGURO ANUAL (25/08/22 - 24/08/23)</t>
  </si>
  <si>
    <t>PASTINA, WEBER, CALIFORNIA</t>
  </si>
  <si>
    <t>PERIODO 04/2022 CTA. 2</t>
  </si>
  <si>
    <t>CERTIFICADO DE OBRA N°10</t>
  </si>
  <si>
    <t>ANTICIPO 09/2022</t>
  </si>
  <si>
    <t>ARENA, CEMENTO, Y CAL</t>
  </si>
  <si>
    <t>PERIODO 09/2022</t>
  </si>
  <si>
    <t>PERIODO 05/2022 CTA. 1</t>
  </si>
  <si>
    <t>ANTICIPO 10/2022</t>
  </si>
  <si>
    <t>CARPINTERIA CONTRAFRENTE</t>
  </si>
  <si>
    <t>PAGO A CTA. (TOTAL:$ 43.700.000)</t>
  </si>
  <si>
    <t>CAL, CEMENTO</t>
  </si>
  <si>
    <t>MAYOR COSTO N°10</t>
  </si>
  <si>
    <t>PERIODO 10/2022</t>
  </si>
  <si>
    <t>PERIODO 05/2022 CTA. 2</t>
  </si>
  <si>
    <t>IMP. MUNICIPAL - ANTICIPO 11/2022</t>
  </si>
  <si>
    <t>PERIODO 11/2022</t>
  </si>
  <si>
    <t>PAGO A CTA. MASTRANGELO (TOTAL:$ 43.700.000)</t>
  </si>
  <si>
    <t>RESTAURADOR DE SUP, LIJA</t>
  </si>
  <si>
    <t>PROVISION DE COBRE - SALA CALDERAS</t>
  </si>
  <si>
    <t>PERIODO 06/2022 - CTA. 01</t>
  </si>
  <si>
    <t>IMP. MUNICIPAL - ANTICIPO 12/2022</t>
  </si>
  <si>
    <t>PERIODO 12/2022</t>
  </si>
  <si>
    <t>PERIODO 06/2022 - CTA. 02</t>
  </si>
  <si>
    <t>ENERO DE 2023</t>
  </si>
  <si>
    <t>IMP. MUNICIPAL - ANTICIPO 01/2023</t>
  </si>
  <si>
    <t>PERIODO 01/2023</t>
  </si>
  <si>
    <t>FCTAURAS VS.</t>
  </si>
  <si>
    <t>LIJA</t>
  </si>
  <si>
    <t>PERIODO 01/23 CTA. 1</t>
  </si>
  <si>
    <t>FEBRERO DE 2023</t>
  </si>
  <si>
    <t>IMPUESTO INMOBILIARIO - AÑO 2023</t>
  </si>
  <si>
    <t>PERIODO 02/2023</t>
  </si>
  <si>
    <t>PERIODO 01/23 CTA. 2</t>
  </si>
  <si>
    <t>LIJA- PINCELES - RODILLOS</t>
  </si>
  <si>
    <t>ANTICIPO PERIODO 03/2023</t>
  </si>
  <si>
    <t>MARZO DE 2023</t>
  </si>
  <si>
    <t>PERIODO 03/2023</t>
  </si>
  <si>
    <t>LIJAS</t>
  </si>
  <si>
    <t>PERIODO 02/23 - CTA. 01</t>
  </si>
  <si>
    <t>IMP. MUNICIPAL - ANTICIPO 04/2023</t>
  </si>
  <si>
    <t>JUAN M. LANDA</t>
  </si>
  <si>
    <t>LAD HUECO-ARENA-CEMENTO-HIERRO</t>
  </si>
  <si>
    <t>PERIODO 04/2023</t>
  </si>
  <si>
    <t>CAMBIO PLAQUETA BOTON DE ALARMA</t>
  </si>
  <si>
    <t>PERIODO 02/23 - CTA. 02</t>
  </si>
  <si>
    <t>IMP. MUNICIPAL - ANTICIPO 05/2023</t>
  </si>
  <si>
    <t>PERIODO 05/2023</t>
  </si>
  <si>
    <t>CASA TRITON</t>
  </si>
  <si>
    <t>AGUARRAS Y GUANTES</t>
  </si>
  <si>
    <t>PERIODO 03/23 - CTA. 01</t>
  </si>
  <si>
    <t>MASTRANGELO</t>
  </si>
  <si>
    <t>CARPINTERIA ALUMINIO PISOS 11 Y 12</t>
  </si>
  <si>
    <t>3120/3228</t>
  </si>
  <si>
    <t>ANTICIPO PERIODO 06/2023</t>
  </si>
  <si>
    <t>PORCELANATOS</t>
  </si>
  <si>
    <t>ACCIONAR DE RECAMBIO</t>
  </si>
  <si>
    <t>PERIODO 06/2023</t>
  </si>
  <si>
    <t>SAN FRANCISCO</t>
  </si>
  <si>
    <t>REVESTIMIENTO FENOLICO ASCENSORES</t>
  </si>
  <si>
    <t>PERIODO 03/23 - CTA. 02</t>
  </si>
  <si>
    <t>ANTICIPO PERIODO 07/2023</t>
  </si>
  <si>
    <t>ARENA-CEMENTO-CAL-ALAMBRE</t>
  </si>
  <si>
    <t>PERIODO 07/2023</t>
  </si>
  <si>
    <t>2640/3156/3338</t>
  </si>
  <si>
    <t>LADRILLOS-ARENA-CEMENTO-CAL-ALAMBRE</t>
  </si>
  <si>
    <t>BELLI &amp; CIA</t>
  </si>
  <si>
    <t>ARCO SEPARADOR X 150 UNIDADES</t>
  </si>
  <si>
    <t>HERRAJES EL GREMIO</t>
  </si>
  <si>
    <t>VISAGRAS</t>
  </si>
  <si>
    <t>PERIODO 04/23 - CTA. 01</t>
  </si>
  <si>
    <t>PERIODO 08/2023</t>
  </si>
  <si>
    <t>MOLDURAS ACERO</t>
  </si>
  <si>
    <t>MORAN HNOS</t>
  </si>
  <si>
    <t>SEPARADOR P/ NIVEL PORCEL. ARCO SEP</t>
  </si>
  <si>
    <t>1 CONTENEDOR</t>
  </si>
  <si>
    <t>VARILLAS ACERO INOXIDABLE</t>
  </si>
  <si>
    <t>J.M. LANDA</t>
  </si>
  <si>
    <t>VIGUETA-LADRILLOS-GRANZA-ARENA-CAL</t>
  </si>
  <si>
    <t>MONTAVEHICULOS - COL 20 LTS ACEITE</t>
  </si>
  <si>
    <t xml:space="preserve">ARENA - GRANZA </t>
  </si>
  <si>
    <t>IMPERMEABLE</t>
  </si>
  <si>
    <t>FESCAP</t>
  </si>
  <si>
    <t>ALUMINIO FRENTE</t>
  </si>
  <si>
    <t>FED. PATRONAL</t>
  </si>
  <si>
    <t>DEL 25/08/23 AL 24/08/24</t>
  </si>
  <si>
    <t>PERIODO 04/23 - CTA. 02</t>
  </si>
  <si>
    <t>PERIODO 09/2023</t>
  </si>
  <si>
    <t>PUGLIESE</t>
  </si>
  <si>
    <t>DOBLE VIDRIADO HERMETICO - FRENTE</t>
  </si>
  <si>
    <t>13846/ 13454</t>
  </si>
  <si>
    <t>ARENA-GRANZA-HIERRO-FLETE</t>
  </si>
  <si>
    <t>PERIODO 05/23 - CTA. 01</t>
  </si>
  <si>
    <t>PERIODO 10/2023</t>
  </si>
  <si>
    <t>CERROSUD S.A.</t>
  </si>
  <si>
    <t>DECOR CANELA RIPADO</t>
  </si>
  <si>
    <t>PERIODO 05/23 - CTA. 02</t>
  </si>
  <si>
    <t>7168/9 - 342</t>
  </si>
  <si>
    <t>WEBER PORCELANATO</t>
  </si>
  <si>
    <t>PERIODO 11/2023</t>
  </si>
  <si>
    <t>166048-50</t>
  </si>
  <si>
    <t>TIR PERFIL NEGRO / CORTE Y PLEGADO</t>
  </si>
  <si>
    <t>VIDRIOS CONTRAFRENTE - DVH BL3</t>
  </si>
  <si>
    <t>PLACA ELECTRONICA - PLACA AUXILIAR</t>
  </si>
  <si>
    <t>PERIODO 06/23 - CTA. 01</t>
  </si>
  <si>
    <t xml:space="preserve">DRAP </t>
  </si>
  <si>
    <t>RESTAURADOR DE SUP.</t>
  </si>
  <si>
    <t>CEMENTO LOMA NEGRA X 50 KG</t>
  </si>
  <si>
    <t>PERIODO 12/2023</t>
  </si>
  <si>
    <t>PERIODO 06/23 - CTA. 02</t>
  </si>
  <si>
    <t>ENERO DE 2024 - ADICIONALES</t>
  </si>
  <si>
    <t>PERIODO 01/2024</t>
  </si>
  <si>
    <t>PERIODO 01/24 - CTA. 01</t>
  </si>
  <si>
    <t>PUGLIESE &amp; CIA</t>
  </si>
  <si>
    <t>BLINDEX INC Y ESMER. BALCONES CFTE</t>
  </si>
  <si>
    <t>PAGO IIBB (SEPT 2023 A ENE 2024)</t>
  </si>
  <si>
    <t>168931/ 2</t>
  </si>
  <si>
    <t>PERFILES ALUMINIO P/ ABERTURAS BALCONES CONTRAFRENTE</t>
  </si>
  <si>
    <t>PERIODO 02/2024</t>
  </si>
  <si>
    <t>PERIODO 01/ 2024</t>
  </si>
  <si>
    <t>CAMBIO MEDIDOR</t>
  </si>
  <si>
    <t>FEBRERO DE 2024</t>
  </si>
  <si>
    <t>MATAFUEGOS IND</t>
  </si>
  <si>
    <t>MATAFUEGO 2.5 KG NUEVO C/ SELLO IRAM + CHAPA + BALIZA</t>
  </si>
  <si>
    <t>PERIODO 01/24 - CTA. 02</t>
  </si>
  <si>
    <t>ULTRA ASCENSORES</t>
  </si>
  <si>
    <t>MARZO DE 2024</t>
  </si>
  <si>
    <t>1 SERVICIO</t>
  </si>
  <si>
    <t>PERIODO 03/2024</t>
  </si>
  <si>
    <t>CUOTA 02/2024</t>
  </si>
  <si>
    <t>PERIODO 04/2024</t>
  </si>
  <si>
    <t>PERIODO 03/24</t>
  </si>
  <si>
    <t>PERIODO 04/24</t>
  </si>
  <si>
    <t>PERIODO 05/2024</t>
  </si>
  <si>
    <t>CONTADOR</t>
  </si>
  <si>
    <t xml:space="preserve">HONORARIOS BALANCE </t>
  </si>
  <si>
    <t>CUOTA 03/2024</t>
  </si>
  <si>
    <t>PERIODO 06/2024</t>
  </si>
  <si>
    <t>CAMBIO VAINA Y LANZA BRAZO - TIRAS CABLE ACERO</t>
  </si>
  <si>
    <t>DRAP S.A.</t>
  </si>
  <si>
    <t>PINTURA ASFALTICA</t>
  </si>
  <si>
    <t xml:space="preserve">OSSE </t>
  </si>
  <si>
    <t>PERIODO 05/24</t>
  </si>
  <si>
    <t>14 UN. PASTINA X 2KG</t>
  </si>
  <si>
    <t>15 UN. PASTINA X 2KG</t>
  </si>
  <si>
    <t>PERIODO 06/24</t>
  </si>
  <si>
    <t>PERIODO 07/2024</t>
  </si>
  <si>
    <t>CINTA DE PAPEL OBRA AZUL</t>
  </si>
  <si>
    <t>FLETE ZONA</t>
  </si>
  <si>
    <t>CUOTA 04/2024</t>
  </si>
  <si>
    <t>BERTELLO</t>
  </si>
  <si>
    <t>2 SERVICIOS CONTENEDORES</t>
  </si>
  <si>
    <t>PERIODO 08/2024</t>
  </si>
  <si>
    <t>PERIODO 07/24</t>
  </si>
  <si>
    <t>MEDIANERA (LADO LAMADRID)</t>
  </si>
  <si>
    <t>TRANSMISOR DE FOTOCELULA SEG. PLAT. MONTACOCHES</t>
  </si>
  <si>
    <t>POLIZA DEL 25/08/24 AL 25/02/25</t>
  </si>
  <si>
    <t>PORCELANATOS - CERESITA - FLETE</t>
  </si>
  <si>
    <t>MDQ FERRETERIA</t>
  </si>
  <si>
    <t>LIJA ANTIEMPASTE</t>
  </si>
  <si>
    <t>LIGANTEX - MURO BLANCO Y FIJADO</t>
  </si>
  <si>
    <t>PERIODO 08/24</t>
  </si>
  <si>
    <t>PERIODO 09/2024</t>
  </si>
  <si>
    <t xml:space="preserve">PORCELANATOS </t>
  </si>
  <si>
    <t>QUIMICA ESSIG</t>
  </si>
  <si>
    <t>KTECH PLUS - ESSIPOL REST.</t>
  </si>
  <si>
    <t>PERIODO 10/2024</t>
  </si>
  <si>
    <t>PERIODO 09/24</t>
  </si>
  <si>
    <t>FOTOCELULAS MONTACARGAS - 2 TUBOS LED- LIMITE CIERRE</t>
  </si>
  <si>
    <t>PERIODO 11/2024</t>
  </si>
  <si>
    <t>21/11/0204</t>
  </si>
  <si>
    <t>PERIODO 10/24</t>
  </si>
  <si>
    <t>PERIODO 12/2024</t>
  </si>
  <si>
    <t>CAMBIO POLEA DESVIO A PORTON CFTE PB MONTACOCHE</t>
  </si>
  <si>
    <t>PERIODO 12/24</t>
  </si>
  <si>
    <t>PERIODO 01/2025</t>
  </si>
  <si>
    <t>SILVER 20X 1.14 - TEAK 20X 1.14</t>
  </si>
  <si>
    <t>ENERO DE 2025</t>
  </si>
  <si>
    <t>PERIODO 02/2025</t>
  </si>
  <si>
    <t>FEBRERO DE 2025</t>
  </si>
  <si>
    <t>GERSINI</t>
  </si>
  <si>
    <t>PUERTAS VS. INTERIOR EDIFICIO</t>
  </si>
  <si>
    <t>SEGURO DEL 25/02/25 AL 25/08/25</t>
  </si>
  <si>
    <t>CINTA PAPEL - VENDA POLIESTER - FILM NEGRO</t>
  </si>
  <si>
    <t>PERIODO 03/2025</t>
  </si>
  <si>
    <t>AÑO 2025</t>
  </si>
  <si>
    <t>PERIODO 02/25</t>
  </si>
  <si>
    <t>MARZO DE 2025</t>
  </si>
  <si>
    <t>BULFEROD</t>
  </si>
  <si>
    <t>VARILLA- TUERCA- MECHAS ACERO - PLANAS</t>
  </si>
  <si>
    <t>HIERROS FAULE</t>
  </si>
  <si>
    <t>ANGULO</t>
  </si>
  <si>
    <t>ADHESIL BLANCO - SEAKROME NARANJA</t>
  </si>
  <si>
    <t>VIRUTA - CINTA DE PAPEL</t>
  </si>
  <si>
    <t>PERIODO 04/2025</t>
  </si>
  <si>
    <t>22188-190-206-207-225</t>
  </si>
  <si>
    <t>CODO-UNION-CAÑOS-PROLONGACION-SELLADOR-TUBO</t>
  </si>
  <si>
    <t>PERIODO 03/25</t>
  </si>
  <si>
    <t>PERIODO 05/2025</t>
  </si>
  <si>
    <t>PERIODO 04/25</t>
  </si>
  <si>
    <t>LADRILLO-ARENA-CEMENTO-PALLET-FLETE</t>
  </si>
  <si>
    <t>PERIODO 06/2025</t>
  </si>
  <si>
    <t>PERIODO 05/25</t>
  </si>
  <si>
    <t>CIARDI HNOS</t>
  </si>
  <si>
    <t>CONDUCTORES-PROYECTOR-FOTOCONTROL ELECT.</t>
  </si>
  <si>
    <t>SERVICIO CONTENEDOR</t>
  </si>
  <si>
    <t>PERIODO 07/2025</t>
  </si>
  <si>
    <t>TORTUGA-LAMPARAS-CAJA TABLERO-SOPORTE</t>
  </si>
  <si>
    <t>PORCELANATO - CERRO NEGRO</t>
  </si>
  <si>
    <t>PERIODO 06/25</t>
  </si>
  <si>
    <t>PERIODO 07/25</t>
  </si>
  <si>
    <t>19361-2</t>
  </si>
  <si>
    <t>LADRILLO- HUECO-CAL-CEMENTO-PALLET-FLETE</t>
  </si>
  <si>
    <t>PERIODO 08/2025</t>
  </si>
  <si>
    <t>PERIODO 08/25</t>
  </si>
  <si>
    <t>ESPINDOLA</t>
  </si>
  <si>
    <t>TRABAJOS DE ELECTRICIDAD</t>
  </si>
  <si>
    <t>SEG. FED. PAT.</t>
  </si>
  <si>
    <t>POLIZA DEL 25/08/25 AL 25/02/26</t>
  </si>
  <si>
    <t xml:space="preserve">ARM </t>
  </si>
  <si>
    <t>PERIODO 09/2025</t>
  </si>
  <si>
    <t>0010-00023364</t>
  </si>
  <si>
    <t>RE-SA</t>
  </si>
  <si>
    <t>CAÑOS</t>
  </si>
  <si>
    <t>0010-00023407</t>
  </si>
  <si>
    <t>0002-00006241</t>
  </si>
  <si>
    <t xml:space="preserve">BENJAMIN S Y CIA SA </t>
  </si>
  <si>
    <t xml:space="preserve">FILTRO-BUJE </t>
  </si>
  <si>
    <t>DRAP PINTURERIAS</t>
  </si>
  <si>
    <t>HYDRARRAS-AIKE FRENTES</t>
  </si>
  <si>
    <t>0010-00023437</t>
  </si>
  <si>
    <t>0002-00006242</t>
  </si>
  <si>
    <t>BRIDA- JUNTA</t>
  </si>
  <si>
    <t>0010-00023480</t>
  </si>
  <si>
    <t xml:space="preserve">CODOS </t>
  </si>
  <si>
    <t>PERIODO 09/25</t>
  </si>
  <si>
    <t>0004-00027430</t>
  </si>
  <si>
    <t xml:space="preserve">CAT  SRL </t>
  </si>
  <si>
    <t xml:space="preserve">MEMBRANA/ VENDA P PARED </t>
  </si>
  <si>
    <t>0015-00004213</t>
  </si>
  <si>
    <t xml:space="preserve">CERROSUD </t>
  </si>
  <si>
    <t>ZEFIRO</t>
  </si>
  <si>
    <t>0007-00000429</t>
  </si>
  <si>
    <t xml:space="preserve">VALENZINA MUEBLES </t>
  </si>
  <si>
    <t>MESAS</t>
  </si>
  <si>
    <t>0010-00023460</t>
  </si>
  <si>
    <t>00100-00058983</t>
  </si>
  <si>
    <t>LA CARDEUSE</t>
  </si>
  <si>
    <t xml:space="preserve">COLCHON- ALMOHADA </t>
  </si>
  <si>
    <t>00100-00058960</t>
  </si>
  <si>
    <t>00100-00058953</t>
  </si>
  <si>
    <t>00100-00058952</t>
  </si>
  <si>
    <t>0001-000000043</t>
  </si>
  <si>
    <t xml:space="preserve">BERTELLO LUIS E </t>
  </si>
  <si>
    <t xml:space="preserve">SERVICIO DE CONTENEDOR </t>
  </si>
  <si>
    <t>0011-00020006</t>
  </si>
  <si>
    <t xml:space="preserve">JUAN M. LANDA </t>
  </si>
  <si>
    <t>CEMENTO-HIERRO-CLAVOS-CAL+ FLETE</t>
  </si>
  <si>
    <t>00002-0000113</t>
  </si>
  <si>
    <t xml:space="preserve">J.T.M.M CONCEPTION </t>
  </si>
  <si>
    <t xml:space="preserve">MESA + SILLAS </t>
  </si>
  <si>
    <t>PERIODO 10/25</t>
  </si>
  <si>
    <t>0008-00109928</t>
  </si>
  <si>
    <t xml:space="preserve">ZEFIRO </t>
  </si>
  <si>
    <t>00003-00000038</t>
  </si>
  <si>
    <t>COOPER GUILERMO</t>
  </si>
  <si>
    <t xml:space="preserve">TRABAJO DE YESERIA </t>
  </si>
  <si>
    <t xml:space="preserve"> </t>
  </si>
  <si>
    <t>0001-00000444</t>
  </si>
  <si>
    <t>BERTELLO LUIS E</t>
  </si>
  <si>
    <t>00003-000040</t>
  </si>
  <si>
    <t>PERIODO 11/2025</t>
  </si>
  <si>
    <t>PERIODO 10/2025</t>
  </si>
  <si>
    <t>00024-18277</t>
  </si>
  <si>
    <t xml:space="preserve">ADHESIL BLANCO </t>
  </si>
  <si>
    <t>00024-18964</t>
  </si>
  <si>
    <t>VENIER SUPERCAPA-RECUBLOCK</t>
  </si>
  <si>
    <t>0004-000004489</t>
  </si>
  <si>
    <t xml:space="preserve">VAULT SRL </t>
  </si>
  <si>
    <t xml:space="preserve">90 CERRADURAS </t>
  </si>
  <si>
    <t>1476-00042746</t>
  </si>
  <si>
    <t>CREDIFIN LOGISTICA</t>
  </si>
  <si>
    <t>ENCOMIENDA  (ENVIO 90 CERRADURAS)</t>
  </si>
  <si>
    <t>01-456</t>
  </si>
  <si>
    <t xml:space="preserve">FACTURAS VARIAS </t>
  </si>
  <si>
    <t>GAUTHIER WALTER</t>
  </si>
  <si>
    <t>PAGO A CUENTA (TRABAJO DE ALBANILERIA)</t>
  </si>
  <si>
    <t>03-148</t>
  </si>
  <si>
    <t>MASTRENGELO CESAR</t>
  </si>
  <si>
    <t>MANO DE OBRA CARPINTERIA ALUMINIO</t>
  </si>
  <si>
    <t>PERIODO 12/2025</t>
  </si>
  <si>
    <t>01-468</t>
  </si>
  <si>
    <t>TIRRONI RUBEN DARIO</t>
  </si>
  <si>
    <t>ACE 15. WD-40 CHICO</t>
  </si>
  <si>
    <t>ARENA-CEMENTO-FLETE</t>
  </si>
  <si>
    <t>PERIODO ANUAL 2026</t>
  </si>
  <si>
    <t>PERIODO 01/2026</t>
  </si>
  <si>
    <t>ENERO DE 2026</t>
  </si>
  <si>
    <t>03-00000044</t>
  </si>
  <si>
    <t>COOPER GUILLERMO</t>
  </si>
  <si>
    <t>0003-00000085</t>
  </si>
  <si>
    <t>FEBRERO DE 2026</t>
  </si>
  <si>
    <t>2302/2026</t>
  </si>
  <si>
    <t>0016-00000718</t>
  </si>
  <si>
    <t xml:space="preserve">HESPARREN SRL-ESTEBAN </t>
  </si>
  <si>
    <t>MESADAS</t>
  </si>
  <si>
    <t>PERIODO DEL 25/02/2026 AL 25/08/2026</t>
  </si>
  <si>
    <t>PERIODO 02/26</t>
  </si>
  <si>
    <t>0002-00007799</t>
  </si>
  <si>
    <t>PERIODO MARZO DE 2026</t>
  </si>
  <si>
    <t>PERIODO 3/2026</t>
  </si>
  <si>
    <t>ARBA-INMOBILIARIO</t>
  </si>
  <si>
    <t>CTA 2/2026</t>
  </si>
  <si>
    <t>PERIODO 4/2026</t>
  </si>
  <si>
    <t>0011-00021001</t>
  </si>
  <si>
    <t xml:space="preserve">CEMENTO-CAL-FLETE </t>
  </si>
  <si>
    <t>PERIODO 5/2026</t>
  </si>
  <si>
    <t>00001-00000551</t>
  </si>
  <si>
    <t>BERTELLO LUIS E.</t>
  </si>
  <si>
    <t xml:space="preserve">SERVICIO CONTENEDOR </t>
  </si>
  <si>
    <t>0016-00000784</t>
  </si>
  <si>
    <t>03-153/03-157</t>
  </si>
  <si>
    <t xml:space="preserve">MANO DE OBRA Y COLOCACION ALUMINIO(AJUSTE Y MANO DE OBRA) </t>
  </si>
  <si>
    <t>PERIODO 6/26</t>
  </si>
  <si>
    <t>PERIODO 5/26</t>
  </si>
  <si>
    <t xml:space="preserve">ARBA </t>
  </si>
  <si>
    <t>CUOTA 3/2026</t>
  </si>
  <si>
    <t>PERIODO 7/26</t>
  </si>
  <si>
    <t>00002-00000658</t>
  </si>
  <si>
    <t xml:space="preserve">PANERO VICTOR HUGO </t>
  </si>
  <si>
    <t xml:space="preserve">CEDULA CATASTRAL </t>
  </si>
  <si>
    <t>PERIODO 8/26</t>
  </si>
  <si>
    <t>CUOTA 4/26</t>
  </si>
  <si>
    <t xml:space="preserve">PERIODO 07/26 </t>
  </si>
  <si>
    <t>VILLAGRA/SEYCO</t>
  </si>
  <si>
    <t>MATERIALES VARIOS/ TALADRO, AMOLADORA, ETC</t>
  </si>
  <si>
    <t>25/08/2026 AL 05/02/2027</t>
  </si>
</sst>
</file>

<file path=xl/styles.xml><?xml version="1.0" encoding="utf-8"?>
<styleSheet xmlns="http://schemas.openxmlformats.org/spreadsheetml/2006/main">
  <numFmts count="11">
    <numFmt numFmtId="0" formatCode="General"/>
    <numFmt numFmtId="59" formatCode="m/d/yyyy"/>
    <numFmt numFmtId="60" formatCode="[$$-409] #,##0.00"/>
    <numFmt numFmtId="61" formatCode="[$U$S] #,##0.00"/>
    <numFmt numFmtId="62" formatCode="[$U$S ] #,##0.00"/>
    <numFmt numFmtId="63" formatCode="dd&quot;/&quot;mm&quot;/&quot;yyyy"/>
    <numFmt numFmtId="64" formatCode="m/d"/>
    <numFmt numFmtId="65" formatCode="d/m/yyyy"/>
    <numFmt numFmtId="66" formatCode="d/m"/>
    <numFmt numFmtId="67" formatCode="dd/mm/yyyy"/>
    <numFmt numFmtId="68" formatCode="dd/mm/yy"/>
  </numFmts>
  <fonts count="5">
    <font>
      <sz val="10"/>
      <color indexed="8"/>
      <name val="Calibri"/>
    </font>
    <font>
      <sz val="15"/>
      <color indexed="8"/>
      <name val="Calibri"/>
    </font>
    <font>
      <sz val="10"/>
      <color indexed="9"/>
      <name val="Spectral"/>
    </font>
    <font>
      <b val="1"/>
      <sz val="10"/>
      <color indexed="9"/>
      <name val="Spectral"/>
    </font>
    <font>
      <sz val="10"/>
      <color indexed="9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3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2" borderId="1" applyNumberFormat="1" applyFont="1" applyFill="0" applyBorder="1" applyAlignment="1" applyProtection="0">
      <alignment horizontal="center" vertical="bottom"/>
    </xf>
    <xf numFmtId="0" fontId="2" borderId="1" applyNumberFormat="0" applyFont="1" applyFill="0" applyBorder="1" applyAlignment="1" applyProtection="0">
      <alignment horizontal="center" vertical="bottom"/>
    </xf>
    <xf numFmtId="0" fontId="2" borderId="1" applyNumberFormat="0" applyFont="1" applyFill="0" applyBorder="1" applyAlignment="1" applyProtection="0">
      <alignment vertical="bottom"/>
    </xf>
    <xf numFmtId="0" fontId="2" borderId="2" applyNumberFormat="0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3" fillId="4" borderId="7" applyNumberFormat="1" applyFont="1" applyFill="1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vertical="bottom"/>
    </xf>
    <xf numFmtId="0" fontId="2" borderId="9" applyNumberFormat="0" applyFont="1" applyFill="0" applyBorder="1" applyAlignment="1" applyProtection="0">
      <alignment vertical="bottom"/>
    </xf>
    <xf numFmtId="0" fontId="2" borderId="10" applyNumberFormat="0" applyFont="1" applyFill="0" applyBorder="1" applyAlignment="1" applyProtection="0">
      <alignment vertical="bottom"/>
    </xf>
    <xf numFmtId="59" fontId="3" fillId="5" borderId="11" applyNumberFormat="1" applyFont="1" applyFill="1" applyBorder="1" applyAlignment="1" applyProtection="0">
      <alignment horizontal="center" vertical="center"/>
    </xf>
    <xf numFmtId="49" fontId="3" fillId="5" borderId="11" applyNumberFormat="1" applyFont="1" applyFill="1" applyBorder="1" applyAlignment="1" applyProtection="0">
      <alignment horizontal="center" vertical="center" wrapText="1"/>
    </xf>
    <xf numFmtId="49" fontId="2" borderId="11" applyNumberFormat="1" applyFont="1" applyFill="0" applyBorder="1" applyAlignment="1" applyProtection="0">
      <alignment horizontal="center" vertical="bottom"/>
    </xf>
    <xf numFmtId="49" fontId="2" borderId="12" applyNumberFormat="1" applyFont="1" applyFill="0" applyBorder="1" applyAlignment="1" applyProtection="0">
      <alignment vertical="bottom"/>
    </xf>
    <xf numFmtId="49" fontId="3" fillId="5" borderId="13" applyNumberFormat="1" applyFont="1" applyFill="1" applyBorder="1" applyAlignment="1" applyProtection="0">
      <alignment horizontal="center" vertical="center"/>
    </xf>
    <xf numFmtId="49" fontId="3" fillId="5" borderId="12" applyNumberFormat="1" applyFont="1" applyFill="1" applyBorder="1" applyAlignment="1" applyProtection="0">
      <alignment horizontal="center" vertical="center"/>
    </xf>
    <xf numFmtId="49" fontId="3" fillId="5" borderId="13" applyNumberFormat="1" applyFont="1" applyFill="1" applyBorder="1" applyAlignment="1" applyProtection="0">
      <alignment horizontal="center" vertical="center" wrapText="1"/>
    </xf>
    <xf numFmtId="49" fontId="3" fillId="5" borderId="11" applyNumberFormat="1" applyFont="1" applyFill="1" applyBorder="1" applyAlignment="1" applyProtection="0">
      <alignment horizontal="center" vertical="center"/>
    </xf>
    <xf numFmtId="0" fontId="3" fillId="5" borderId="14" applyNumberFormat="0" applyFont="1" applyFill="1" applyBorder="1" applyAlignment="1" applyProtection="0">
      <alignment horizontal="center" vertical="center"/>
    </xf>
    <xf numFmtId="0" fontId="3" fillId="5" borderId="10" applyNumberFormat="0" applyFont="1" applyFill="1" applyBorder="1" applyAlignment="1" applyProtection="0">
      <alignment horizontal="center" vertical="center"/>
    </xf>
    <xf numFmtId="59" fontId="2" fillId="6" borderId="11" applyNumberFormat="1" applyFont="1" applyFill="1" applyBorder="1" applyAlignment="1" applyProtection="0">
      <alignment horizontal="center" vertical="bottom"/>
    </xf>
    <xf numFmtId="0" fontId="2" fillId="6" borderId="11" applyNumberFormat="0" applyFont="1" applyFill="1" applyBorder="1" applyAlignment="1" applyProtection="0">
      <alignment horizontal="center" vertical="bottom"/>
    </xf>
    <xf numFmtId="0" fontId="2" fillId="6" borderId="11" applyNumberFormat="0" applyFont="1" applyFill="1" applyBorder="1" applyAlignment="1" applyProtection="0">
      <alignment vertical="bottom"/>
    </xf>
    <xf numFmtId="0" fontId="2" fillId="6" borderId="12" applyNumberFormat="0" applyFont="1" applyFill="1" applyBorder="1" applyAlignment="1" applyProtection="0">
      <alignment vertical="bottom"/>
    </xf>
    <xf numFmtId="60" fontId="3" fillId="6" borderId="13" applyNumberFormat="1" applyFont="1" applyFill="1" applyBorder="1" applyAlignment="1" applyProtection="0">
      <alignment horizontal="center" vertical="bottom"/>
    </xf>
    <xf numFmtId="60" fontId="3" fillId="6" borderId="11" applyNumberFormat="1" applyFont="1" applyFill="1" applyBorder="1" applyAlignment="1" applyProtection="0">
      <alignment horizontal="center" vertical="bottom"/>
    </xf>
    <xf numFmtId="61" fontId="3" fillId="6" borderId="12" applyNumberFormat="1" applyFont="1" applyFill="1" applyBorder="1" applyAlignment="1" applyProtection="0">
      <alignment horizontal="center" vertical="bottom"/>
    </xf>
    <xf numFmtId="60" fontId="2" fillId="6" borderId="13" applyNumberFormat="1" applyFont="1" applyFill="1" applyBorder="1" applyAlignment="1" applyProtection="0">
      <alignment horizontal="center" vertical="bottom"/>
    </xf>
    <xf numFmtId="60" fontId="3" fillId="6" borderId="11" applyNumberFormat="1" applyFont="1" applyFill="1" applyBorder="1" applyAlignment="1" applyProtection="0">
      <alignment horizontal="right" vertical="bottom"/>
    </xf>
    <xf numFmtId="62" fontId="3" fillId="6" borderId="12" applyNumberFormat="1" applyFont="1" applyFill="1" applyBorder="1" applyAlignment="1" applyProtection="0">
      <alignment horizontal="right" vertical="bottom"/>
    </xf>
    <xf numFmtId="0" fontId="2" borderId="14" applyNumberFormat="0" applyFont="1" applyFill="0" applyBorder="1" applyAlignment="1" applyProtection="0">
      <alignment vertical="bottom"/>
    </xf>
    <xf numFmtId="63" fontId="2" borderId="11" applyNumberFormat="1" applyFont="1" applyFill="0" applyBorder="1" applyAlignment="1" applyProtection="0">
      <alignment horizontal="center" vertical="bottom"/>
    </xf>
    <xf numFmtId="0" fontId="2" borderId="11" applyNumberFormat="0" applyFont="1" applyFill="0" applyBorder="1" applyAlignment="1" applyProtection="0">
      <alignment horizontal="center" vertical="bottom"/>
    </xf>
    <xf numFmtId="0" fontId="2" borderId="11" applyNumberFormat="0" applyFont="1" applyFill="0" applyBorder="1" applyAlignment="1" applyProtection="0">
      <alignment vertical="bottom"/>
    </xf>
    <xf numFmtId="60" fontId="2" borderId="13" applyNumberFormat="1" applyFont="1" applyFill="0" applyBorder="1" applyAlignment="1" applyProtection="0">
      <alignment vertical="bottom"/>
    </xf>
    <xf numFmtId="62" fontId="2" borderId="12" applyNumberFormat="1" applyFont="1" applyFill="0" applyBorder="1" applyAlignment="1" applyProtection="0">
      <alignment vertical="bottom"/>
    </xf>
    <xf numFmtId="60" fontId="3" borderId="13" applyNumberFormat="1" applyFont="1" applyFill="0" applyBorder="1" applyAlignment="1" applyProtection="0">
      <alignment horizontal="center" vertical="bottom"/>
    </xf>
    <xf numFmtId="61" fontId="3" borderId="12" applyNumberFormat="1" applyFont="1" applyFill="0" applyBorder="1" applyAlignment="1" applyProtection="0">
      <alignment horizontal="center" vertical="bottom"/>
    </xf>
    <xf numFmtId="60" fontId="2" borderId="13" applyNumberFormat="1" applyFont="1" applyFill="0" applyBorder="1" applyAlignment="1" applyProtection="0">
      <alignment horizontal="center" vertical="bottom"/>
    </xf>
    <xf numFmtId="60" fontId="2" borderId="11" applyNumberFormat="1" applyFont="1" applyFill="0" applyBorder="1" applyAlignment="1" applyProtection="0">
      <alignment vertical="bottom"/>
    </xf>
    <xf numFmtId="63" fontId="2" fillId="7" borderId="11" applyNumberFormat="1" applyFont="1" applyFill="1" applyBorder="1" applyAlignment="1" applyProtection="0">
      <alignment horizontal="center" vertical="bottom"/>
    </xf>
    <xf numFmtId="0" fontId="2" fillId="7" borderId="11" applyNumberFormat="0" applyFont="1" applyFill="1" applyBorder="1" applyAlignment="1" applyProtection="0">
      <alignment horizontal="center" vertical="bottom"/>
    </xf>
    <xf numFmtId="0" fontId="2" fillId="7" borderId="11" applyNumberFormat="0" applyFont="1" applyFill="1" applyBorder="1" applyAlignment="1" applyProtection="0">
      <alignment vertical="bottom"/>
    </xf>
    <xf numFmtId="49" fontId="2" fillId="7" borderId="12" applyNumberFormat="1" applyFont="1" applyFill="1" applyBorder="1" applyAlignment="1" applyProtection="0">
      <alignment vertical="bottom"/>
    </xf>
    <xf numFmtId="60" fontId="2" fillId="7" borderId="13" applyNumberFormat="1" applyFont="1" applyFill="1" applyBorder="1" applyAlignment="1" applyProtection="0">
      <alignment vertical="bottom"/>
    </xf>
    <xf numFmtId="62" fontId="2" fillId="7" borderId="12" applyNumberFormat="1" applyFont="1" applyFill="1" applyBorder="1" applyAlignment="1" applyProtection="0">
      <alignment vertical="bottom"/>
    </xf>
    <xf numFmtId="60" fontId="3" fillId="7" borderId="13" applyNumberFormat="1" applyFont="1" applyFill="1" applyBorder="1" applyAlignment="1" applyProtection="0">
      <alignment horizontal="center" vertical="bottom"/>
    </xf>
    <xf numFmtId="61" fontId="3" fillId="7" borderId="12" applyNumberFormat="1" applyFont="1" applyFill="1" applyBorder="1" applyAlignment="1" applyProtection="0">
      <alignment horizontal="center" vertical="bottom"/>
    </xf>
    <xf numFmtId="60" fontId="2" fillId="7" borderId="13" applyNumberFormat="1" applyFont="1" applyFill="1" applyBorder="1" applyAlignment="1" applyProtection="0">
      <alignment horizontal="center" vertical="bottom"/>
    </xf>
    <xf numFmtId="49" fontId="2" fillId="7" borderId="11" applyNumberFormat="1" applyFont="1" applyFill="1" applyBorder="1" applyAlignment="1" applyProtection="0">
      <alignment vertical="bottom"/>
    </xf>
    <xf numFmtId="49" fontId="2" borderId="11" applyNumberFormat="1" applyFont="1" applyFill="0" applyBorder="1" applyAlignment="1" applyProtection="0">
      <alignment vertical="bottom"/>
    </xf>
    <xf numFmtId="49" fontId="2" fillId="7" borderId="7" applyNumberFormat="1" applyFont="1" applyFill="1" applyBorder="1" applyAlignment="1" applyProtection="0">
      <alignment vertical="bottom"/>
    </xf>
    <xf numFmtId="60" fontId="2" fillId="7" borderId="8" applyNumberFormat="1" applyFont="1" applyFill="1" applyBorder="1" applyAlignment="1" applyProtection="0">
      <alignment vertical="bottom"/>
    </xf>
    <xf numFmtId="49" fontId="2" borderId="15" applyNumberFormat="1" applyFont="1" applyFill="0" applyBorder="1" applyAlignment="1" applyProtection="0">
      <alignment vertical="bottom"/>
    </xf>
    <xf numFmtId="60" fontId="2" borderId="6" applyNumberFormat="1" applyFont="1" applyFill="0" applyBorder="1" applyAlignment="1" applyProtection="0">
      <alignment vertical="bottom"/>
    </xf>
    <xf numFmtId="0" fontId="2" borderId="11" applyNumberFormat="1" applyFont="1" applyFill="0" applyBorder="1" applyAlignment="1" applyProtection="0">
      <alignment horizontal="center" vertical="bottom"/>
    </xf>
    <xf numFmtId="0" fontId="2" borderId="15" applyNumberFormat="0" applyFont="1" applyFill="0" applyBorder="1" applyAlignment="1" applyProtection="0">
      <alignment horizontal="center" vertical="bottom"/>
    </xf>
    <xf numFmtId="49" fontId="2" borderId="6" applyNumberFormat="1" applyFont="1" applyFill="0" applyBorder="1" applyAlignment="1" applyProtection="0">
      <alignment horizontal="center" vertical="bottom"/>
    </xf>
    <xf numFmtId="0" fontId="2" fillId="7" borderId="11" applyNumberFormat="1" applyFont="1" applyFill="1" applyBorder="1" applyAlignment="1" applyProtection="0">
      <alignment horizontal="center" vertical="bottom"/>
    </xf>
    <xf numFmtId="49" fontId="2" borderId="6" applyNumberFormat="1" applyFont="1" applyFill="0" applyBorder="1" applyAlignment="1" applyProtection="0">
      <alignment vertical="bottom"/>
    </xf>
    <xf numFmtId="63" fontId="2" fillId="8" borderId="11" applyNumberFormat="1" applyFont="1" applyFill="1" applyBorder="1" applyAlignment="1" applyProtection="0">
      <alignment horizontal="center" vertical="bottom"/>
    </xf>
    <xf numFmtId="0" fontId="2" fillId="8" borderId="11" applyNumberFormat="1" applyFont="1" applyFill="1" applyBorder="1" applyAlignment="1" applyProtection="0">
      <alignment horizontal="center" vertical="bottom"/>
    </xf>
    <xf numFmtId="49" fontId="2" fillId="8" borderId="11" applyNumberFormat="1" applyFont="1" applyFill="1" applyBorder="1" applyAlignment="1" applyProtection="0">
      <alignment horizontal="center" vertical="bottom"/>
    </xf>
    <xf numFmtId="49" fontId="2" fillId="8" borderId="12" applyNumberFormat="1" applyFont="1" applyFill="1" applyBorder="1" applyAlignment="1" applyProtection="0">
      <alignment vertical="bottom"/>
    </xf>
    <xf numFmtId="60" fontId="2" fillId="8" borderId="13" applyNumberFormat="1" applyFont="1" applyFill="1" applyBorder="1" applyAlignment="1" applyProtection="0">
      <alignment vertical="bottom"/>
    </xf>
    <xf numFmtId="62" fontId="2" fillId="8" borderId="12" applyNumberFormat="1" applyFont="1" applyFill="1" applyBorder="1" applyAlignment="1" applyProtection="0">
      <alignment vertical="bottom"/>
    </xf>
    <xf numFmtId="60" fontId="3" fillId="8" borderId="13" applyNumberFormat="1" applyFont="1" applyFill="1" applyBorder="1" applyAlignment="1" applyProtection="0">
      <alignment horizontal="center" vertical="bottom"/>
    </xf>
    <xf numFmtId="61" fontId="3" fillId="8" borderId="12" applyNumberFormat="1" applyFont="1" applyFill="1" applyBorder="1" applyAlignment="1" applyProtection="0">
      <alignment horizontal="center" vertical="bottom"/>
    </xf>
    <xf numFmtId="60" fontId="2" fillId="8" borderId="13" applyNumberFormat="1" applyFont="1" applyFill="1" applyBorder="1" applyAlignment="1" applyProtection="0">
      <alignment horizontal="center" vertical="bottom"/>
    </xf>
    <xf numFmtId="49" fontId="2" fillId="8" borderId="7" applyNumberFormat="1" applyFont="1" applyFill="1" applyBorder="1" applyAlignment="1" applyProtection="0">
      <alignment vertical="bottom"/>
    </xf>
    <xf numFmtId="62" fontId="2" fillId="8" borderId="16" applyNumberFormat="1" applyFont="1" applyFill="1" applyBorder="1" applyAlignment="1" applyProtection="0">
      <alignment vertical="bottom"/>
    </xf>
    <xf numFmtId="0" fontId="2" borderId="17" applyNumberFormat="0" applyFont="1" applyFill="0" applyBorder="1" applyAlignment="1" applyProtection="0">
      <alignment vertical="bottom"/>
    </xf>
    <xf numFmtId="0" fontId="2" fillId="8" borderId="7" applyNumberFormat="1" applyFont="1" applyFill="1" applyBorder="1" applyAlignment="1" applyProtection="0">
      <alignment horizontal="center" vertical="bottom"/>
    </xf>
    <xf numFmtId="49" fontId="2" fillId="8" borderId="8" applyNumberFormat="1" applyFont="1" applyFill="1" applyBorder="1" applyAlignment="1" applyProtection="0">
      <alignment horizontal="center" vertical="bottom"/>
    </xf>
    <xf numFmtId="0" fontId="2" borderId="15" applyNumberFormat="1" applyFont="1" applyFill="0" applyBorder="1" applyAlignment="1" applyProtection="0">
      <alignment horizontal="center" vertical="bottom"/>
    </xf>
    <xf numFmtId="60" fontId="2" fillId="7" borderId="16" applyNumberFormat="1" applyFont="1" applyFill="1" applyBorder="1" applyAlignment="1" applyProtection="0">
      <alignment vertical="bottom"/>
    </xf>
    <xf numFmtId="62" fontId="2" fillId="7" borderId="4" applyNumberFormat="1" applyFont="1" applyFill="1" applyBorder="1" applyAlignment="1" applyProtection="0">
      <alignment vertical="bottom"/>
    </xf>
    <xf numFmtId="60" fontId="2" borderId="18" applyNumberFormat="1" applyFont="1" applyFill="0" applyBorder="1" applyAlignment="1" applyProtection="0">
      <alignment vertical="bottom"/>
    </xf>
    <xf numFmtId="62" fontId="2" borderId="19" applyNumberFormat="1" applyFont="1" applyFill="0" applyBorder="1" applyAlignment="1" applyProtection="0">
      <alignment vertical="bottom"/>
    </xf>
    <xf numFmtId="49" fontId="2" fillId="7" borderId="11" applyNumberFormat="1" applyFont="1" applyFill="1" applyBorder="1" applyAlignment="1" applyProtection="0">
      <alignment horizontal="center" vertical="bottom"/>
    </xf>
    <xf numFmtId="0" fontId="2" fillId="7" borderId="7" applyNumberFormat="1" applyFont="1" applyFill="1" applyBorder="1" applyAlignment="1" applyProtection="0">
      <alignment horizontal="center" vertical="bottom"/>
    </xf>
    <xf numFmtId="49" fontId="2" borderId="8" applyNumberFormat="1" applyFont="1" applyFill="0" applyBorder="1" applyAlignment="1" applyProtection="0">
      <alignment vertical="bottom"/>
    </xf>
    <xf numFmtId="49" fontId="2" borderId="10" applyNumberFormat="1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60" fontId="2" borderId="22" applyNumberFormat="1" applyFont="1" applyFill="0" applyBorder="1" applyAlignment="1" applyProtection="0">
      <alignment vertical="bottom"/>
    </xf>
    <xf numFmtId="62" fontId="2" borderId="23" applyNumberFormat="1" applyFont="1" applyFill="0" applyBorder="1" applyAlignment="1" applyProtection="0">
      <alignment vertical="bottom"/>
    </xf>
    <xf numFmtId="0" fontId="2" borderId="24" applyNumberFormat="0" applyFont="1" applyFill="0" applyBorder="1" applyAlignment="1" applyProtection="0">
      <alignment vertical="bottom"/>
    </xf>
    <xf numFmtId="0" fontId="2" borderId="25" applyNumberFormat="0" applyFont="1" applyFill="0" applyBorder="1" applyAlignment="1" applyProtection="0">
      <alignment vertical="bottom"/>
    </xf>
    <xf numFmtId="0" fontId="2" borderId="26" applyNumberFormat="0" applyFont="1" applyFill="0" applyBorder="1" applyAlignment="1" applyProtection="0">
      <alignment vertical="bottom"/>
    </xf>
    <xf numFmtId="0" fontId="2" borderId="27" applyNumberFormat="0" applyFont="1" applyFill="0" applyBorder="1" applyAlignment="1" applyProtection="0">
      <alignment vertical="bottom"/>
    </xf>
    <xf numFmtId="0" fontId="2" borderId="28" applyNumberFormat="0" applyFont="1" applyFill="0" applyBorder="1" applyAlignment="1" applyProtection="0">
      <alignment vertical="bottom"/>
    </xf>
    <xf numFmtId="60" fontId="2" fillId="9" borderId="11" applyNumberFormat="1" applyFont="1" applyFill="1" applyBorder="1" applyAlignment="1" applyProtection="0">
      <alignment vertical="bottom"/>
    </xf>
    <xf numFmtId="62" fontId="2" fillId="9" borderId="12" applyNumberFormat="1" applyFont="1" applyFill="1" applyBorder="1" applyAlignment="1" applyProtection="0">
      <alignment vertical="bottom"/>
    </xf>
    <xf numFmtId="0" fontId="2" fillId="9" borderId="26" applyNumberFormat="0" applyFont="1" applyFill="1" applyBorder="1" applyAlignment="1" applyProtection="0">
      <alignment vertical="bottom"/>
    </xf>
    <xf numFmtId="0" fontId="2" fillId="9" borderId="27" applyNumberFormat="0" applyFont="1" applyFill="1" applyBorder="1" applyAlignment="1" applyProtection="0">
      <alignment vertical="bottom"/>
    </xf>
    <xf numFmtId="0" fontId="2" fillId="9" borderId="28" applyNumberFormat="0" applyFont="1" applyFill="1" applyBorder="1" applyAlignment="1" applyProtection="0">
      <alignment vertical="bottom"/>
    </xf>
    <xf numFmtId="60" fontId="2" fillId="7" borderId="11" applyNumberFormat="1" applyFont="1" applyFill="1" applyBorder="1" applyAlignment="1" applyProtection="0">
      <alignment vertical="bottom"/>
    </xf>
    <xf numFmtId="0" fontId="2" fillId="7" borderId="26" applyNumberFormat="0" applyFont="1" applyFill="1" applyBorder="1" applyAlignment="1" applyProtection="0">
      <alignment vertical="bottom"/>
    </xf>
    <xf numFmtId="0" fontId="2" fillId="7" borderId="27" applyNumberFormat="0" applyFont="1" applyFill="1" applyBorder="1" applyAlignment="1" applyProtection="0">
      <alignment vertical="bottom"/>
    </xf>
    <xf numFmtId="0" fontId="2" fillId="7" borderId="28" applyNumberFormat="0" applyFont="1" applyFill="1" applyBorder="1" applyAlignment="1" applyProtection="0">
      <alignment vertical="bottom"/>
    </xf>
    <xf numFmtId="0" fontId="2" borderId="29" applyNumberFormat="0" applyFont="1" applyFill="0" applyBorder="1" applyAlignment="1" applyProtection="0">
      <alignment vertical="bottom"/>
    </xf>
    <xf numFmtId="0" fontId="2" borderId="30" applyNumberFormat="0" applyFont="1" applyFill="0" applyBorder="1" applyAlignment="1" applyProtection="0">
      <alignment vertical="bottom"/>
    </xf>
    <xf numFmtId="59" fontId="2" borderId="11" applyNumberFormat="1" applyFont="1" applyFill="0" applyBorder="1" applyAlignment="1" applyProtection="0">
      <alignment horizontal="center" vertical="bottom"/>
    </xf>
    <xf numFmtId="59" fontId="2" fillId="7" borderId="11" applyNumberFormat="1" applyFont="1" applyFill="1" applyBorder="1" applyAlignment="1" applyProtection="0">
      <alignment horizontal="center" vertical="bottom"/>
    </xf>
    <xf numFmtId="0" fontId="2" fillId="7" borderId="12" applyNumberFormat="0" applyFont="1" applyFill="1" applyBorder="1" applyAlignment="1" applyProtection="0">
      <alignment vertical="bottom"/>
    </xf>
    <xf numFmtId="49" fontId="2" borderId="14" applyNumberFormat="1" applyFont="1" applyFill="0" applyBorder="1" applyAlignment="1" applyProtection="0">
      <alignment vertical="bottom"/>
    </xf>
    <xf numFmtId="49" fontId="2" fillId="9" borderId="11" applyNumberFormat="1" applyFont="1" applyFill="1" applyBorder="1" applyAlignment="1" applyProtection="0">
      <alignment horizontal="center" vertical="bottom"/>
    </xf>
    <xf numFmtId="49" fontId="2" fillId="9" borderId="11" applyNumberFormat="1" applyFont="1" applyFill="1" applyBorder="1" applyAlignment="1" applyProtection="0">
      <alignment vertical="bottom"/>
    </xf>
    <xf numFmtId="49" fontId="2" fillId="9" borderId="12" applyNumberFormat="1" applyFont="1" applyFill="1" applyBorder="1" applyAlignment="1" applyProtection="0">
      <alignment vertical="bottom"/>
    </xf>
    <xf numFmtId="60" fontId="2" fillId="9" borderId="13" applyNumberFormat="1" applyFont="1" applyFill="1" applyBorder="1" applyAlignment="1" applyProtection="0">
      <alignment vertical="bottom"/>
    </xf>
    <xf numFmtId="59" fontId="2" fillId="9" borderId="11" applyNumberFormat="1" applyFont="1" applyFill="1" applyBorder="1" applyAlignment="1" applyProtection="0">
      <alignment horizontal="center" vertical="bottom"/>
    </xf>
    <xf numFmtId="49" fontId="2" fillId="9" borderId="11" applyNumberFormat="1" applyFont="1" applyFill="1" applyBorder="1" applyAlignment="1" applyProtection="0">
      <alignment horizontal="left" vertical="bottom"/>
    </xf>
    <xf numFmtId="61" fontId="3" fillId="9" borderId="12" applyNumberFormat="1" applyFont="1" applyFill="1" applyBorder="1" applyAlignment="1" applyProtection="0">
      <alignment horizontal="center" vertical="bottom"/>
    </xf>
    <xf numFmtId="60" fontId="2" fillId="9" borderId="13" applyNumberFormat="1" applyFont="1" applyFill="1" applyBorder="1" applyAlignment="1" applyProtection="0">
      <alignment horizontal="center" vertical="bottom"/>
    </xf>
    <xf numFmtId="0" fontId="2" borderId="11" applyNumberFormat="0" applyFont="1" applyFill="0" applyBorder="1" applyAlignment="1" applyProtection="0">
      <alignment horizontal="left" vertical="bottom"/>
    </xf>
    <xf numFmtId="49" fontId="2" fillId="10" borderId="11" applyNumberFormat="1" applyFont="1" applyFill="1" applyBorder="1" applyAlignment="1" applyProtection="0">
      <alignment horizontal="left" vertical="bottom"/>
    </xf>
    <xf numFmtId="49" fontId="2" fillId="10" borderId="11" applyNumberFormat="1" applyFont="1" applyFill="1" applyBorder="1" applyAlignment="1" applyProtection="0">
      <alignment vertical="bottom"/>
    </xf>
    <xf numFmtId="49" fontId="2" fillId="10" borderId="12" applyNumberFormat="1" applyFont="1" applyFill="1" applyBorder="1" applyAlignment="1" applyProtection="0">
      <alignment vertical="bottom"/>
    </xf>
    <xf numFmtId="60" fontId="2" fillId="11" borderId="11" applyNumberFormat="1" applyFont="1" applyFill="1" applyBorder="1" applyAlignment="1" applyProtection="0">
      <alignment vertical="bottom"/>
    </xf>
    <xf numFmtId="62" fontId="2" fillId="11" borderId="12" applyNumberFormat="1" applyFont="1" applyFill="1" applyBorder="1" applyAlignment="1" applyProtection="0">
      <alignment vertical="bottom"/>
    </xf>
    <xf numFmtId="0" fontId="2" fillId="11" borderId="26" applyNumberFormat="0" applyFont="1" applyFill="1" applyBorder="1" applyAlignment="1" applyProtection="0">
      <alignment vertical="bottom"/>
    </xf>
    <xf numFmtId="0" fontId="2" fillId="11" borderId="27" applyNumberFormat="0" applyFont="1" applyFill="1" applyBorder="1" applyAlignment="1" applyProtection="0">
      <alignment vertical="bottom"/>
    </xf>
    <xf numFmtId="0" fontId="2" fillId="11" borderId="28" applyNumberFormat="0" applyFont="1" applyFill="1" applyBorder="1" applyAlignment="1" applyProtection="0">
      <alignment vertical="bottom"/>
    </xf>
    <xf numFmtId="0" fontId="2" fillId="9" borderId="11" applyNumberFormat="0" applyFont="1" applyFill="1" applyBorder="1" applyAlignment="1" applyProtection="0">
      <alignment horizontal="center" vertical="bottom"/>
    </xf>
    <xf numFmtId="60" fontId="3" fillId="9" borderId="13" applyNumberFormat="1" applyFont="1" applyFill="1" applyBorder="1" applyAlignment="1" applyProtection="0">
      <alignment horizontal="center" vertical="bottom"/>
    </xf>
    <xf numFmtId="49" fontId="2" fillId="10" borderId="11" applyNumberFormat="1" applyFont="1" applyFill="1" applyBorder="1" applyAlignment="1" applyProtection="0">
      <alignment horizontal="center" vertical="bottom"/>
    </xf>
    <xf numFmtId="0" fontId="2" fillId="10" borderId="11" applyNumberFormat="0" applyFont="1" applyFill="1" applyBorder="1" applyAlignment="1" applyProtection="0">
      <alignment horizontal="center" vertical="bottom"/>
    </xf>
    <xf numFmtId="60" fontId="2" fillId="10" borderId="13" applyNumberFormat="1" applyFont="1" applyFill="1" applyBorder="1" applyAlignment="1" applyProtection="0">
      <alignment vertical="bottom"/>
    </xf>
    <xf numFmtId="62" fontId="2" fillId="10" borderId="12" applyNumberFormat="1" applyFont="1" applyFill="1" applyBorder="1" applyAlignment="1" applyProtection="0">
      <alignment vertical="bottom"/>
    </xf>
    <xf numFmtId="60" fontId="3" fillId="10" borderId="13" applyNumberFormat="1" applyFont="1" applyFill="1" applyBorder="1" applyAlignment="1" applyProtection="0">
      <alignment horizontal="center" vertical="bottom"/>
    </xf>
    <xf numFmtId="49" fontId="4" fillId="7" borderId="11" applyNumberFormat="1" applyFont="1" applyFill="1" applyBorder="1" applyAlignment="1" applyProtection="0">
      <alignment horizontal="center" vertical="bottom"/>
    </xf>
    <xf numFmtId="49" fontId="4" fillId="7" borderId="11" applyNumberFormat="1" applyFont="1" applyFill="1" applyBorder="1" applyAlignment="1" applyProtection="0">
      <alignment vertical="bottom"/>
    </xf>
    <xf numFmtId="49" fontId="4" fillId="7" borderId="12" applyNumberFormat="1" applyFont="1" applyFill="1" applyBorder="1" applyAlignment="1" applyProtection="0">
      <alignment vertical="bottom"/>
    </xf>
    <xf numFmtId="60" fontId="4" fillId="7" borderId="13" applyNumberFormat="1" applyFont="1" applyFill="1" applyBorder="1" applyAlignment="1" applyProtection="0">
      <alignment horizontal="center" vertical="bottom"/>
    </xf>
    <xf numFmtId="0" fontId="4" fillId="7" borderId="11" applyNumberFormat="1" applyFont="1" applyFill="1" applyBorder="1" applyAlignment="1" applyProtection="0">
      <alignment horizontal="center" vertical="bottom"/>
    </xf>
    <xf numFmtId="64" fontId="2" borderId="11" applyNumberFormat="1" applyFont="1" applyFill="0" applyBorder="1" applyAlignment="1" applyProtection="0">
      <alignment horizontal="center" vertical="bottom"/>
    </xf>
    <xf numFmtId="64" fontId="2" fillId="7" borderId="11" applyNumberFormat="1" applyFont="1" applyFill="1" applyBorder="1" applyAlignment="1" applyProtection="0">
      <alignment horizontal="center" vertical="bottom"/>
    </xf>
    <xf numFmtId="14" fontId="2" borderId="11" applyNumberFormat="1" applyFont="1" applyFill="0" applyBorder="1" applyAlignment="1" applyProtection="0">
      <alignment horizontal="center" vertical="bottom"/>
    </xf>
    <xf numFmtId="65" fontId="2" borderId="11" applyNumberFormat="1" applyFont="1" applyFill="0" applyBorder="1" applyAlignment="1" applyProtection="0">
      <alignment horizontal="center" vertical="bottom"/>
    </xf>
    <xf numFmtId="66" fontId="2" fillId="7" borderId="11" applyNumberFormat="1" applyFont="1" applyFill="1" applyBorder="1" applyAlignment="1" applyProtection="0">
      <alignment horizontal="center" vertical="bottom"/>
    </xf>
    <xf numFmtId="66" fontId="2" borderId="11" applyNumberFormat="1" applyFont="1" applyFill="0" applyBorder="1" applyAlignment="1" applyProtection="0">
      <alignment horizontal="center" vertical="bottom"/>
    </xf>
    <xf numFmtId="63" fontId="2" borderId="11" applyNumberFormat="1" applyFont="1" applyFill="0" applyBorder="1" applyAlignment="1" applyProtection="0">
      <alignment vertical="bottom"/>
    </xf>
    <xf numFmtId="0" fontId="2" borderId="31" applyNumberFormat="0" applyFont="1" applyFill="0" applyBorder="1" applyAlignment="1" applyProtection="0">
      <alignment vertical="bottom"/>
    </xf>
    <xf numFmtId="0" fontId="2" borderId="32" applyNumberFormat="0" applyFont="1" applyFill="0" applyBorder="1" applyAlignment="1" applyProtection="0">
      <alignment vertical="bottom"/>
    </xf>
    <xf numFmtId="63" fontId="2" fillId="7" borderId="11" applyNumberFormat="1" applyFont="1" applyFill="1" applyBorder="1" applyAlignment="1" applyProtection="0">
      <alignment vertical="bottom"/>
    </xf>
    <xf numFmtId="65" fontId="2" fillId="7" borderId="11" applyNumberFormat="1" applyFont="1" applyFill="1" applyBorder="1" applyAlignment="1" applyProtection="0">
      <alignment horizontal="center" vertical="bottom"/>
    </xf>
    <xf numFmtId="62" fontId="2" fillId="7" borderId="12" applyNumberFormat="1" applyFont="1" applyFill="1" applyBorder="1" applyAlignment="1" applyProtection="0">
      <alignment horizontal="center" vertical="bottom"/>
    </xf>
    <xf numFmtId="65" fontId="2" fillId="9" borderId="11" applyNumberFormat="1" applyFont="1" applyFill="1" applyBorder="1" applyAlignment="1" applyProtection="0">
      <alignment horizontal="center" vertical="bottom"/>
    </xf>
    <xf numFmtId="0" fontId="2" fillId="9" borderId="11" applyNumberFormat="1" applyFont="1" applyFill="1" applyBorder="1" applyAlignment="1" applyProtection="0">
      <alignment horizontal="center" vertical="bottom"/>
    </xf>
    <xf numFmtId="0" fontId="2" borderId="12" applyNumberFormat="0" applyFont="1" applyFill="0" applyBorder="1" applyAlignment="1" applyProtection="0">
      <alignment vertical="bottom"/>
    </xf>
    <xf numFmtId="49" fontId="2" fillId="7" borderId="13" applyNumberFormat="1" applyFont="1" applyFill="1" applyBorder="1" applyAlignment="1" applyProtection="0">
      <alignment vertical="bottom"/>
    </xf>
    <xf numFmtId="67" fontId="2" borderId="11" applyNumberFormat="1" applyFont="1" applyFill="0" applyBorder="1" applyAlignment="1" applyProtection="0">
      <alignment horizontal="center" vertical="bottom"/>
    </xf>
    <xf numFmtId="68" fontId="2" fillId="7" borderId="11" applyNumberFormat="1" applyFont="1" applyFill="1" applyBorder="1" applyAlignment="1" applyProtection="0">
      <alignment horizontal="center" vertical="bottom"/>
    </xf>
    <xf numFmtId="0" fontId="0" borderId="30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29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67" fontId="2" fillId="7" borderId="11" applyNumberFormat="1" applyFont="1" applyFill="1" applyBorder="1" applyAlignment="1" applyProtection="0">
      <alignment horizontal="center" vertical="bottom"/>
    </xf>
    <xf numFmtId="0" fontId="0" borderId="24" applyNumberFormat="0" applyFont="1" applyFill="0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67" fontId="2" fillId="9" borderId="11" applyNumberFormat="1" applyFont="1" applyFill="1" applyBorder="1" applyAlignment="1" applyProtection="0">
      <alignment horizontal="center" vertical="bottom"/>
    </xf>
    <xf numFmtId="0" fontId="0" fillId="9" borderId="26" applyNumberFormat="0" applyFont="1" applyFill="1" applyBorder="1" applyAlignment="1" applyProtection="0">
      <alignment vertical="bottom"/>
    </xf>
    <xf numFmtId="0" fontId="0" fillId="9" borderId="27" applyNumberFormat="0" applyFont="1" applyFill="1" applyBorder="1" applyAlignment="1" applyProtection="0">
      <alignment vertical="bottom"/>
    </xf>
    <xf numFmtId="0" fontId="0" fillId="9" borderId="28" applyNumberFormat="0" applyFont="1" applyFill="1" applyBorder="1" applyAlignment="1" applyProtection="0">
      <alignment vertical="bottom"/>
    </xf>
    <xf numFmtId="68" fontId="2" borderId="11" applyNumberFormat="1" applyFont="1" applyFill="0" applyBorder="1" applyAlignment="1" applyProtection="0">
      <alignment horizontal="center" vertical="bottom"/>
    </xf>
    <xf numFmtId="0" fontId="0" borderId="31" applyNumberFormat="0" applyFont="1" applyFill="0" applyBorder="1" applyAlignment="1" applyProtection="0">
      <alignment vertical="bottom"/>
    </xf>
    <xf numFmtId="0" fontId="0" borderId="32" applyNumberFormat="0" applyFont="1" applyFill="0" applyBorder="1" applyAlignment="1" applyProtection="0">
      <alignment vertical="bottom"/>
    </xf>
    <xf numFmtId="60" fontId="0" fillId="7" borderId="13" applyNumberFormat="1" applyFont="1" applyFill="1" applyBorder="1" applyAlignment="1" applyProtection="0">
      <alignment vertical="bottom"/>
    </xf>
    <xf numFmtId="62" fontId="0" fillId="7" borderId="12" applyNumberFormat="1" applyFont="1" applyFill="1" applyBorder="1" applyAlignment="1" applyProtection="0">
      <alignment vertical="bottom"/>
    </xf>
    <xf numFmtId="60" fontId="0" fillId="7" borderId="11" applyNumberFormat="1" applyFont="1" applyFill="1" applyBorder="1" applyAlignment="1" applyProtection="0">
      <alignment vertical="bottom"/>
    </xf>
    <xf numFmtId="60" fontId="0" borderId="13" applyNumberFormat="1" applyFont="1" applyFill="0" applyBorder="1" applyAlignment="1" applyProtection="0">
      <alignment vertical="bottom"/>
    </xf>
    <xf numFmtId="62" fontId="0" borderId="12" applyNumberFormat="1" applyFont="1" applyFill="0" applyBorder="1" applyAlignment="1" applyProtection="0">
      <alignment vertical="bottom"/>
    </xf>
    <xf numFmtId="60" fontId="0" borderId="11" applyNumberFormat="1" applyFont="1" applyFill="0" applyBorder="1" applyAlignment="1" applyProtection="0">
      <alignment vertical="bottom"/>
    </xf>
    <xf numFmtId="49" fontId="2" borderId="33" applyNumberFormat="1" applyFont="1" applyFill="0" applyBorder="1" applyAlignment="1" applyProtection="0">
      <alignment vertical="bottom"/>
    </xf>
    <xf numFmtId="62" fontId="0" borderId="33" applyNumberFormat="1" applyFont="1" applyFill="0" applyBorder="1" applyAlignment="1" applyProtection="0">
      <alignment vertical="bottom"/>
    </xf>
    <xf numFmtId="67" fontId="2" fillId="11" borderId="11" applyNumberFormat="1" applyFont="1" applyFill="1" applyBorder="1" applyAlignment="1" applyProtection="0">
      <alignment horizontal="center" vertical="bottom"/>
    </xf>
    <xf numFmtId="0" fontId="2" fillId="11" borderId="11" applyNumberFormat="0" applyFont="1" applyFill="1" applyBorder="1" applyAlignment="1" applyProtection="0">
      <alignment horizontal="center" vertical="bottom"/>
    </xf>
    <xf numFmtId="49" fontId="2" fillId="11" borderId="11" applyNumberFormat="1" applyFont="1" applyFill="1" applyBorder="1" applyAlignment="1" applyProtection="0">
      <alignment vertical="bottom"/>
    </xf>
    <xf numFmtId="49" fontId="2" fillId="11" borderId="12" applyNumberFormat="1" applyFont="1" applyFill="1" applyBorder="1" applyAlignment="1" applyProtection="0">
      <alignment vertical="bottom"/>
    </xf>
    <xf numFmtId="60" fontId="0" fillId="11" borderId="13" applyNumberFormat="1" applyFont="1" applyFill="1" applyBorder="1" applyAlignment="1" applyProtection="0">
      <alignment vertical="bottom"/>
    </xf>
    <xf numFmtId="62" fontId="0" fillId="11" borderId="12" applyNumberFormat="1" applyFont="1" applyFill="1" applyBorder="1" applyAlignment="1" applyProtection="0">
      <alignment vertical="bottom"/>
    </xf>
    <xf numFmtId="60" fontId="3" fillId="11" borderId="13" applyNumberFormat="1" applyFont="1" applyFill="1" applyBorder="1" applyAlignment="1" applyProtection="0">
      <alignment horizontal="center" vertical="bottom"/>
    </xf>
    <xf numFmtId="61" fontId="3" fillId="11" borderId="12" applyNumberFormat="1" applyFont="1" applyFill="1" applyBorder="1" applyAlignment="1" applyProtection="0">
      <alignment horizontal="center" vertical="bottom"/>
    </xf>
    <xf numFmtId="60" fontId="2" fillId="11" borderId="13" applyNumberFormat="1" applyFont="1" applyFill="1" applyBorder="1" applyAlignment="1" applyProtection="0">
      <alignment horizontal="center" vertical="bottom"/>
    </xf>
    <xf numFmtId="49" fontId="3" fillId="7" borderId="13" applyNumberFormat="1" applyFont="1" applyFill="1" applyBorder="1" applyAlignment="1" applyProtection="0">
      <alignment horizontal="center" vertical="bottom"/>
    </xf>
    <xf numFmtId="49" fontId="2" fillId="7" borderId="13" applyNumberFormat="1" applyFont="1" applyFill="1" applyBorder="1" applyAlignment="1" applyProtection="0">
      <alignment horizontal="center" vertical="bottom"/>
    </xf>
    <xf numFmtId="0" fontId="0" borderId="34" applyNumberFormat="0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00ff"/>
      <rgbColor rgb="ffaaaaaa"/>
      <rgbColor rgb="ff00ff00"/>
      <rgbColor rgb="ffefefef"/>
      <rgbColor rgb="ffea9999"/>
      <rgbColor rgb="ffffffff"/>
      <rgbColor rgb="ff45c986"/>
      <rgbColor rgb="ffd9d9d9"/>
      <rgbColor rgb="ffff00ff"/>
      <rgbColor rgb="ffcccccc"/>
      <rgbColor rgb="ffe06666"/>
      <rgbColor rgb="fff3f3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B1211"/>
  <sheetViews>
    <sheetView workbookViewId="0" showGridLines="0" defaultGridColor="1"/>
  </sheetViews>
  <sheetFormatPr defaultColWidth="14.4" defaultRowHeight="15" customHeight="1" outlineLevelRow="0" outlineLevelCol="0"/>
  <cols>
    <col min="1" max="1" width="9.8125" style="1" customWidth="1"/>
    <col min="2" max="2" width="23.8125" style="1" customWidth="1"/>
    <col min="3" max="3" width="26.2109" style="1" customWidth="1"/>
    <col min="4" max="4" width="50.8125" style="1" customWidth="1"/>
    <col min="5" max="5" width="13.2109" style="1" customWidth="1"/>
    <col min="6" max="6" width="10.8125" style="1" customWidth="1"/>
    <col min="7" max="7" width="15.4219" style="1" customWidth="1"/>
    <col min="8" max="8" width="16.2109" style="1" customWidth="1"/>
    <col min="9" max="9" width="18.2109" style="1" customWidth="1"/>
    <col min="10" max="10" width="29.8125" style="1" customWidth="1"/>
    <col min="11" max="11" width="17.2109" style="1" customWidth="1"/>
    <col min="12" max="12" width="41.4219" style="1" customWidth="1"/>
    <col min="13" max="27" width="43.8125" style="1" customWidth="1"/>
    <col min="28" max="28" width="1.60156" style="1" customWidth="1"/>
    <col min="29" max="16384" width="14.4219" style="1" customWidth="1"/>
  </cols>
  <sheetData>
    <row r="1" ht="12.75" customHeight="1">
      <c r="A1" s="2"/>
      <c r="B1" s="3"/>
      <c r="C1" s="4"/>
      <c r="D1" s="5"/>
      <c r="E1" t="s" s="6">
        <v>0</v>
      </c>
      <c r="F1" s="7"/>
      <c r="G1" t="s" s="8">
        <v>1</v>
      </c>
      <c r="H1" s="9"/>
      <c r="I1" s="10"/>
      <c r="J1" t="s" s="11">
        <v>2</v>
      </c>
      <c r="K1" s="12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ht="12.75" customHeight="1">
      <c r="A2" s="15"/>
      <c r="B2" t="s" s="16">
        <v>3</v>
      </c>
      <c r="C2" t="s" s="17">
        <v>4</v>
      </c>
      <c r="D2" t="s" s="18">
        <v>5</v>
      </c>
      <c r="E2" t="s" s="19">
        <v>6</v>
      </c>
      <c r="F2" t="s" s="20">
        <v>7</v>
      </c>
      <c r="G2" t="s" s="19">
        <v>6</v>
      </c>
      <c r="H2" t="s" s="20">
        <v>7</v>
      </c>
      <c r="I2" t="s" s="21">
        <v>8</v>
      </c>
      <c r="J2" t="s" s="22">
        <v>6</v>
      </c>
      <c r="K2" t="s" s="20">
        <v>7</v>
      </c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ht="12.75" customHeight="1">
      <c r="A3" s="25"/>
      <c r="B3" s="26"/>
      <c r="C3" s="27"/>
      <c r="D3" s="28"/>
      <c r="E3" s="29" cm="1">
        <f t="array" ref="E3">SUM(E4:E1211)</f>
        <v>0</v>
      </c>
      <c r="F3" s="30" cm="1">
        <f t="array" ref="F3">SUM(F4:F1211)</f>
        <v>0</v>
      </c>
      <c r="G3" s="30" cm="1">
        <f t="array" ref="G3">SUM(G4:G1211)</f>
        <v>773394988.6155</v>
      </c>
      <c r="H3" s="31" cm="1">
        <f t="array" ref="H3">SUM(H4:H1211)</f>
        <v>2709504.46537166</v>
      </c>
      <c r="I3" s="32"/>
      <c r="J3" s="33" cm="1">
        <f t="array" ref="J3">E3-G3</f>
        <v>-773394988.6155</v>
      </c>
      <c r="K3" s="34" cm="1">
        <f t="array" ref="K3">F3-H3</f>
        <v>-2709504.46537166</v>
      </c>
      <c r="L3" s="35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12.75" customHeight="1">
      <c r="A4" s="36">
        <v>40575</v>
      </c>
      <c r="B4" s="37"/>
      <c r="C4" s="38"/>
      <c r="D4" t="s" s="18">
        <v>9</v>
      </c>
      <c r="E4" s="39"/>
      <c r="F4" s="40"/>
      <c r="G4" s="41" cm="1">
        <f t="array" ref="G4">H4*I4</f>
        <v>1722000</v>
      </c>
      <c r="H4" s="42">
        <v>420000</v>
      </c>
      <c r="I4" s="43">
        <v>4.1</v>
      </c>
      <c r="J4" s="44"/>
      <c r="K4" s="40"/>
      <c r="L4" s="35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t="12.75" customHeight="1">
      <c r="A5" s="45">
        <v>40575</v>
      </c>
      <c r="B5" s="46"/>
      <c r="C5" s="47"/>
      <c r="D5" t="s" s="48">
        <v>10</v>
      </c>
      <c r="E5" s="49"/>
      <c r="F5" s="50"/>
      <c r="G5" s="51" cm="1">
        <f t="array" ref="G5">H5*I5</f>
        <v>28700</v>
      </c>
      <c r="H5" s="52">
        <v>7000</v>
      </c>
      <c r="I5" s="53">
        <v>4.1</v>
      </c>
      <c r="J5" s="44"/>
      <c r="K5" s="40"/>
      <c r="L5" s="35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12.75" customHeight="1">
      <c r="A6" s="36">
        <v>40575</v>
      </c>
      <c r="B6" s="37"/>
      <c r="C6" s="38"/>
      <c r="D6" t="s" s="18">
        <v>11</v>
      </c>
      <c r="E6" s="39"/>
      <c r="F6" s="40"/>
      <c r="G6" s="41" cm="1">
        <f t="array" ref="G6">H6*I6</f>
        <v>41000</v>
      </c>
      <c r="H6" s="42">
        <v>10000</v>
      </c>
      <c r="I6" s="43">
        <v>4.1</v>
      </c>
      <c r="J6" s="44"/>
      <c r="K6" s="40"/>
      <c r="L6" s="35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12.75" customHeight="1">
      <c r="A7" s="45">
        <v>40585</v>
      </c>
      <c r="B7" s="46"/>
      <c r="C7" t="s" s="54">
        <v>12</v>
      </c>
      <c r="D7" t="s" s="48">
        <v>13</v>
      </c>
      <c r="E7" s="49"/>
      <c r="F7" s="50"/>
      <c r="G7" s="51">
        <v>4660.4</v>
      </c>
      <c r="H7" s="52" cm="1">
        <f t="array" ref="H7">G7/I7</f>
        <v>1122.987951807230</v>
      </c>
      <c r="I7" s="53">
        <v>4.15</v>
      </c>
      <c r="J7" s="44"/>
      <c r="K7" s="40"/>
      <c r="L7" s="35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12.75" customHeight="1">
      <c r="A8" s="36">
        <v>40620</v>
      </c>
      <c r="B8" s="37"/>
      <c r="C8" t="s" s="55">
        <v>14</v>
      </c>
      <c r="D8" t="s" s="18">
        <v>15</v>
      </c>
      <c r="E8" s="39"/>
      <c r="F8" s="40"/>
      <c r="G8" s="41">
        <v>31.96</v>
      </c>
      <c r="H8" s="42" cm="1">
        <f t="array" ref="H8">G8/I8</f>
        <v>7.70120481927711</v>
      </c>
      <c r="I8" s="43">
        <v>4.15</v>
      </c>
      <c r="J8" s="44"/>
      <c r="K8" s="40"/>
      <c r="L8" s="35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12.75" customHeight="1">
      <c r="A9" s="45">
        <v>40673</v>
      </c>
      <c r="B9" s="46"/>
      <c r="C9" t="s" s="54">
        <v>14</v>
      </c>
      <c r="D9" t="s" s="48">
        <v>16</v>
      </c>
      <c r="E9" s="49"/>
      <c r="F9" s="50"/>
      <c r="G9" s="51">
        <v>31.96</v>
      </c>
      <c r="H9" s="52" cm="1">
        <f t="array" ref="H9">G9/I9</f>
        <v>7.43255813953488</v>
      </c>
      <c r="I9" s="53">
        <v>4.3</v>
      </c>
      <c r="J9" s="44"/>
      <c r="K9" s="40"/>
      <c r="L9" s="35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12.75" customHeight="1">
      <c r="A10" s="36">
        <v>40732</v>
      </c>
      <c r="B10" s="37"/>
      <c r="C10" t="s" s="55">
        <v>14</v>
      </c>
      <c r="D10" t="s" s="18">
        <v>17</v>
      </c>
      <c r="E10" s="39"/>
      <c r="F10" s="40"/>
      <c r="G10" s="41">
        <v>63.92</v>
      </c>
      <c r="H10" s="42" cm="1">
        <f t="array" ref="H10">G10/I10</f>
        <v>14.8651162790698</v>
      </c>
      <c r="I10" s="43">
        <v>4.3</v>
      </c>
      <c r="J10" s="44"/>
      <c r="K10" s="40"/>
      <c r="L10" s="3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12.75" customHeight="1">
      <c r="A11" s="45">
        <v>40857</v>
      </c>
      <c r="B11" s="46"/>
      <c r="C11" t="s" s="54">
        <v>14</v>
      </c>
      <c r="D11" t="s" s="48">
        <v>18</v>
      </c>
      <c r="E11" s="49"/>
      <c r="F11" s="50"/>
      <c r="G11" s="51">
        <v>63.92</v>
      </c>
      <c r="H11" s="52" cm="1">
        <f t="array" ref="H11">G11/I11</f>
        <v>12.784</v>
      </c>
      <c r="I11" s="53">
        <v>5</v>
      </c>
      <c r="J11" s="44"/>
      <c r="K11" s="40"/>
      <c r="L11" s="3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12.75" customHeight="1">
      <c r="A12" s="36">
        <v>40918</v>
      </c>
      <c r="B12" s="37"/>
      <c r="C12" t="s" s="55">
        <v>14</v>
      </c>
      <c r="D12" t="s" s="18">
        <v>19</v>
      </c>
      <c r="E12" s="39"/>
      <c r="F12" s="40"/>
      <c r="G12" s="41">
        <v>63.92</v>
      </c>
      <c r="H12" s="42" cm="1">
        <f t="array" ref="H12">G12/I12</f>
        <v>13.3166666666667</v>
      </c>
      <c r="I12" s="43">
        <v>4.8</v>
      </c>
      <c r="J12" s="44"/>
      <c r="K12" s="40"/>
      <c r="L12" s="3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ht="12.75" customHeight="1">
      <c r="A13" s="45">
        <v>40943</v>
      </c>
      <c r="B13" s="46"/>
      <c r="C13" t="s" s="54">
        <v>12</v>
      </c>
      <c r="D13" t="s" s="56">
        <v>20</v>
      </c>
      <c r="E13" s="57"/>
      <c r="F13" s="50"/>
      <c r="G13" s="51">
        <v>18646.7</v>
      </c>
      <c r="H13" s="52" cm="1">
        <f t="array" ref="H13">G13/I13</f>
        <v>3884.729166666670</v>
      </c>
      <c r="I13" s="53" cm="1">
        <f t="array" ref="I13">I12</f>
        <v>4.8</v>
      </c>
      <c r="J13" s="44"/>
      <c r="K13" s="40"/>
      <c r="L13" s="3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t="12.75" customHeight="1">
      <c r="A14" s="36">
        <v>40943</v>
      </c>
      <c r="B14" s="37"/>
      <c r="C14" t="s" s="55">
        <v>21</v>
      </c>
      <c r="D14" t="s" s="58">
        <v>22</v>
      </c>
      <c r="E14" s="59"/>
      <c r="F14" s="40"/>
      <c r="G14" s="41">
        <v>14936.75</v>
      </c>
      <c r="H14" s="42" cm="1">
        <f t="array" ref="H14">G14/I14</f>
        <v>3111.822916666670</v>
      </c>
      <c r="I14" s="43" cm="1">
        <f t="array" ref="I14">I13</f>
        <v>4.8</v>
      </c>
      <c r="J14" s="44"/>
      <c r="K14" s="40"/>
      <c r="L14" s="3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ht="12.75" customHeight="1">
      <c r="A15" s="45">
        <v>40977</v>
      </c>
      <c r="B15" s="46"/>
      <c r="C15" t="s" s="54">
        <v>14</v>
      </c>
      <c r="D15" t="s" s="48">
        <v>23</v>
      </c>
      <c r="E15" s="49"/>
      <c r="F15" s="50"/>
      <c r="G15" s="51">
        <v>77.22</v>
      </c>
      <c r="H15" s="52" cm="1">
        <f t="array" ref="H15">G15/I15</f>
        <v>16.0875</v>
      </c>
      <c r="I15" s="53" cm="1">
        <f t="array" ref="I15">I14</f>
        <v>4.8</v>
      </c>
      <c r="J15" s="44"/>
      <c r="K15" s="40"/>
      <c r="L15" s="3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ht="12.75" customHeight="1">
      <c r="A16" s="36">
        <v>41039</v>
      </c>
      <c r="B16" s="37"/>
      <c r="C16" t="s" s="55">
        <v>14</v>
      </c>
      <c r="D16" t="s" s="18">
        <v>24</v>
      </c>
      <c r="E16" s="39"/>
      <c r="F16" s="40"/>
      <c r="G16" s="41">
        <v>77.22</v>
      </c>
      <c r="H16" s="42" cm="1">
        <f t="array" ref="H16">G16/I16</f>
        <v>15.444</v>
      </c>
      <c r="I16" s="43">
        <v>5</v>
      </c>
      <c r="J16" s="44"/>
      <c r="K16" s="40"/>
      <c r="L16" s="3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t="12.75" customHeight="1">
      <c r="A17" s="45">
        <v>41102</v>
      </c>
      <c r="B17" s="46"/>
      <c r="C17" t="s" s="54">
        <v>14</v>
      </c>
      <c r="D17" t="s" s="48">
        <v>25</v>
      </c>
      <c r="E17" s="49"/>
      <c r="F17" s="50"/>
      <c r="G17" s="51">
        <v>42.26</v>
      </c>
      <c r="H17" s="52" cm="1">
        <f t="array" ref="H17">G17/I17</f>
        <v>6.92786885245902</v>
      </c>
      <c r="I17" s="53">
        <v>6.1</v>
      </c>
      <c r="J17" s="44"/>
      <c r="K17" s="40"/>
      <c r="L17" s="3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ht="12.75" customHeight="1">
      <c r="A18" s="36">
        <v>41160</v>
      </c>
      <c r="B18" s="37"/>
      <c r="C18" t="s" s="55">
        <v>14</v>
      </c>
      <c r="D18" t="s" s="18">
        <v>26</v>
      </c>
      <c r="E18" s="39"/>
      <c r="F18" s="40"/>
      <c r="G18" s="41">
        <v>42.26</v>
      </c>
      <c r="H18" s="42" cm="1">
        <f t="array" ref="H18">G18/I18</f>
        <v>6.70793650793651</v>
      </c>
      <c r="I18" s="43">
        <v>6.3</v>
      </c>
      <c r="J18" s="44"/>
      <c r="K18" s="40"/>
      <c r="L18" s="3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ht="12.75" customHeight="1">
      <c r="A19" s="45">
        <v>41222</v>
      </c>
      <c r="B19" s="46"/>
      <c r="C19" t="s" s="54">
        <v>14</v>
      </c>
      <c r="D19" t="s" s="48">
        <v>27</v>
      </c>
      <c r="E19" s="49"/>
      <c r="F19" s="50"/>
      <c r="G19" s="51">
        <v>42.26</v>
      </c>
      <c r="H19" s="52" cm="1">
        <f t="array" ref="H19">G19/I19</f>
        <v>6.70793650793651</v>
      </c>
      <c r="I19" s="53" cm="1">
        <f t="array" ref="I19">I18</f>
        <v>6.3</v>
      </c>
      <c r="J19" s="44"/>
      <c r="K19" s="40"/>
      <c r="L19" s="3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ht="12.75" customHeight="1">
      <c r="A20" s="36">
        <v>41286</v>
      </c>
      <c r="B20" s="37"/>
      <c r="C20" t="s" s="55">
        <v>21</v>
      </c>
      <c r="D20" t="s" s="58">
        <v>28</v>
      </c>
      <c r="E20" s="59"/>
      <c r="F20" s="40"/>
      <c r="G20" s="41">
        <v>18530.11</v>
      </c>
      <c r="H20" s="42" cm="1">
        <f t="array" ref="H20">G20/I20</f>
        <v>2555.877241379310</v>
      </c>
      <c r="I20" s="43">
        <v>7.25</v>
      </c>
      <c r="J20" s="44"/>
      <c r="K20" s="40"/>
      <c r="L20" s="3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ht="12.75" customHeight="1">
      <c r="A21" s="45">
        <v>41351</v>
      </c>
      <c r="B21" s="46"/>
      <c r="C21" t="s" s="54">
        <v>14</v>
      </c>
      <c r="D21" t="s" s="48">
        <v>29</v>
      </c>
      <c r="E21" s="49"/>
      <c r="F21" s="50"/>
      <c r="G21" s="51">
        <v>69.36</v>
      </c>
      <c r="H21" s="52" cm="1">
        <f t="array" ref="H21">G21/I21</f>
        <v>8.67</v>
      </c>
      <c r="I21" s="53">
        <v>8</v>
      </c>
      <c r="J21" s="44"/>
      <c r="K21" s="40"/>
      <c r="L21" s="3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ht="12.75" customHeight="1">
      <c r="A22" s="36">
        <v>41373</v>
      </c>
      <c r="B22" s="37"/>
      <c r="C22" t="s" s="55">
        <v>12</v>
      </c>
      <c r="D22" t="s" s="58">
        <v>30</v>
      </c>
      <c r="E22" s="59"/>
      <c r="F22" s="40"/>
      <c r="G22" s="41">
        <v>19222.4</v>
      </c>
      <c r="H22" s="42" cm="1">
        <f t="array" ref="H22">G22/I22</f>
        <v>2302.083832335330</v>
      </c>
      <c r="I22" s="43">
        <v>8.35</v>
      </c>
      <c r="J22" s="44"/>
      <c r="K22" s="40"/>
      <c r="L22" s="3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ht="12.75" customHeight="1">
      <c r="A23" s="45">
        <v>41404</v>
      </c>
      <c r="B23" s="46"/>
      <c r="C23" t="s" s="54">
        <v>14</v>
      </c>
      <c r="D23" t="s" s="48">
        <v>31</v>
      </c>
      <c r="E23" s="49"/>
      <c r="F23" s="50"/>
      <c r="G23" s="51">
        <v>69.36</v>
      </c>
      <c r="H23" s="52" cm="1">
        <f t="array" ref="H23">G23/I23</f>
        <v>6.936</v>
      </c>
      <c r="I23" s="53">
        <v>10</v>
      </c>
      <c r="J23" s="44"/>
      <c r="K23" s="40"/>
      <c r="L23" s="35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ht="12.75" customHeight="1">
      <c r="A24" s="36">
        <v>41466</v>
      </c>
      <c r="B24" s="37"/>
      <c r="C24" t="s" s="55">
        <v>14</v>
      </c>
      <c r="D24" t="s" s="18">
        <v>32</v>
      </c>
      <c r="E24" s="39"/>
      <c r="F24" s="40"/>
      <c r="G24" s="41">
        <v>69.36</v>
      </c>
      <c r="H24" s="42" cm="1">
        <f t="array" ref="H24">G24/I24</f>
        <v>8.458536585365851</v>
      </c>
      <c r="I24" s="43">
        <v>8.199999999999999</v>
      </c>
      <c r="J24" s="44"/>
      <c r="K24" s="40"/>
      <c r="L24" s="35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ht="12.75" customHeight="1">
      <c r="A25" s="45">
        <v>41527</v>
      </c>
      <c r="B25" s="46"/>
      <c r="C25" t="s" s="54">
        <v>14</v>
      </c>
      <c r="D25" t="s" s="48">
        <v>33</v>
      </c>
      <c r="E25" s="49"/>
      <c r="F25" s="50"/>
      <c r="G25" s="51">
        <v>69.36</v>
      </c>
      <c r="H25" s="52" cm="1">
        <f t="array" ref="H25">G25/I25</f>
        <v>7.53913043478261</v>
      </c>
      <c r="I25" s="53">
        <v>9.199999999999999</v>
      </c>
      <c r="J25" s="44"/>
      <c r="K25" s="40"/>
      <c r="L25" s="35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ht="12.75" customHeight="1">
      <c r="A26" s="36">
        <v>41547</v>
      </c>
      <c r="B26" s="37"/>
      <c r="C26" t="s" s="55">
        <v>21</v>
      </c>
      <c r="D26" t="s" s="18">
        <v>34</v>
      </c>
      <c r="E26" s="39"/>
      <c r="F26" s="40"/>
      <c r="G26" s="41">
        <v>29868.81</v>
      </c>
      <c r="H26" s="42" cm="1">
        <f t="array" ref="H26">G26/I26</f>
        <v>3144.085263157890</v>
      </c>
      <c r="I26" s="43">
        <v>9.5</v>
      </c>
      <c r="J26" s="44"/>
      <c r="K26" s="40"/>
      <c r="L26" s="3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ht="12.75" customHeight="1">
      <c r="A27" s="45">
        <v>41590</v>
      </c>
      <c r="B27" s="46"/>
      <c r="C27" t="s" s="54">
        <v>14</v>
      </c>
      <c r="D27" t="s" s="48">
        <v>35</v>
      </c>
      <c r="E27" s="49"/>
      <c r="F27" s="50"/>
      <c r="G27" s="51">
        <v>69.363</v>
      </c>
      <c r="H27" s="52" cm="1">
        <f t="array" ref="H27">G27/I27</f>
        <v>7.07785714285714</v>
      </c>
      <c r="I27" s="53">
        <v>9.800000000000001</v>
      </c>
      <c r="J27" s="44"/>
      <c r="K27" s="40"/>
      <c r="L27" s="3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ht="12.75" customHeight="1">
      <c r="A28" s="36">
        <v>41600</v>
      </c>
      <c r="B28" s="37"/>
      <c r="C28" t="s" s="55">
        <v>14</v>
      </c>
      <c r="D28" t="s" s="18">
        <v>36</v>
      </c>
      <c r="E28" s="39"/>
      <c r="F28" s="40"/>
      <c r="G28" s="41">
        <v>6165.5</v>
      </c>
      <c r="H28" s="42" cm="1">
        <f t="array" ref="H28">G28/I28</f>
        <v>616.55</v>
      </c>
      <c r="I28" s="43">
        <v>10</v>
      </c>
      <c r="J28" s="44"/>
      <c r="K28" s="40"/>
      <c r="L28" s="3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ht="12.75" customHeight="1">
      <c r="A29" s="45">
        <v>41649</v>
      </c>
      <c r="B29" s="46"/>
      <c r="C29" t="s" s="54">
        <v>14</v>
      </c>
      <c r="D29" t="s" s="48">
        <v>37</v>
      </c>
      <c r="E29" s="49"/>
      <c r="F29" s="50"/>
      <c r="G29" s="51">
        <v>69.36</v>
      </c>
      <c r="H29" s="52" cm="1">
        <f t="array" ref="H29">G29/I29</f>
        <v>6.42222222222222</v>
      </c>
      <c r="I29" s="53">
        <v>10.8</v>
      </c>
      <c r="J29" s="44"/>
      <c r="K29" s="40"/>
      <c r="L29" s="3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ht="12.75" customHeight="1">
      <c r="A30" s="36">
        <v>41666</v>
      </c>
      <c r="B30" s="37"/>
      <c r="C30" t="s" s="55">
        <v>21</v>
      </c>
      <c r="D30" t="s" s="58">
        <v>38</v>
      </c>
      <c r="E30" s="59"/>
      <c r="F30" s="40"/>
      <c r="G30" s="41">
        <v>23762.37</v>
      </c>
      <c r="H30" s="42" cm="1">
        <f t="array" ref="H30">G30/I30</f>
        <v>1980.1975</v>
      </c>
      <c r="I30" s="43">
        <v>12</v>
      </c>
      <c r="J30" s="44"/>
      <c r="K30" s="40"/>
      <c r="L30" s="3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ht="12.75" customHeight="1">
      <c r="A31" s="45">
        <v>41709</v>
      </c>
      <c r="B31" s="46"/>
      <c r="C31" t="s" s="54">
        <v>14</v>
      </c>
      <c r="D31" t="s" s="48">
        <v>39</v>
      </c>
      <c r="E31" s="49"/>
      <c r="F31" s="50"/>
      <c r="G31" s="51">
        <v>78.48</v>
      </c>
      <c r="H31" s="52" cm="1">
        <f t="array" ref="H31">G31/I31</f>
        <v>7.2</v>
      </c>
      <c r="I31" s="53">
        <v>10.9</v>
      </c>
      <c r="J31" s="44"/>
      <c r="K31" s="40"/>
      <c r="L31" s="3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ht="12.75" customHeight="1">
      <c r="A32" s="36">
        <v>41718</v>
      </c>
      <c r="B32" s="60">
        <v>1331</v>
      </c>
      <c r="C32" t="s" s="55">
        <v>40</v>
      </c>
      <c r="D32" t="s" s="18">
        <v>41</v>
      </c>
      <c r="E32" s="39"/>
      <c r="F32" s="40"/>
      <c r="G32" s="41">
        <v>2500</v>
      </c>
      <c r="H32" s="42" cm="1">
        <f t="array" ref="H32">G32/I32</f>
        <v>227.272727272727</v>
      </c>
      <c r="I32" s="43">
        <v>11</v>
      </c>
      <c r="J32" s="44"/>
      <c r="K32" s="40"/>
      <c r="L32" s="3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ht="12.75" customHeight="1">
      <c r="A33" s="45">
        <v>41743</v>
      </c>
      <c r="B33" s="46"/>
      <c r="C33" t="s" s="54">
        <v>12</v>
      </c>
      <c r="D33" t="s" s="56">
        <v>42</v>
      </c>
      <c r="E33" s="57"/>
      <c r="F33" s="50"/>
      <c r="G33" s="51">
        <v>20234</v>
      </c>
      <c r="H33" s="52" cm="1">
        <f t="array" ref="H33">G33/I33</f>
        <v>1964.466019417480</v>
      </c>
      <c r="I33" s="53">
        <v>10.3</v>
      </c>
      <c r="J33" s="44"/>
      <c r="K33" s="40"/>
      <c r="L33" s="3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ht="12.75" customHeight="1">
      <c r="A34" s="36">
        <v>41767</v>
      </c>
      <c r="B34" s="37"/>
      <c r="C34" t="s" s="55">
        <v>14</v>
      </c>
      <c r="D34" t="s" s="18">
        <v>43</v>
      </c>
      <c r="E34" s="39"/>
      <c r="F34" s="40"/>
      <c r="G34" s="41">
        <v>78.48</v>
      </c>
      <c r="H34" s="42" cm="1">
        <f t="array" ref="H34">G34/I34</f>
        <v>7.29842834557798</v>
      </c>
      <c r="I34" s="43">
        <v>10.753</v>
      </c>
      <c r="J34" s="44"/>
      <c r="K34" s="40"/>
      <c r="L34" s="35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ht="12.75" customHeight="1">
      <c r="A35" s="45">
        <v>41809</v>
      </c>
      <c r="B35" s="46"/>
      <c r="C35" t="s" s="54">
        <v>14</v>
      </c>
      <c r="D35" t="s" s="48">
        <v>44</v>
      </c>
      <c r="E35" s="49"/>
      <c r="F35" s="50"/>
      <c r="G35" s="51">
        <v>230.65</v>
      </c>
      <c r="H35" s="52" cm="1">
        <f t="array" ref="H35">G35/I35</f>
        <v>18.6008064516129</v>
      </c>
      <c r="I35" s="53">
        <v>12.4</v>
      </c>
      <c r="J35" s="44"/>
      <c r="K35" s="40"/>
      <c r="L35" s="35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ht="12.75" customHeight="1">
      <c r="A36" s="36">
        <v>41845</v>
      </c>
      <c r="B36" s="61"/>
      <c r="C36" t="s" s="62">
        <v>45</v>
      </c>
      <c r="D36" t="s" s="18">
        <v>41</v>
      </c>
      <c r="E36" s="39"/>
      <c r="F36" s="40"/>
      <c r="G36" s="41">
        <v>150000</v>
      </c>
      <c r="H36" s="42">
        <v>15000</v>
      </c>
      <c r="I36" s="43">
        <v>10</v>
      </c>
      <c r="J36" s="44"/>
      <c r="K36" s="40"/>
      <c r="L36" s="35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ht="12.75" customHeight="1">
      <c r="A37" s="45">
        <v>41872</v>
      </c>
      <c r="B37" s="46"/>
      <c r="C37" t="s" s="54">
        <v>14</v>
      </c>
      <c r="D37" t="s" s="48">
        <v>46</v>
      </c>
      <c r="E37" s="49"/>
      <c r="F37" s="50"/>
      <c r="G37" s="51">
        <v>230.65</v>
      </c>
      <c r="H37" s="52" cm="1">
        <f t="array" ref="H37">G37/I37</f>
        <v>16.475</v>
      </c>
      <c r="I37" s="53">
        <v>14</v>
      </c>
      <c r="J37" s="44"/>
      <c r="K37" s="40"/>
      <c r="L37" s="35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ht="12.75" customHeight="1">
      <c r="A38" s="36">
        <v>41914</v>
      </c>
      <c r="B38" s="60">
        <v>43425</v>
      </c>
      <c r="C38" t="s" s="55">
        <v>47</v>
      </c>
      <c r="D38" t="s" s="18">
        <v>48</v>
      </c>
      <c r="E38" s="39"/>
      <c r="F38" s="40"/>
      <c r="G38" s="41">
        <v>449467.2</v>
      </c>
      <c r="H38" s="42">
        <v>32600</v>
      </c>
      <c r="I38" s="43">
        <v>13.8</v>
      </c>
      <c r="J38" s="44"/>
      <c r="K38" s="40"/>
      <c r="L38" s="35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ht="12.75" customHeight="1">
      <c r="A39" s="45">
        <v>41947</v>
      </c>
      <c r="B39" s="63">
        <v>44179</v>
      </c>
      <c r="C39" t="s" s="54">
        <v>47</v>
      </c>
      <c r="D39" t="s" s="48">
        <v>49</v>
      </c>
      <c r="E39" s="49"/>
      <c r="F39" s="50"/>
      <c r="G39" s="51">
        <v>450040.5</v>
      </c>
      <c r="H39" s="52">
        <v>32600</v>
      </c>
      <c r="I39" s="53">
        <v>13.8</v>
      </c>
      <c r="J39" s="44"/>
      <c r="K39" s="40"/>
      <c r="L39" s="35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ht="12.75" customHeight="1">
      <c r="A40" s="36">
        <v>41950</v>
      </c>
      <c r="B40" s="37"/>
      <c r="C40" t="s" s="55">
        <v>14</v>
      </c>
      <c r="D40" t="s" s="18">
        <v>50</v>
      </c>
      <c r="E40" s="39"/>
      <c r="F40" s="40"/>
      <c r="G40" s="41">
        <v>232.88</v>
      </c>
      <c r="H40" s="42" cm="1">
        <f t="array" ref="H40">G40/I40</f>
        <v>17.9138461538462</v>
      </c>
      <c r="I40" s="43">
        <v>13</v>
      </c>
      <c r="J40" s="44"/>
      <c r="K40" s="40"/>
      <c r="L40" s="35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ht="12.75" customHeight="1">
      <c r="A41" s="45">
        <v>41954</v>
      </c>
      <c r="B41" s="46"/>
      <c r="C41" t="s" s="54">
        <v>14</v>
      </c>
      <c r="D41" t="s" s="48">
        <v>51</v>
      </c>
      <c r="E41" s="49"/>
      <c r="F41" s="50"/>
      <c r="G41" s="51">
        <v>243.34</v>
      </c>
      <c r="H41" s="52" cm="1">
        <f t="array" ref="H41">G41/I41</f>
        <v>18.7184615384615</v>
      </c>
      <c r="I41" s="53" cm="1">
        <f t="array" ref="I41">I40</f>
        <v>13</v>
      </c>
      <c r="J41" s="44"/>
      <c r="K41" s="40"/>
      <c r="L41" s="35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ht="12.75" customHeight="1">
      <c r="A42" s="36">
        <v>41957</v>
      </c>
      <c r="B42" s="37"/>
      <c r="C42" t="s" s="55">
        <v>14</v>
      </c>
      <c r="D42" t="s" s="18">
        <v>52</v>
      </c>
      <c r="E42" s="39"/>
      <c r="F42" s="40"/>
      <c r="G42" s="41">
        <v>260.79</v>
      </c>
      <c r="H42" s="42" cm="1">
        <f t="array" ref="H42">G42/I42</f>
        <v>19.4619402985075</v>
      </c>
      <c r="I42" s="43">
        <v>13.4</v>
      </c>
      <c r="J42" s="44"/>
      <c r="K42" s="40"/>
      <c r="L42" s="35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ht="12.75" customHeight="1">
      <c r="A43" s="45">
        <v>41993</v>
      </c>
      <c r="B43" s="46"/>
      <c r="C43" t="s" s="54">
        <v>14</v>
      </c>
      <c r="D43" t="s" s="48">
        <v>53</v>
      </c>
      <c r="E43" s="49"/>
      <c r="F43" s="50"/>
      <c r="G43" s="51">
        <v>230.65</v>
      </c>
      <c r="H43" s="52" cm="1">
        <f t="array" ref="H43">G43/I43</f>
        <v>17.7423076923077</v>
      </c>
      <c r="I43" s="53">
        <v>13</v>
      </c>
      <c r="J43" s="44"/>
      <c r="K43" s="40"/>
      <c r="L43" s="35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ht="12.75" customHeight="1">
      <c r="A44" s="36">
        <v>42018</v>
      </c>
      <c r="B44" s="37"/>
      <c r="C44" t="s" s="55">
        <v>21</v>
      </c>
      <c r="D44" t="s" s="18">
        <v>54</v>
      </c>
      <c r="E44" s="39"/>
      <c r="F44" s="40"/>
      <c r="G44" s="41">
        <v>31624.65</v>
      </c>
      <c r="H44" s="42" cm="1">
        <f t="array" ref="H44">G44/I44</f>
        <v>2325.341911764710</v>
      </c>
      <c r="I44" s="43">
        <v>13.6</v>
      </c>
      <c r="J44" s="44"/>
      <c r="K44" s="40"/>
      <c r="L44" s="35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ht="12.75" customHeight="1">
      <c r="A45" s="45">
        <v>42030</v>
      </c>
      <c r="B45" s="46"/>
      <c r="C45" t="s" s="54">
        <v>14</v>
      </c>
      <c r="D45" t="s" s="48">
        <v>55</v>
      </c>
      <c r="E45" s="49"/>
      <c r="F45" s="50"/>
      <c r="G45" s="51">
        <v>840.3099999999999</v>
      </c>
      <c r="H45" s="52" cm="1">
        <f t="array" ref="H45">G45/I45</f>
        <v>61.7875</v>
      </c>
      <c r="I45" s="53" cm="1">
        <f t="array" ref="I45">I44</f>
        <v>13.6</v>
      </c>
      <c r="J45" s="44"/>
      <c r="K45" s="40"/>
      <c r="L45" s="35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ht="12.75" customHeight="1">
      <c r="A46" s="36">
        <v>42053</v>
      </c>
      <c r="B46" s="37"/>
      <c r="C46" t="s" s="55">
        <v>12</v>
      </c>
      <c r="D46" t="s" s="58">
        <v>56</v>
      </c>
      <c r="E46" s="59"/>
      <c r="F46" s="40"/>
      <c r="G46" s="41">
        <v>26301.4</v>
      </c>
      <c r="H46" s="42" cm="1">
        <f t="array" ref="H46">G46/I46</f>
        <v>2023.184615384620</v>
      </c>
      <c r="I46" s="43">
        <v>13</v>
      </c>
      <c r="J46" s="44"/>
      <c r="K46" s="40"/>
      <c r="L46" s="35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ht="12.75" customHeight="1">
      <c r="A47" s="45">
        <v>42073</v>
      </c>
      <c r="B47" s="46"/>
      <c r="C47" t="s" s="54">
        <v>14</v>
      </c>
      <c r="D47" t="s" s="48">
        <v>57</v>
      </c>
      <c r="E47" s="49"/>
      <c r="F47" s="50"/>
      <c r="G47" s="51">
        <v>1983.16</v>
      </c>
      <c r="H47" s="52" cm="1">
        <f t="array" ref="H47">G47/I47</f>
        <v>154.934375</v>
      </c>
      <c r="I47" s="53">
        <v>12.8</v>
      </c>
      <c r="J47" s="44"/>
      <c r="K47" s="40"/>
      <c r="L47" s="35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ht="12.75" customHeight="1">
      <c r="A48" s="45">
        <v>42138</v>
      </c>
      <c r="B48" s="46"/>
      <c r="C48" t="s" s="54">
        <v>14</v>
      </c>
      <c r="D48" t="s" s="48">
        <v>58</v>
      </c>
      <c r="E48" s="49"/>
      <c r="F48" s="50"/>
      <c r="G48" s="51">
        <v>1472.48</v>
      </c>
      <c r="H48" s="52" cm="1">
        <f t="array" ref="H48">G48/I48</f>
        <v>115.943307086614</v>
      </c>
      <c r="I48" s="53">
        <v>12.7</v>
      </c>
      <c r="J48" s="44"/>
      <c r="K48" s="40"/>
      <c r="L48" s="35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ht="12.75" customHeight="1">
      <c r="A49" s="36">
        <v>42138</v>
      </c>
      <c r="B49" s="37"/>
      <c r="C49" t="s" s="55">
        <v>14</v>
      </c>
      <c r="D49" t="s" s="18">
        <v>59</v>
      </c>
      <c r="E49" s="39"/>
      <c r="F49" s="40"/>
      <c r="G49" s="41">
        <v>1975.12</v>
      </c>
      <c r="H49" s="42" cm="1">
        <f t="array" ref="H49">G49/I49</f>
        <v>155.521259842520</v>
      </c>
      <c r="I49" s="43" cm="1">
        <f t="array" ref="I49">I48</f>
        <v>12.7</v>
      </c>
      <c r="J49" s="44"/>
      <c r="K49" s="40"/>
      <c r="L49" s="35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ht="12.75" customHeight="1">
      <c r="A50" s="45">
        <v>42138</v>
      </c>
      <c r="B50" s="46"/>
      <c r="C50" t="s" s="54">
        <v>14</v>
      </c>
      <c r="D50" t="s" s="48">
        <v>60</v>
      </c>
      <c r="E50" s="49"/>
      <c r="F50" s="50"/>
      <c r="G50" s="51">
        <v>294.53</v>
      </c>
      <c r="H50" s="52" cm="1">
        <f t="array" ref="H50">G50/I50</f>
        <v>23.1913385826772</v>
      </c>
      <c r="I50" s="53" cm="1">
        <f t="array" ref="I50">I49</f>
        <v>12.7</v>
      </c>
      <c r="J50" s="44"/>
      <c r="K50" s="40"/>
      <c r="L50" s="35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ht="12.75" customHeight="1">
      <c r="A51" s="36">
        <v>42145</v>
      </c>
      <c r="B51" s="37"/>
      <c r="C51" t="s" s="55">
        <v>14</v>
      </c>
      <c r="D51" t="s" s="18">
        <v>61</v>
      </c>
      <c r="E51" s="39"/>
      <c r="F51" s="40"/>
      <c r="G51" s="41">
        <v>990.46</v>
      </c>
      <c r="H51" s="42" cm="1">
        <f t="array" ref="H51">G51/I51</f>
        <v>77.9889763779528</v>
      </c>
      <c r="I51" s="43" cm="1">
        <f t="array" ref="I51">I50</f>
        <v>12.7</v>
      </c>
      <c r="J51" s="44"/>
      <c r="K51" s="40"/>
      <c r="L51" s="35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ht="12.75" customHeight="1">
      <c r="A52" s="36">
        <v>42173</v>
      </c>
      <c r="B52" s="37"/>
      <c r="C52" t="s" s="55">
        <v>14</v>
      </c>
      <c r="D52" t="s" s="18">
        <v>62</v>
      </c>
      <c r="E52" s="39"/>
      <c r="F52" s="40"/>
      <c r="G52" s="41">
        <v>333.16</v>
      </c>
      <c r="H52" s="42" cm="1">
        <f t="array" ref="H52">G52/I52</f>
        <v>26.2330708661417</v>
      </c>
      <c r="I52" s="43">
        <v>12.7</v>
      </c>
      <c r="J52" s="44"/>
      <c r="K52" s="40"/>
      <c r="L52" s="35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ht="12.75" customHeight="1">
      <c r="A53" s="45">
        <v>42205</v>
      </c>
      <c r="B53" s="46"/>
      <c r="C53" t="s" s="54">
        <v>14</v>
      </c>
      <c r="D53" t="s" s="48">
        <v>63</v>
      </c>
      <c r="E53" s="49"/>
      <c r="F53" s="50"/>
      <c r="G53" s="51">
        <v>333.16</v>
      </c>
      <c r="H53" s="52" cm="1">
        <f t="array" ref="H53">G53/I53</f>
        <v>22.8191780821918</v>
      </c>
      <c r="I53" s="53">
        <v>14.6</v>
      </c>
      <c r="J53" s="44"/>
      <c r="K53" s="40"/>
      <c r="L53" s="35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ht="12.75" customHeight="1">
      <c r="A54" s="36">
        <v>42238</v>
      </c>
      <c r="B54" s="37"/>
      <c r="C54" t="s" s="55">
        <v>14</v>
      </c>
      <c r="D54" t="s" s="18">
        <v>64</v>
      </c>
      <c r="E54" s="39"/>
      <c r="F54" s="40"/>
      <c r="G54" s="41">
        <v>333.16</v>
      </c>
      <c r="H54" s="42" cm="1">
        <f t="array" ref="H54">G54/I54</f>
        <v>21.3564102564103</v>
      </c>
      <c r="I54" s="43">
        <v>15.6</v>
      </c>
      <c r="J54" s="44"/>
      <c r="K54" s="40"/>
      <c r="L54" s="35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ht="12.75" customHeight="1">
      <c r="A55" s="45">
        <v>42241</v>
      </c>
      <c r="B55" s="63">
        <v>49634</v>
      </c>
      <c r="C55" t="s" s="54">
        <v>47</v>
      </c>
      <c r="D55" t="s" s="48">
        <v>65</v>
      </c>
      <c r="E55" s="49"/>
      <c r="F55" s="50"/>
      <c r="G55" s="51">
        <v>599821.21</v>
      </c>
      <c r="H55" s="52">
        <v>37800</v>
      </c>
      <c r="I55" s="53">
        <v>15.87</v>
      </c>
      <c r="J55" s="44"/>
      <c r="K55" s="40"/>
      <c r="L55" s="35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ht="12.75" customHeight="1">
      <c r="A56" s="36">
        <v>42269</v>
      </c>
      <c r="B56" s="37"/>
      <c r="C56" t="s" s="55">
        <v>14</v>
      </c>
      <c r="D56" t="s" s="18">
        <v>66</v>
      </c>
      <c r="E56" s="39"/>
      <c r="F56" s="40"/>
      <c r="G56" s="41">
        <v>333.16</v>
      </c>
      <c r="H56" s="42" cm="1">
        <f t="array" ref="H56">G56/I56</f>
        <v>20.8225</v>
      </c>
      <c r="I56" s="43">
        <v>16</v>
      </c>
      <c r="J56" s="44"/>
      <c r="K56" s="40"/>
      <c r="L56" s="35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ht="12.75" customHeight="1">
      <c r="A57" s="45">
        <v>42279</v>
      </c>
      <c r="B57" s="46"/>
      <c r="C57" t="s" s="54">
        <v>47</v>
      </c>
      <c r="D57" t="s" s="48">
        <v>67</v>
      </c>
      <c r="E57" s="49"/>
      <c r="F57" s="50"/>
      <c r="G57" s="51">
        <v>1623051.8</v>
      </c>
      <c r="H57" s="52">
        <v>102078</v>
      </c>
      <c r="I57" s="53">
        <v>15.9</v>
      </c>
      <c r="J57" s="44"/>
      <c r="K57" s="40"/>
      <c r="L57" s="35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ht="12.75" customHeight="1">
      <c r="A58" s="36">
        <v>42298</v>
      </c>
      <c r="B58" s="37"/>
      <c r="C58" t="s" s="55">
        <v>14</v>
      </c>
      <c r="D58" t="s" s="18">
        <v>68</v>
      </c>
      <c r="E58" s="39"/>
      <c r="F58" s="40"/>
      <c r="G58" s="41">
        <v>333.16</v>
      </c>
      <c r="H58" s="42" cm="1">
        <f t="array" ref="H58">G58/I58</f>
        <v>20.8225</v>
      </c>
      <c r="I58" s="43" cm="1">
        <f t="array" ref="I58">I56</f>
        <v>16</v>
      </c>
      <c r="J58" s="44"/>
      <c r="K58" s="40"/>
      <c r="L58" s="35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ht="12.75" customHeight="1">
      <c r="A59" s="45">
        <v>42328</v>
      </c>
      <c r="B59" s="46"/>
      <c r="C59" t="s" s="54">
        <v>14</v>
      </c>
      <c r="D59" t="s" s="48">
        <v>69</v>
      </c>
      <c r="E59" s="49"/>
      <c r="F59" s="50"/>
      <c r="G59" s="51">
        <v>333.16</v>
      </c>
      <c r="H59" s="52" cm="1">
        <f t="array" ref="H59">G59/I59</f>
        <v>22.2106666666667</v>
      </c>
      <c r="I59" s="53">
        <v>15</v>
      </c>
      <c r="J59" s="44"/>
      <c r="K59" s="40"/>
      <c r="L59" s="35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ht="12.75" customHeight="1">
      <c r="A60" s="36">
        <v>42383</v>
      </c>
      <c r="B60" s="37"/>
      <c r="C60" t="s" s="55">
        <v>21</v>
      </c>
      <c r="D60" t="s" s="58">
        <v>70</v>
      </c>
      <c r="E60" s="59"/>
      <c r="F60" s="40"/>
      <c r="G60" s="41">
        <v>31658.95</v>
      </c>
      <c r="H60" s="42" cm="1">
        <f t="array" ref="H60">G60/I60</f>
        <v>2261.353571428570</v>
      </c>
      <c r="I60" s="43">
        <v>14</v>
      </c>
      <c r="J60" s="44"/>
      <c r="K60" s="40"/>
      <c r="L60" s="35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ht="12.75" customHeight="1">
      <c r="A61" s="45">
        <v>42390</v>
      </c>
      <c r="B61" s="46"/>
      <c r="C61" t="s" s="54">
        <v>14</v>
      </c>
      <c r="D61" t="s" s="48">
        <v>71</v>
      </c>
      <c r="E61" s="49"/>
      <c r="F61" s="50"/>
      <c r="G61" s="51">
        <v>1387.52</v>
      </c>
      <c r="H61" s="52" cm="1">
        <f t="array" ref="H61">G61/I61</f>
        <v>96.3555555555556</v>
      </c>
      <c r="I61" s="53">
        <v>14.4</v>
      </c>
      <c r="J61" s="44"/>
      <c r="K61" s="40"/>
      <c r="L61" s="35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ht="12.75" customHeight="1">
      <c r="A62" s="36">
        <v>42416</v>
      </c>
      <c r="B62" s="37"/>
      <c r="C62" t="s" s="55">
        <v>12</v>
      </c>
      <c r="D62" t="s" s="58">
        <v>72</v>
      </c>
      <c r="E62" s="59"/>
      <c r="F62" s="40"/>
      <c r="G62" s="41">
        <v>32462</v>
      </c>
      <c r="H62" s="42" cm="1">
        <f t="array" ref="H62">G62/I62</f>
        <v>2164.133333333330</v>
      </c>
      <c r="I62" s="43">
        <v>15</v>
      </c>
      <c r="J62" s="44"/>
      <c r="K62" s="40"/>
      <c r="L62" s="35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ht="12.75" customHeight="1">
      <c r="A63" s="45">
        <v>42417</v>
      </c>
      <c r="B63" s="46"/>
      <c r="C63" t="s" s="54">
        <v>73</v>
      </c>
      <c r="D63" t="s" s="48">
        <v>74</v>
      </c>
      <c r="E63" s="49"/>
      <c r="F63" s="50"/>
      <c r="G63" s="51">
        <v>5220</v>
      </c>
      <c r="H63" s="52" cm="1">
        <f t="array" ref="H63">G63/I63</f>
        <v>341.176470588235</v>
      </c>
      <c r="I63" s="53">
        <v>15.3</v>
      </c>
      <c r="J63" s="44"/>
      <c r="K63" s="40"/>
      <c r="L63" s="35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ht="12.75" customHeight="1">
      <c r="A64" s="36">
        <v>42418</v>
      </c>
      <c r="B64" s="37"/>
      <c r="C64" t="s" s="55">
        <v>14</v>
      </c>
      <c r="D64" t="s" s="18">
        <v>75</v>
      </c>
      <c r="E64" s="39"/>
      <c r="F64" s="40"/>
      <c r="G64" s="41">
        <v>392.46</v>
      </c>
      <c r="H64" s="42" cm="1">
        <f t="array" ref="H64">G64/I64</f>
        <v>25.5674267100977</v>
      </c>
      <c r="I64" s="43">
        <v>15.35</v>
      </c>
      <c r="J64" s="44"/>
      <c r="K64" s="40"/>
      <c r="L64" s="35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ht="12.75" customHeight="1">
      <c r="A65" s="45">
        <v>42422</v>
      </c>
      <c r="B65" s="46"/>
      <c r="C65" t="s" s="54">
        <v>14</v>
      </c>
      <c r="D65" t="s" s="48">
        <v>76</v>
      </c>
      <c r="E65" s="49"/>
      <c r="F65" s="50"/>
      <c r="G65" s="51">
        <v>1875.8</v>
      </c>
      <c r="H65" s="52" cm="1">
        <f t="array" ref="H65">G65/I65</f>
        <v>121.805194805195</v>
      </c>
      <c r="I65" s="53">
        <v>15.4</v>
      </c>
      <c r="J65" s="44"/>
      <c r="K65" s="40"/>
      <c r="L65" s="35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ht="12.75" customHeight="1">
      <c r="A66" s="36">
        <v>42441</v>
      </c>
      <c r="B66" s="37"/>
      <c r="C66" t="s" s="55">
        <v>14</v>
      </c>
      <c r="D66" t="s" s="18">
        <v>77</v>
      </c>
      <c r="E66" s="39"/>
      <c r="F66" s="40"/>
      <c r="G66" s="41">
        <v>516810</v>
      </c>
      <c r="H66" s="42">
        <v>35700</v>
      </c>
      <c r="I66" s="43">
        <v>14.5</v>
      </c>
      <c r="J66" s="44"/>
      <c r="K66" s="40"/>
      <c r="L66" s="35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ht="12.75" customHeight="1">
      <c r="A67" s="45">
        <v>42450</v>
      </c>
      <c r="B67" s="46"/>
      <c r="C67" t="s" s="54">
        <v>14</v>
      </c>
      <c r="D67" t="s" s="48">
        <v>78</v>
      </c>
      <c r="E67" s="49"/>
      <c r="F67" s="50"/>
      <c r="G67" s="51">
        <v>2119.94</v>
      </c>
      <c r="H67" s="52" cm="1">
        <f t="array" ref="H67">G67/I67</f>
        <v>137.658441558442</v>
      </c>
      <c r="I67" s="53">
        <v>15.4</v>
      </c>
      <c r="J67" s="44"/>
      <c r="K67" s="40"/>
      <c r="L67" s="35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ht="12.75" customHeight="1">
      <c r="A68" s="36">
        <v>42485</v>
      </c>
      <c r="B68" s="37"/>
      <c r="C68" t="s" s="55">
        <v>79</v>
      </c>
      <c r="D68" t="s" s="18">
        <v>76</v>
      </c>
      <c r="E68" s="39"/>
      <c r="F68" s="40"/>
      <c r="G68" s="41">
        <v>923.02</v>
      </c>
      <c r="H68" s="42" cm="1">
        <f t="array" ref="H68">G68/I68</f>
        <v>62.156228956229</v>
      </c>
      <c r="I68" s="43">
        <v>14.85</v>
      </c>
      <c r="J68" s="44"/>
      <c r="K68" s="40"/>
      <c r="L68" s="35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ht="12.75" customHeight="1">
      <c r="A69" s="45">
        <v>42539</v>
      </c>
      <c r="B69" s="46"/>
      <c r="C69" t="s" s="54">
        <v>14</v>
      </c>
      <c r="D69" t="s" s="48">
        <v>80</v>
      </c>
      <c r="E69" s="49"/>
      <c r="F69" s="50"/>
      <c r="G69" s="51">
        <v>850.4299999999999</v>
      </c>
      <c r="H69" s="52" cm="1">
        <f t="array" ref="H69">G69/I69</f>
        <v>59.0576388888889</v>
      </c>
      <c r="I69" s="53">
        <v>14.4</v>
      </c>
      <c r="J69" s="44"/>
      <c r="K69" s="40"/>
      <c r="L69" s="35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ht="12.75" customHeight="1">
      <c r="A70" s="36">
        <v>42550</v>
      </c>
      <c r="B70" s="60">
        <v>298</v>
      </c>
      <c r="C70" t="s" s="55">
        <v>81</v>
      </c>
      <c r="D70" t="s" s="18">
        <v>82</v>
      </c>
      <c r="E70" s="39"/>
      <c r="F70" s="40"/>
      <c r="G70" s="41">
        <v>484600</v>
      </c>
      <c r="H70" s="42">
        <v>33145</v>
      </c>
      <c r="I70" s="43" cm="1">
        <f t="array" ref="I70">G70/H70</f>
        <v>14.6206064263086</v>
      </c>
      <c r="J70" s="44"/>
      <c r="K70" s="40"/>
      <c r="L70" s="35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ht="12.75" customHeight="1">
      <c r="A71" s="45">
        <v>42562</v>
      </c>
      <c r="B71" s="46"/>
      <c r="C71" t="s" s="54">
        <v>79</v>
      </c>
      <c r="D71" t="s" s="48">
        <v>83</v>
      </c>
      <c r="E71" s="49"/>
      <c r="F71" s="50"/>
      <c r="G71" s="51">
        <v>179.29</v>
      </c>
      <c r="H71" s="52" cm="1">
        <f t="array" ref="H71">G71/I71</f>
        <v>11.9526666666667</v>
      </c>
      <c r="I71" s="53">
        <v>15</v>
      </c>
      <c r="J71" s="44"/>
      <c r="K71" s="40"/>
      <c r="L71" s="35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ht="12.75" customHeight="1">
      <c r="A72" s="36">
        <v>42573</v>
      </c>
      <c r="B72" s="37"/>
      <c r="C72" t="s" s="55">
        <v>14</v>
      </c>
      <c r="D72" t="s" s="18">
        <v>84</v>
      </c>
      <c r="E72" s="39"/>
      <c r="F72" s="40"/>
      <c r="G72" s="41">
        <v>2892.48</v>
      </c>
      <c r="H72" s="42" cm="1">
        <f t="array" ref="H72">G72/I72</f>
        <v>187.215533980583</v>
      </c>
      <c r="I72" s="43">
        <v>15.45</v>
      </c>
      <c r="J72" s="44"/>
      <c r="K72" s="40"/>
      <c r="L72" s="35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ht="12.75" customHeight="1">
      <c r="A73" s="45">
        <v>42584</v>
      </c>
      <c r="B73" s="63">
        <v>308</v>
      </c>
      <c r="C73" t="s" s="54">
        <v>81</v>
      </c>
      <c r="D73" t="s" s="48">
        <v>85</v>
      </c>
      <c r="E73" s="49"/>
      <c r="F73" s="50"/>
      <c r="G73" s="51">
        <v>352950</v>
      </c>
      <c r="H73" s="52">
        <v>23220</v>
      </c>
      <c r="I73" s="53" cm="1">
        <f t="array" ref="I73">G73/H73</f>
        <v>15.2002583979328</v>
      </c>
      <c r="J73" s="44"/>
      <c r="K73" s="40"/>
      <c r="L73" s="35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ht="12.75" customHeight="1">
      <c r="A74" s="36">
        <v>42590</v>
      </c>
      <c r="B74" s="37"/>
      <c r="C74" t="s" s="55">
        <v>79</v>
      </c>
      <c r="D74" t="s" s="18">
        <v>86</v>
      </c>
      <c r="E74" s="39"/>
      <c r="F74" s="40"/>
      <c r="G74" s="41">
        <v>184.28</v>
      </c>
      <c r="H74" s="42" cm="1">
        <f t="array" ref="H74">G74/I74</f>
        <v>12.0052117263844</v>
      </c>
      <c r="I74" s="43">
        <v>15.35</v>
      </c>
      <c r="J74" s="44"/>
      <c r="K74" s="40"/>
      <c r="L74" s="35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ht="12.75" customHeight="1">
      <c r="A75" s="45">
        <v>42604</v>
      </c>
      <c r="B75" s="46"/>
      <c r="C75" t="s" s="54">
        <v>14</v>
      </c>
      <c r="D75" t="s" s="48">
        <v>87</v>
      </c>
      <c r="E75" s="49"/>
      <c r="F75" s="50"/>
      <c r="G75" s="51">
        <v>440.96</v>
      </c>
      <c r="H75" s="52" cm="1">
        <f t="array" ref="H75">G75/I75</f>
        <v>28.5411003236246</v>
      </c>
      <c r="I75" s="53">
        <v>15.45</v>
      </c>
      <c r="J75" s="44"/>
      <c r="K75" s="40"/>
      <c r="L75" s="35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ht="12.75" customHeight="1">
      <c r="A76" s="36">
        <v>42608</v>
      </c>
      <c r="B76" s="61"/>
      <c r="C76" t="s" s="64">
        <v>88</v>
      </c>
      <c r="D76" t="s" s="18">
        <v>89</v>
      </c>
      <c r="E76" s="39"/>
      <c r="F76" s="40"/>
      <c r="G76" s="41">
        <v>29820.98</v>
      </c>
      <c r="H76" s="42">
        <v>2000</v>
      </c>
      <c r="I76" s="43" cm="1">
        <f t="array" ref="I76">G76/H76</f>
        <v>14.91049</v>
      </c>
      <c r="J76" s="44"/>
      <c r="K76" s="40"/>
      <c r="L76" s="35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ht="12.75" customHeight="1">
      <c r="A77" s="45">
        <v>42611</v>
      </c>
      <c r="B77" s="46"/>
      <c r="C77" t="s" s="54">
        <v>90</v>
      </c>
      <c r="D77" t="s" s="48">
        <v>91</v>
      </c>
      <c r="E77" s="49"/>
      <c r="F77" s="50"/>
      <c r="G77" s="51">
        <v>26676.29</v>
      </c>
      <c r="H77" s="52">
        <v>1780</v>
      </c>
      <c r="I77" s="53">
        <v>15</v>
      </c>
      <c r="J77" s="44"/>
      <c r="K77" s="40"/>
      <c r="L77" s="35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ht="12.75" customHeight="1">
      <c r="A78" s="36">
        <v>42615</v>
      </c>
      <c r="B78" s="37"/>
      <c r="C78" t="s" s="55">
        <v>21</v>
      </c>
      <c r="D78" t="s" s="18">
        <v>92</v>
      </c>
      <c r="E78" s="39"/>
      <c r="F78" s="40"/>
      <c r="G78" s="41">
        <v>18000</v>
      </c>
      <c r="H78" s="42" cm="1">
        <f t="array" ref="H78">G78/I78</f>
        <v>1168.831168831170</v>
      </c>
      <c r="I78" s="43">
        <v>15.4</v>
      </c>
      <c r="J78" s="44"/>
      <c r="K78" s="40"/>
      <c r="L78" s="35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ht="12.75" customHeight="1">
      <c r="A79" s="45">
        <v>42615</v>
      </c>
      <c r="B79" s="63">
        <v>321</v>
      </c>
      <c r="C79" t="s" s="54">
        <v>81</v>
      </c>
      <c r="D79" t="s" s="48">
        <v>93</v>
      </c>
      <c r="E79" s="49"/>
      <c r="F79" s="50"/>
      <c r="G79" s="51">
        <v>418775.17</v>
      </c>
      <c r="H79" s="52">
        <v>27550</v>
      </c>
      <c r="I79" s="53" cm="1">
        <f t="array" ref="I79">G79/H79</f>
        <v>15.2005506352087</v>
      </c>
      <c r="J79" s="44"/>
      <c r="K79" s="40"/>
      <c r="L79" s="35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ht="12.75" customHeight="1">
      <c r="A80" s="36">
        <v>42618</v>
      </c>
      <c r="B80" s="60">
        <v>322</v>
      </c>
      <c r="C80" t="s" s="55">
        <v>81</v>
      </c>
      <c r="D80" t="s" s="18">
        <v>94</v>
      </c>
      <c r="E80" s="39"/>
      <c r="F80" s="40"/>
      <c r="G80" s="41">
        <v>418775.17</v>
      </c>
      <c r="H80" s="42">
        <v>27550</v>
      </c>
      <c r="I80" s="43" cm="1">
        <f t="array" ref="I80">G80/H80</f>
        <v>15.2005506352087</v>
      </c>
      <c r="J80" s="44"/>
      <c r="K80" s="40"/>
      <c r="L80" s="35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ht="12.75" customHeight="1">
      <c r="A81" s="45">
        <v>42633</v>
      </c>
      <c r="B81" s="46"/>
      <c r="C81" t="s" s="54">
        <v>79</v>
      </c>
      <c r="D81" t="s" s="48">
        <v>95</v>
      </c>
      <c r="E81" s="49"/>
      <c r="F81" s="50"/>
      <c r="G81" s="51">
        <v>274.25</v>
      </c>
      <c r="H81" s="52" cm="1">
        <f t="array" ref="H81">G81/I81</f>
        <v>17.4126984126984</v>
      </c>
      <c r="I81" s="53">
        <v>15.75</v>
      </c>
      <c r="J81" s="44"/>
      <c r="K81" s="40"/>
      <c r="L81" s="35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ht="12.75" customHeight="1">
      <c r="A82" s="36">
        <v>42634</v>
      </c>
      <c r="B82" s="37"/>
      <c r="C82" t="s" s="55">
        <v>14</v>
      </c>
      <c r="D82" t="s" s="18">
        <v>96</v>
      </c>
      <c r="E82" s="39"/>
      <c r="F82" s="40"/>
      <c r="G82" s="41">
        <v>448.48</v>
      </c>
      <c r="H82" s="42" cm="1">
        <f t="array" ref="H82">G82/I82</f>
        <v>28.5656050955414</v>
      </c>
      <c r="I82" s="43">
        <v>15.7</v>
      </c>
      <c r="J82" s="44"/>
      <c r="K82" s="40"/>
      <c r="L82" s="35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ht="12.75" customHeight="1">
      <c r="A83" s="45">
        <v>42649</v>
      </c>
      <c r="B83" s="46"/>
      <c r="C83" t="s" s="54">
        <v>79</v>
      </c>
      <c r="D83" t="s" s="48">
        <v>97</v>
      </c>
      <c r="E83" s="49"/>
      <c r="F83" s="50"/>
      <c r="G83" s="51">
        <v>285.04</v>
      </c>
      <c r="H83" s="52" cm="1">
        <f t="array" ref="H83">G83/I83</f>
        <v>18.2717948717949</v>
      </c>
      <c r="I83" s="53">
        <v>15.6</v>
      </c>
      <c r="J83" s="44"/>
      <c r="K83" s="40"/>
      <c r="L83" s="35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ht="12.75" customHeight="1">
      <c r="A84" s="36">
        <v>42662</v>
      </c>
      <c r="B84" s="37"/>
      <c r="C84" t="s" s="55">
        <v>14</v>
      </c>
      <c r="D84" t="s" s="18">
        <v>98</v>
      </c>
      <c r="E84" s="39"/>
      <c r="F84" s="40"/>
      <c r="G84" s="41">
        <v>487.19</v>
      </c>
      <c r="H84" s="42" cm="1">
        <f t="array" ref="H84">G84/I84</f>
        <v>31.1303514376997</v>
      </c>
      <c r="I84" s="43">
        <v>15.65</v>
      </c>
      <c r="J84" s="44"/>
      <c r="K84" s="40"/>
      <c r="L84" s="35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ht="12.75" customHeight="1">
      <c r="A85" s="45">
        <v>42681</v>
      </c>
      <c r="B85" s="46"/>
      <c r="C85" t="s" s="54">
        <v>79</v>
      </c>
      <c r="D85" t="s" s="48">
        <v>99</v>
      </c>
      <c r="E85" s="49"/>
      <c r="F85" s="50"/>
      <c r="G85" s="51">
        <v>287.16</v>
      </c>
      <c r="H85" s="52" cm="1">
        <f t="array" ref="H85">G85/I85</f>
        <v>18.5264516129032</v>
      </c>
      <c r="I85" s="53">
        <v>15.5</v>
      </c>
      <c r="J85" s="44"/>
      <c r="K85" s="40"/>
      <c r="L85" s="35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ht="12.75" customHeight="1">
      <c r="A86" s="36">
        <v>42681</v>
      </c>
      <c r="B86" s="60">
        <v>348</v>
      </c>
      <c r="C86" t="s" s="55">
        <v>81</v>
      </c>
      <c r="D86" t="s" s="18">
        <v>100</v>
      </c>
      <c r="E86" s="39"/>
      <c r="F86" s="40"/>
      <c r="G86" s="41">
        <v>459940.77</v>
      </c>
      <c r="H86" s="42">
        <v>30660</v>
      </c>
      <c r="I86" s="43" cm="1">
        <f t="array" ref="I86">G86/H86</f>
        <v>15.0013297455969</v>
      </c>
      <c r="J86" s="44"/>
      <c r="K86" s="40"/>
      <c r="L86" s="35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ht="12.75" customHeight="1">
      <c r="A87" s="45">
        <v>42681</v>
      </c>
      <c r="B87" s="63">
        <v>349</v>
      </c>
      <c r="C87" t="s" s="54">
        <v>81</v>
      </c>
      <c r="D87" t="s" s="48">
        <v>101</v>
      </c>
      <c r="E87" s="49"/>
      <c r="F87" s="50"/>
      <c r="G87" s="51">
        <v>459940.77</v>
      </c>
      <c r="H87" s="52">
        <v>30660</v>
      </c>
      <c r="I87" s="53" cm="1">
        <f t="array" ref="I87">G87/H87</f>
        <v>15.0013297455969</v>
      </c>
      <c r="J87" s="44"/>
      <c r="K87" s="40"/>
      <c r="L87" s="35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ht="12.75" customHeight="1">
      <c r="A88" s="36">
        <v>42688</v>
      </c>
      <c r="B88" s="60">
        <v>691</v>
      </c>
      <c r="C88" t="s" s="55">
        <v>102</v>
      </c>
      <c r="D88" t="s" s="18">
        <v>103</v>
      </c>
      <c r="E88" s="39"/>
      <c r="F88" s="40"/>
      <c r="G88" s="41">
        <v>285875</v>
      </c>
      <c r="H88" s="42">
        <v>19058</v>
      </c>
      <c r="I88" s="43" cm="1">
        <f t="array" ref="I88">G88/H88</f>
        <v>15.0002623570154</v>
      </c>
      <c r="J88" s="44"/>
      <c r="K88" s="40"/>
      <c r="L88" s="35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ht="12.75" customHeight="1">
      <c r="A89" s="45">
        <v>42695</v>
      </c>
      <c r="B89" s="46"/>
      <c r="C89" t="s" s="54">
        <v>14</v>
      </c>
      <c r="D89" t="s" s="48">
        <v>104</v>
      </c>
      <c r="E89" s="49"/>
      <c r="F89" s="50"/>
      <c r="G89" s="51">
        <v>494.71</v>
      </c>
      <c r="H89" s="52" cm="1">
        <f t="array" ref="H89">G89/I89</f>
        <v>31.3107594936709</v>
      </c>
      <c r="I89" s="53">
        <v>15.8</v>
      </c>
      <c r="J89" s="44"/>
      <c r="K89" s="40"/>
      <c r="L89" s="35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ht="12.75" customHeight="1">
      <c r="A90" s="36">
        <v>42717</v>
      </c>
      <c r="B90" s="37"/>
      <c r="C90" t="s" s="55">
        <v>79</v>
      </c>
      <c r="D90" t="s" s="18">
        <v>105</v>
      </c>
      <c r="E90" s="39"/>
      <c r="F90" s="40"/>
      <c r="G90" s="41">
        <v>607.36</v>
      </c>
      <c r="H90" s="42" cm="1">
        <f t="array" ref="H90">G90/I90</f>
        <v>37.0341463414634</v>
      </c>
      <c r="I90" s="43">
        <v>16.4</v>
      </c>
      <c r="J90" s="44"/>
      <c r="K90" s="40"/>
      <c r="L90" s="35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ht="12.75" customHeight="1">
      <c r="A91" s="45">
        <v>42725</v>
      </c>
      <c r="B91" s="46"/>
      <c r="C91" t="s" s="54">
        <v>14</v>
      </c>
      <c r="D91" t="s" s="48">
        <v>106</v>
      </c>
      <c r="E91" s="49"/>
      <c r="F91" s="50"/>
      <c r="G91" s="51">
        <v>517.27</v>
      </c>
      <c r="H91" s="52" cm="1">
        <f t="array" ref="H91">G91/I91</f>
        <v>31.160843373494</v>
      </c>
      <c r="I91" s="53">
        <v>16.6</v>
      </c>
      <c r="J91" s="44"/>
      <c r="K91" s="40"/>
      <c r="L91" s="35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ht="12.75" customHeight="1">
      <c r="A92" s="36">
        <v>42739</v>
      </c>
      <c r="B92" s="60">
        <v>366</v>
      </c>
      <c r="C92" t="s" s="55">
        <v>81</v>
      </c>
      <c r="D92" t="s" s="18">
        <v>107</v>
      </c>
      <c r="E92" s="39"/>
      <c r="F92" s="40"/>
      <c r="G92" s="41">
        <v>459940.77</v>
      </c>
      <c r="H92" s="42">
        <v>28750</v>
      </c>
      <c r="I92" s="43" cm="1">
        <f t="array" ref="I92">G92/H92</f>
        <v>15.997939826087</v>
      </c>
      <c r="J92" s="44"/>
      <c r="K92" s="40"/>
      <c r="L92" s="35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ht="12.75" customHeight="1">
      <c r="A93" s="45">
        <v>42747</v>
      </c>
      <c r="B93" s="46"/>
      <c r="C93" t="s" s="54">
        <v>79</v>
      </c>
      <c r="D93" t="s" s="48">
        <v>108</v>
      </c>
      <c r="E93" s="49"/>
      <c r="F93" s="50"/>
      <c r="G93" s="51">
        <v>609.76</v>
      </c>
      <c r="H93" s="52" cm="1">
        <f t="array" ref="H93">G93/I93</f>
        <v>36.2952380952381</v>
      </c>
      <c r="I93" s="53">
        <v>16.8</v>
      </c>
      <c r="J93" s="44"/>
      <c r="K93" s="40"/>
      <c r="L93" s="35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ht="12.75" customHeight="1">
      <c r="A94" s="36">
        <v>42754</v>
      </c>
      <c r="B94" s="37"/>
      <c r="C94" t="s" s="55">
        <v>21</v>
      </c>
      <c r="D94" t="s" s="58">
        <v>109</v>
      </c>
      <c r="E94" s="59"/>
      <c r="F94" s="40"/>
      <c r="G94" s="41">
        <v>35432.81</v>
      </c>
      <c r="H94" s="42" cm="1">
        <f t="array" ref="H94">G94/I94</f>
        <v>2096.615976331360</v>
      </c>
      <c r="I94" s="43">
        <v>16.9</v>
      </c>
      <c r="J94" s="44"/>
      <c r="K94" s="40"/>
      <c r="L94" s="35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ht="12.75" customHeight="1">
      <c r="A95" s="45">
        <v>42758</v>
      </c>
      <c r="B95" s="46"/>
      <c r="C95" t="s" s="54">
        <v>14</v>
      </c>
      <c r="D95" t="s" s="48">
        <v>110</v>
      </c>
      <c r="E95" s="49"/>
      <c r="F95" s="50"/>
      <c r="G95" s="51">
        <v>482.79</v>
      </c>
      <c r="H95" s="52" cm="1">
        <f t="array" ref="H95">G95/I95</f>
        <v>28.5674556213018</v>
      </c>
      <c r="I95" s="53" cm="1">
        <f t="array" ref="I95">I94</f>
        <v>16.9</v>
      </c>
      <c r="J95" s="44"/>
      <c r="K95" s="40"/>
      <c r="L95" s="35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ht="12.75" customHeight="1">
      <c r="A96" s="36">
        <v>42772</v>
      </c>
      <c r="B96" s="37"/>
      <c r="C96" t="s" s="55">
        <v>79</v>
      </c>
      <c r="D96" t="s" s="18">
        <v>111</v>
      </c>
      <c r="E96" s="39"/>
      <c r="F96" s="40"/>
      <c r="G96" s="41">
        <v>415.65</v>
      </c>
      <c r="H96" s="42" cm="1">
        <f t="array" ref="H96">G96/I96</f>
        <v>25.1909090909091</v>
      </c>
      <c r="I96" s="43">
        <v>16.5</v>
      </c>
      <c r="J96" s="44"/>
      <c r="K96" s="40"/>
      <c r="L96" s="35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ht="12.75" customHeight="1">
      <c r="A97" s="45">
        <v>42773</v>
      </c>
      <c r="B97" s="63">
        <v>373</v>
      </c>
      <c r="C97" t="s" s="54">
        <v>81</v>
      </c>
      <c r="D97" t="s" s="48">
        <v>112</v>
      </c>
      <c r="E97" s="49"/>
      <c r="F97" s="50"/>
      <c r="G97" s="51">
        <v>477142.54</v>
      </c>
      <c r="H97" s="52">
        <v>29800</v>
      </c>
      <c r="I97" s="53" cm="1">
        <f t="array" ref="I97">G97/H97</f>
        <v>16.0114946308725</v>
      </c>
      <c r="J97" s="44"/>
      <c r="K97" s="40"/>
      <c r="L97" s="35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ht="12.75" customHeight="1">
      <c r="A98" s="36">
        <v>42782</v>
      </c>
      <c r="B98" s="37"/>
      <c r="C98" t="s" s="55">
        <v>12</v>
      </c>
      <c r="D98" t="s" s="58">
        <v>113</v>
      </c>
      <c r="E98" s="59"/>
      <c r="F98" s="40"/>
      <c r="G98" s="41">
        <v>44799.2</v>
      </c>
      <c r="H98" s="42" cm="1">
        <f t="array" ref="H98">G98/I98</f>
        <v>2748.417177914110</v>
      </c>
      <c r="I98" s="43">
        <v>16.3</v>
      </c>
      <c r="J98" s="44"/>
      <c r="K98" s="40"/>
      <c r="L98" s="35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ht="12.75" customHeight="1">
      <c r="A99" s="45">
        <v>42788</v>
      </c>
      <c r="B99" s="46"/>
      <c r="C99" t="s" s="54">
        <v>14</v>
      </c>
      <c r="D99" t="s" s="48">
        <v>114</v>
      </c>
      <c r="E99" s="49"/>
      <c r="F99" s="50"/>
      <c r="G99" s="51">
        <v>517.27</v>
      </c>
      <c r="H99" s="52" cm="1">
        <f t="array" ref="H99">G99/I99</f>
        <v>31.5408536585366</v>
      </c>
      <c r="I99" s="53">
        <v>16.4</v>
      </c>
      <c r="J99" s="44"/>
      <c r="K99" s="40"/>
      <c r="L99" s="35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ht="12.75" customHeight="1">
      <c r="A100" s="36">
        <v>42796</v>
      </c>
      <c r="B100" s="60">
        <v>379</v>
      </c>
      <c r="C100" t="s" s="55">
        <v>81</v>
      </c>
      <c r="D100" t="s" s="18">
        <v>115</v>
      </c>
      <c r="E100" s="39"/>
      <c r="F100" s="40"/>
      <c r="G100" s="41">
        <v>477142.54</v>
      </c>
      <c r="H100" s="42">
        <v>30200</v>
      </c>
      <c r="I100" s="43" cm="1">
        <f t="array" ref="I100">G100/H100</f>
        <v>15.7994218543046</v>
      </c>
      <c r="J100" s="44"/>
      <c r="K100" s="40"/>
      <c r="L100" s="35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ht="12.75" customHeight="1">
      <c r="A101" s="45">
        <v>42803</v>
      </c>
      <c r="B101" s="46"/>
      <c r="C101" t="s" s="54">
        <v>79</v>
      </c>
      <c r="D101" t="s" s="48">
        <v>116</v>
      </c>
      <c r="E101" s="49"/>
      <c r="F101" s="50"/>
      <c r="G101" s="51">
        <v>416.1</v>
      </c>
      <c r="H101" s="52" cm="1">
        <f t="array" ref="H101">G101/I101</f>
        <v>26.00625</v>
      </c>
      <c r="I101" s="53">
        <v>16</v>
      </c>
      <c r="J101" s="44"/>
      <c r="K101" s="40"/>
      <c r="L101" s="35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ht="12.75" customHeight="1">
      <c r="A102" s="36">
        <v>42817</v>
      </c>
      <c r="B102" s="37"/>
      <c r="C102" t="s" s="55">
        <v>14</v>
      </c>
      <c r="D102" t="s" s="18">
        <v>117</v>
      </c>
      <c r="E102" s="39"/>
      <c r="F102" s="40"/>
      <c r="G102" s="41">
        <v>717.58</v>
      </c>
      <c r="H102" s="42" cm="1">
        <f t="array" ref="H102">G102/I102</f>
        <v>44.84875</v>
      </c>
      <c r="I102" s="43" cm="1">
        <f t="array" ref="I102">I101</f>
        <v>16</v>
      </c>
      <c r="J102" s="44"/>
      <c r="K102" s="40"/>
      <c r="L102" s="35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ht="12.75" customHeight="1">
      <c r="A103" s="45">
        <v>42837</v>
      </c>
      <c r="B103" s="46"/>
      <c r="C103" t="s" s="54">
        <v>79</v>
      </c>
      <c r="D103" t="s" s="48">
        <v>118</v>
      </c>
      <c r="E103" s="49"/>
      <c r="F103" s="50"/>
      <c r="G103" s="51">
        <v>410.47</v>
      </c>
      <c r="H103" s="52" cm="1">
        <f t="array" ref="H103">G103/I103</f>
        <v>26.1445859872611</v>
      </c>
      <c r="I103" s="53">
        <v>15.7</v>
      </c>
      <c r="J103" s="44"/>
      <c r="K103" s="40"/>
      <c r="L103" s="35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ht="12.75" customHeight="1">
      <c r="A104" s="36">
        <v>42842</v>
      </c>
      <c r="B104" s="60">
        <v>390</v>
      </c>
      <c r="C104" t="s" s="55">
        <v>81</v>
      </c>
      <c r="D104" t="s" s="18">
        <v>119</v>
      </c>
      <c r="E104" s="39"/>
      <c r="F104" s="40"/>
      <c r="G104" s="41">
        <v>477142.54</v>
      </c>
      <c r="H104" s="42">
        <v>29272</v>
      </c>
      <c r="I104" s="43" cm="1">
        <f t="array" ref="I104">G104/H104</f>
        <v>16.3003054113146</v>
      </c>
      <c r="J104" s="44"/>
      <c r="K104" s="40"/>
      <c r="L104" s="35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ht="12.75" customHeight="1">
      <c r="A105" s="45">
        <v>42937</v>
      </c>
      <c r="B105" s="46"/>
      <c r="C105" t="s" s="54">
        <v>14</v>
      </c>
      <c r="D105" t="s" s="48">
        <v>120</v>
      </c>
      <c r="E105" s="49"/>
      <c r="F105" s="50"/>
      <c r="G105" s="51">
        <v>894.62</v>
      </c>
      <c r="H105" s="52" cm="1">
        <f t="array" ref="H105">G105/I105</f>
        <v>55.91375</v>
      </c>
      <c r="I105" s="53">
        <v>16</v>
      </c>
      <c r="J105" s="44"/>
      <c r="K105" s="40"/>
      <c r="L105" s="35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ht="12.75" customHeight="1">
      <c r="A106" s="36">
        <v>42864</v>
      </c>
      <c r="B106" s="60">
        <v>395</v>
      </c>
      <c r="C106" t="s" s="55">
        <v>81</v>
      </c>
      <c r="D106" t="s" s="18">
        <v>121</v>
      </c>
      <c r="E106" s="39"/>
      <c r="F106" s="40"/>
      <c r="G106" s="41">
        <v>190857.05</v>
      </c>
      <c r="H106" s="42">
        <v>11227</v>
      </c>
      <c r="I106" s="43" cm="1">
        <f t="array" ref="I106">G106/H106</f>
        <v>16.9998263115703</v>
      </c>
      <c r="J106" s="44"/>
      <c r="K106" s="40"/>
      <c r="L106" s="35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ht="12.75" customHeight="1">
      <c r="A107" s="45">
        <v>42867</v>
      </c>
      <c r="B107" s="46"/>
      <c r="C107" t="s" s="54">
        <v>79</v>
      </c>
      <c r="D107" t="s" s="48">
        <v>122</v>
      </c>
      <c r="E107" s="49"/>
      <c r="F107" s="50"/>
      <c r="G107" s="51">
        <v>410.61</v>
      </c>
      <c r="H107" s="52" cm="1">
        <f t="array" ref="H107">G107/I107</f>
        <v>25.663125</v>
      </c>
      <c r="I107" s="53">
        <v>16</v>
      </c>
      <c r="J107" s="44"/>
      <c r="K107" s="40"/>
      <c r="L107" s="35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ht="12.75" customHeight="1">
      <c r="A108" s="36">
        <v>42877</v>
      </c>
      <c r="B108" s="37"/>
      <c r="C108" t="s" s="55">
        <v>14</v>
      </c>
      <c r="D108" t="s" s="18">
        <v>123</v>
      </c>
      <c r="E108" s="39"/>
      <c r="F108" s="40"/>
      <c r="G108" s="41">
        <v>880.7</v>
      </c>
      <c r="H108" s="42" cm="1">
        <f t="array" ref="H108">G108/I108</f>
        <v>54.3641975308642</v>
      </c>
      <c r="I108" s="43">
        <v>16.2</v>
      </c>
      <c r="J108" s="44"/>
      <c r="K108" s="40"/>
      <c r="L108" s="35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ht="12.75" customHeight="1">
      <c r="A109" s="45">
        <v>42891</v>
      </c>
      <c r="B109" s="63">
        <v>406</v>
      </c>
      <c r="C109" t="s" s="54">
        <v>81</v>
      </c>
      <c r="D109" t="s" s="48">
        <v>124</v>
      </c>
      <c r="E109" s="49"/>
      <c r="F109" s="50"/>
      <c r="G109" s="51">
        <v>211851.32</v>
      </c>
      <c r="H109" s="52">
        <v>13000</v>
      </c>
      <c r="I109" s="53" cm="1">
        <f t="array" ref="I109">G109/H109</f>
        <v>16.2962553846154</v>
      </c>
      <c r="J109" s="44"/>
      <c r="K109" s="40"/>
      <c r="L109" s="35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ht="12.75" customHeight="1">
      <c r="A110" s="36">
        <v>42898</v>
      </c>
      <c r="B110" s="37"/>
      <c r="C110" t="s" s="55">
        <v>79</v>
      </c>
      <c r="D110" t="s" s="18">
        <v>125</v>
      </c>
      <c r="E110" s="39"/>
      <c r="F110" s="40"/>
      <c r="G110" s="41">
        <v>487.71</v>
      </c>
      <c r="H110" s="42" cm="1">
        <f t="array" ref="H110">G110/I110</f>
        <v>29.7384146341463</v>
      </c>
      <c r="I110" s="43">
        <v>16.4</v>
      </c>
      <c r="J110" s="44"/>
      <c r="K110" s="40"/>
      <c r="L110" s="35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ht="12.75" customHeight="1">
      <c r="A111" s="45">
        <v>42898</v>
      </c>
      <c r="B111" s="63">
        <v>411</v>
      </c>
      <c r="C111" t="s" s="54">
        <v>81</v>
      </c>
      <c r="D111" t="s" s="48">
        <v>126</v>
      </c>
      <c r="E111" s="49"/>
      <c r="F111" s="50"/>
      <c r="G111" s="51">
        <v>605750</v>
      </c>
      <c r="H111" s="52">
        <v>37000</v>
      </c>
      <c r="I111" s="53" cm="1">
        <f t="array" ref="I111">G111/H111</f>
        <v>16.3716216216216</v>
      </c>
      <c r="J111" s="44"/>
      <c r="K111" s="40"/>
      <c r="L111" s="35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ht="12.75" customHeight="1">
      <c r="A112" s="36">
        <v>42902</v>
      </c>
      <c r="B112" s="37"/>
      <c r="C112" t="s" s="55">
        <v>21</v>
      </c>
      <c r="D112" t="s" s="18">
        <v>127</v>
      </c>
      <c r="E112" s="39"/>
      <c r="F112" s="40"/>
      <c r="G112" s="41">
        <v>29964.05</v>
      </c>
      <c r="H112" s="42" cm="1">
        <f t="array" ref="H112">G112/I112</f>
        <v>1810.5166163142</v>
      </c>
      <c r="I112" s="43">
        <v>16.55</v>
      </c>
      <c r="J112" s="44"/>
      <c r="K112" s="40"/>
      <c r="L112" s="35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ht="12.75" customHeight="1">
      <c r="A113" s="45">
        <v>42908</v>
      </c>
      <c r="B113" s="46"/>
      <c r="C113" t="s" s="54">
        <v>14</v>
      </c>
      <c r="D113" t="s" s="48">
        <v>128</v>
      </c>
      <c r="E113" s="49"/>
      <c r="F113" s="50"/>
      <c r="G113" s="51">
        <v>685.4299999999999</v>
      </c>
      <c r="H113" s="52" cm="1">
        <f t="array" ref="H113">G113/I113</f>
        <v>41.4157099697885</v>
      </c>
      <c r="I113" s="53" cm="1">
        <f t="array" ref="I113">I112</f>
        <v>16.55</v>
      </c>
      <c r="J113" s="44"/>
      <c r="K113" s="40"/>
      <c r="L113" s="35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ht="12.75" customHeight="1">
      <c r="A114" s="36">
        <v>42913</v>
      </c>
      <c r="B114" s="60">
        <v>1426</v>
      </c>
      <c r="C114" t="s" s="55">
        <v>129</v>
      </c>
      <c r="D114" t="s" s="18">
        <v>130</v>
      </c>
      <c r="E114" s="39"/>
      <c r="F114" s="40"/>
      <c r="G114" s="41">
        <v>552500</v>
      </c>
      <c r="H114" s="42">
        <v>33500</v>
      </c>
      <c r="I114" s="43">
        <v>16.49</v>
      </c>
      <c r="J114" s="44"/>
      <c r="K114" s="40"/>
      <c r="L114" s="35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ht="12.75" customHeight="1">
      <c r="A115" s="45">
        <v>42919</v>
      </c>
      <c r="B115" s="63">
        <v>419</v>
      </c>
      <c r="C115" t="s" s="54">
        <v>81</v>
      </c>
      <c r="D115" t="s" s="48">
        <v>131</v>
      </c>
      <c r="E115" s="49"/>
      <c r="F115" s="50"/>
      <c r="G115" s="51">
        <v>211851.32</v>
      </c>
      <c r="H115" s="52">
        <v>12210</v>
      </c>
      <c r="I115" s="53" cm="1">
        <f t="array" ref="I115">G115/H115</f>
        <v>17.3506404586405</v>
      </c>
      <c r="J115" s="44"/>
      <c r="K115" s="40"/>
      <c r="L115" s="35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ht="12.75" customHeight="1">
      <c r="A116" s="36">
        <v>42928</v>
      </c>
      <c r="B116" s="37"/>
      <c r="C116" t="s" s="55">
        <v>79</v>
      </c>
      <c r="D116" t="s" s="18">
        <v>132</v>
      </c>
      <c r="E116" s="39"/>
      <c r="F116" s="40"/>
      <c r="G116" s="41">
        <v>489.07</v>
      </c>
      <c r="H116" s="42" cm="1">
        <f t="array" ref="H116">G116/I116</f>
        <v>27.9468571428571</v>
      </c>
      <c r="I116" s="43">
        <v>17.5</v>
      </c>
      <c r="J116" s="44"/>
      <c r="K116" s="40"/>
      <c r="L116" s="35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ht="12.75" customHeight="1">
      <c r="A117" s="45">
        <v>42936</v>
      </c>
      <c r="B117" s="63">
        <v>55656</v>
      </c>
      <c r="C117" t="s" s="54">
        <v>133</v>
      </c>
      <c r="D117" t="s" s="48">
        <v>134</v>
      </c>
      <c r="E117" s="49"/>
      <c r="F117" s="50"/>
      <c r="G117" s="51">
        <v>1889.4</v>
      </c>
      <c r="H117" s="52">
        <v>111</v>
      </c>
      <c r="I117" s="53" cm="1">
        <f t="array" ref="I117">G117/H117</f>
        <v>17.0216216216216</v>
      </c>
      <c r="J117" s="44"/>
      <c r="K117" s="40"/>
      <c r="L117" s="35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ht="12.75" customHeight="1">
      <c r="A118" s="36">
        <v>42937</v>
      </c>
      <c r="B118" s="37"/>
      <c r="C118" t="s" s="55">
        <v>14</v>
      </c>
      <c r="D118" t="s" s="18">
        <v>135</v>
      </c>
      <c r="E118" s="39"/>
      <c r="F118" s="40"/>
      <c r="G118" s="41">
        <v>685.4299999999999</v>
      </c>
      <c r="H118" s="42" cm="1">
        <f t="array" ref="H118">G118/I118</f>
        <v>38.0794444444444</v>
      </c>
      <c r="I118" s="43">
        <v>18</v>
      </c>
      <c r="J118" s="44"/>
      <c r="K118" s="40"/>
      <c r="L118" s="35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ht="12.75" customHeight="1">
      <c r="A119" s="45">
        <v>42950</v>
      </c>
      <c r="B119" s="63">
        <v>432</v>
      </c>
      <c r="C119" t="s" s="54">
        <v>81</v>
      </c>
      <c r="D119" t="s" s="48">
        <v>136</v>
      </c>
      <c r="E119" s="49"/>
      <c r="F119" s="50"/>
      <c r="G119" s="51">
        <v>233036.46</v>
      </c>
      <c r="H119" s="52">
        <v>12600</v>
      </c>
      <c r="I119" s="53" cm="1">
        <f t="array" ref="I119">G119/H119</f>
        <v>18.4949571428571</v>
      </c>
      <c r="J119" s="44"/>
      <c r="K119" s="40"/>
      <c r="L119" s="35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ht="12.75" customHeight="1">
      <c r="A120" s="36">
        <v>42955</v>
      </c>
      <c r="B120" s="37"/>
      <c r="C120" t="s" s="55">
        <v>79</v>
      </c>
      <c r="D120" t="s" s="18">
        <v>137</v>
      </c>
      <c r="E120" s="39"/>
      <c r="F120" s="40"/>
      <c r="G120" s="41">
        <v>584.65</v>
      </c>
      <c r="H120" s="42" cm="1">
        <f t="array" ref="H120">G120/I120</f>
        <v>31.7744565217391</v>
      </c>
      <c r="I120" s="43">
        <v>18.4</v>
      </c>
      <c r="J120" s="44"/>
      <c r="K120" s="40"/>
      <c r="L120" s="35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ht="12.75" customHeight="1">
      <c r="A121" s="45">
        <v>42969</v>
      </c>
      <c r="B121" s="46"/>
      <c r="C121" t="s" s="54">
        <v>14</v>
      </c>
      <c r="D121" t="s" s="48">
        <v>138</v>
      </c>
      <c r="E121" s="49"/>
      <c r="F121" s="50"/>
      <c r="G121" s="51">
        <v>685.4299999999999</v>
      </c>
      <c r="H121" s="52" cm="1">
        <f t="array" ref="H121">G121/I121</f>
        <v>37.2516304347826</v>
      </c>
      <c r="I121" s="53">
        <v>18.4</v>
      </c>
      <c r="J121" s="44"/>
      <c r="K121" s="40"/>
      <c r="L121" s="35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ht="12.75" customHeight="1">
      <c r="A122" s="36">
        <v>42977</v>
      </c>
      <c r="B122" s="61"/>
      <c r="C122" t="s" s="64">
        <v>88</v>
      </c>
      <c r="D122" t="s" s="18">
        <v>139</v>
      </c>
      <c r="E122" s="39"/>
      <c r="F122" s="40"/>
      <c r="G122" s="41">
        <v>33336.84</v>
      </c>
      <c r="H122" s="42">
        <v>1840</v>
      </c>
      <c r="I122" s="43" cm="1">
        <f t="array" ref="I122">G122/H122</f>
        <v>18.117847826087</v>
      </c>
      <c r="J122" s="44"/>
      <c r="K122" s="40"/>
      <c r="L122" s="35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ht="12.75" customHeight="1">
      <c r="A123" s="45">
        <v>42985</v>
      </c>
      <c r="B123" s="46"/>
      <c r="C123" t="s" s="54">
        <v>133</v>
      </c>
      <c r="D123" t="s" s="48">
        <v>140</v>
      </c>
      <c r="E123" s="49"/>
      <c r="F123" s="50"/>
      <c r="G123" s="51">
        <v>13276.96</v>
      </c>
      <c r="H123" s="52">
        <v>920</v>
      </c>
      <c r="I123" s="53">
        <v>14.43</v>
      </c>
      <c r="J123" s="44"/>
      <c r="K123" s="40"/>
      <c r="L123" s="35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ht="12.75" customHeight="1">
      <c r="A124" s="36">
        <v>42986</v>
      </c>
      <c r="B124" s="37"/>
      <c r="C124" t="s" s="55">
        <v>79</v>
      </c>
      <c r="D124" t="s" s="18">
        <v>141</v>
      </c>
      <c r="E124" s="39"/>
      <c r="F124" s="40"/>
      <c r="G124" s="41">
        <v>584.65</v>
      </c>
      <c r="H124" s="42" cm="1">
        <f t="array" ref="H124">G124/I124</f>
        <v>32.6620111731844</v>
      </c>
      <c r="I124" s="43">
        <v>17.9</v>
      </c>
      <c r="J124" s="44"/>
      <c r="K124" s="40"/>
      <c r="L124" s="35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ht="12.75" customHeight="1">
      <c r="A125" s="45">
        <v>42990</v>
      </c>
      <c r="B125" s="63">
        <v>438</v>
      </c>
      <c r="C125" t="s" s="54">
        <v>81</v>
      </c>
      <c r="D125" t="s" s="48">
        <v>142</v>
      </c>
      <c r="E125" s="49"/>
      <c r="F125" s="50"/>
      <c r="G125" s="51">
        <v>233036.46</v>
      </c>
      <c r="H125" s="52">
        <v>12900</v>
      </c>
      <c r="I125" s="53" cm="1">
        <f t="array" ref="I125">G125/H125</f>
        <v>18.0648418604651</v>
      </c>
      <c r="J125" s="44"/>
      <c r="K125" s="40"/>
      <c r="L125" s="35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ht="12.75" customHeight="1">
      <c r="A126" s="36">
        <v>43000</v>
      </c>
      <c r="B126" s="37"/>
      <c r="C126" t="s" s="55">
        <v>14</v>
      </c>
      <c r="D126" t="s" s="18">
        <v>143</v>
      </c>
      <c r="E126" s="39"/>
      <c r="F126" s="40"/>
      <c r="G126" s="41">
        <v>686.36</v>
      </c>
      <c r="H126" s="42" cm="1">
        <f t="array" ref="H126">G126/I126</f>
        <v>38.1311111111111</v>
      </c>
      <c r="I126" s="43">
        <v>18</v>
      </c>
      <c r="J126" s="44"/>
      <c r="K126" s="40"/>
      <c r="L126" s="35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ht="12.75" customHeight="1">
      <c r="A127" s="45">
        <v>43017</v>
      </c>
      <c r="B127" s="63">
        <v>3268</v>
      </c>
      <c r="C127" t="s" s="54">
        <v>102</v>
      </c>
      <c r="D127" t="s" s="48">
        <v>144</v>
      </c>
      <c r="E127" s="49"/>
      <c r="F127" s="50"/>
      <c r="G127" s="51">
        <v>18230.65</v>
      </c>
      <c r="H127" s="52">
        <v>1000</v>
      </c>
      <c r="I127" s="53" cm="1">
        <f t="array" ref="I127">G127/H127</f>
        <v>18.23065</v>
      </c>
      <c r="J127" s="44"/>
      <c r="K127" s="40"/>
      <c r="L127" s="35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ht="12.75" customHeight="1">
      <c r="A128" s="36">
        <v>43018</v>
      </c>
      <c r="B128" s="37"/>
      <c r="C128" t="s" s="55">
        <v>79</v>
      </c>
      <c r="D128" t="s" s="18">
        <v>145</v>
      </c>
      <c r="E128" s="39"/>
      <c r="F128" s="40"/>
      <c r="G128" s="41">
        <v>779.5700000000001</v>
      </c>
      <c r="H128" s="42" cm="1">
        <f t="array" ref="H128">G128/I128</f>
        <v>43.5513966480447</v>
      </c>
      <c r="I128" s="43">
        <v>17.9</v>
      </c>
      <c r="J128" s="44"/>
      <c r="K128" s="40"/>
      <c r="L128" s="35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ht="12.75" customHeight="1">
      <c r="A129" s="45">
        <v>43028</v>
      </c>
      <c r="B129" s="46"/>
      <c r="C129" t="s" s="54">
        <v>133</v>
      </c>
      <c r="D129" t="s" s="48">
        <v>140</v>
      </c>
      <c r="E129" s="49"/>
      <c r="F129" s="50"/>
      <c r="G129" s="51">
        <v>9158.43</v>
      </c>
      <c r="H129" s="52">
        <v>602</v>
      </c>
      <c r="I129" s="53" cm="1">
        <f t="array" ref="I129">G129/H129</f>
        <v>15.2133388704319</v>
      </c>
      <c r="J129" s="44"/>
      <c r="K129" s="40"/>
      <c r="L129" s="35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ht="12.75" customHeight="1">
      <c r="A130" s="36">
        <v>43037</v>
      </c>
      <c r="B130" s="37"/>
      <c r="C130" t="s" s="55">
        <v>133</v>
      </c>
      <c r="D130" t="s" s="18">
        <v>140</v>
      </c>
      <c r="E130" s="39"/>
      <c r="F130" s="40"/>
      <c r="G130" s="41">
        <v>13130</v>
      </c>
      <c r="H130" s="42">
        <v>744</v>
      </c>
      <c r="I130" s="43">
        <v>17.65</v>
      </c>
      <c r="J130" s="44"/>
      <c r="K130" s="40"/>
      <c r="L130" s="35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ht="12.75" customHeight="1">
      <c r="A131" s="45">
        <v>43031</v>
      </c>
      <c r="B131" s="46"/>
      <c r="C131" t="s" s="54">
        <v>14</v>
      </c>
      <c r="D131" t="s" s="48">
        <v>146</v>
      </c>
      <c r="E131" s="49"/>
      <c r="F131" s="50"/>
      <c r="G131" s="51">
        <v>686.36</v>
      </c>
      <c r="H131" s="52" cm="1">
        <f t="array" ref="H131">G131/I131</f>
        <v>38.1311111111111</v>
      </c>
      <c r="I131" s="53">
        <v>18</v>
      </c>
      <c r="J131" s="44"/>
      <c r="K131" s="40"/>
      <c r="L131" s="35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ht="12.75" customHeight="1">
      <c r="A132" s="36">
        <v>43049</v>
      </c>
      <c r="B132" s="37"/>
      <c r="C132" t="s" s="55">
        <v>79</v>
      </c>
      <c r="D132" t="s" s="18">
        <v>140</v>
      </c>
      <c r="E132" s="39"/>
      <c r="F132" s="40"/>
      <c r="G132" s="41">
        <v>787.14</v>
      </c>
      <c r="H132" s="42" cm="1">
        <f t="array" ref="H132">G132/I132</f>
        <v>43.73</v>
      </c>
      <c r="I132" s="43">
        <v>18</v>
      </c>
      <c r="J132" s="44"/>
      <c r="K132" s="40"/>
      <c r="L132" s="35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ht="12.75" customHeight="1">
      <c r="A133" s="45">
        <v>43055</v>
      </c>
      <c r="B133" s="46"/>
      <c r="C133" t="s" s="54">
        <v>133</v>
      </c>
      <c r="D133" t="s" s="48">
        <v>140</v>
      </c>
      <c r="E133" s="49"/>
      <c r="F133" s="50"/>
      <c r="G133" s="51">
        <v>11724.33</v>
      </c>
      <c r="H133" s="52">
        <v>660</v>
      </c>
      <c r="I133" s="53">
        <v>17.76</v>
      </c>
      <c r="J133" s="44"/>
      <c r="K133" s="40"/>
      <c r="L133" s="35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ht="12.75" customHeight="1">
      <c r="A134" s="36">
        <v>43060</v>
      </c>
      <c r="B134" s="37"/>
      <c r="C134" t="s" s="55">
        <v>14</v>
      </c>
      <c r="D134" t="s" s="18">
        <v>147</v>
      </c>
      <c r="E134" s="39"/>
      <c r="F134" s="40"/>
      <c r="G134" s="41">
        <v>686.36</v>
      </c>
      <c r="H134" s="42" cm="1">
        <f t="array" ref="H134">G134/I134</f>
        <v>37.9204419889503</v>
      </c>
      <c r="I134" s="43">
        <v>18.1</v>
      </c>
      <c r="J134" s="44"/>
      <c r="K134" s="40"/>
      <c r="L134" s="35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ht="12.75" customHeight="1">
      <c r="A135" s="45">
        <v>43060</v>
      </c>
      <c r="B135" s="63">
        <v>3625</v>
      </c>
      <c r="C135" t="s" s="54">
        <v>102</v>
      </c>
      <c r="D135" t="s" s="48">
        <v>140</v>
      </c>
      <c r="E135" s="49"/>
      <c r="F135" s="50"/>
      <c r="G135" s="51">
        <v>11103.4</v>
      </c>
      <c r="H135" s="52">
        <v>625</v>
      </c>
      <c r="I135" s="53" cm="1">
        <f t="array" ref="I135">G135/H135</f>
        <v>17.76544</v>
      </c>
      <c r="J135" s="44"/>
      <c r="K135" s="40"/>
      <c r="L135" s="35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ht="12.75" customHeight="1">
      <c r="A136" s="36">
        <v>43060</v>
      </c>
      <c r="B136" s="60">
        <v>458</v>
      </c>
      <c r="C136" t="s" s="55">
        <v>81</v>
      </c>
      <c r="D136" t="s" s="18">
        <v>148</v>
      </c>
      <c r="E136" s="39"/>
      <c r="F136" s="40"/>
      <c r="G136" s="41">
        <v>363450</v>
      </c>
      <c r="H136" s="42">
        <v>20600</v>
      </c>
      <c r="I136" s="43" cm="1">
        <f t="array" ref="I136">G136/H136</f>
        <v>17.6432038834951</v>
      </c>
      <c r="J136" s="44"/>
      <c r="K136" s="40"/>
      <c r="L136" s="35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ht="12.75" customHeight="1">
      <c r="A137" s="45">
        <v>43062</v>
      </c>
      <c r="B137" s="46"/>
      <c r="C137" t="s" s="54">
        <v>149</v>
      </c>
      <c r="D137" t="s" s="48">
        <v>150</v>
      </c>
      <c r="E137" s="49"/>
      <c r="F137" s="50"/>
      <c r="G137" s="51">
        <v>3756.76</v>
      </c>
      <c r="H137" s="52">
        <v>211.41</v>
      </c>
      <c r="I137" s="53">
        <v>17.77</v>
      </c>
      <c r="J137" s="44"/>
      <c r="K137" s="40"/>
      <c r="L137" s="35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ht="12.75" customHeight="1">
      <c r="A138" s="36">
        <v>43070</v>
      </c>
      <c r="B138" s="60">
        <v>55485</v>
      </c>
      <c r="C138" t="s" s="55">
        <v>133</v>
      </c>
      <c r="D138" t="s" s="18">
        <v>140</v>
      </c>
      <c r="E138" s="39"/>
      <c r="F138" s="40"/>
      <c r="G138" s="41">
        <v>22078</v>
      </c>
      <c r="H138" s="42">
        <v>1300</v>
      </c>
      <c r="I138" s="43" cm="1">
        <f t="array" ref="I138">G138/H138</f>
        <v>16.9830769230769</v>
      </c>
      <c r="J138" s="44"/>
      <c r="K138" s="40"/>
      <c r="L138" s="35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ht="12.75" customHeight="1">
      <c r="A139" s="45">
        <v>43075</v>
      </c>
      <c r="B139" s="63">
        <v>465</v>
      </c>
      <c r="C139" t="s" s="54">
        <v>81</v>
      </c>
      <c r="D139" t="s" s="48">
        <v>151</v>
      </c>
      <c r="E139" s="49"/>
      <c r="F139" s="50"/>
      <c r="G139" s="51">
        <v>605750</v>
      </c>
      <c r="H139" s="52">
        <v>34126</v>
      </c>
      <c r="I139" s="53" cm="1">
        <f t="array" ref="I139">G139/H139</f>
        <v>17.7503955928031</v>
      </c>
      <c r="J139" s="44"/>
      <c r="K139" s="40"/>
      <c r="L139" s="35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ht="12.75" customHeight="1">
      <c r="A140" s="65">
        <v>43075</v>
      </c>
      <c r="B140" s="66">
        <v>688</v>
      </c>
      <c r="C140" t="s" s="67">
        <v>152</v>
      </c>
      <c r="D140" t="s" s="68">
        <v>153</v>
      </c>
      <c r="E140" s="69"/>
      <c r="F140" s="70"/>
      <c r="G140" s="71">
        <v>24200</v>
      </c>
      <c r="H140" s="72">
        <v>1335</v>
      </c>
      <c r="I140" s="73">
        <v>18.74</v>
      </c>
      <c r="J140" t="s" s="74">
        <v>154</v>
      </c>
      <c r="K140" s="75"/>
      <c r="L140" s="7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ht="12.75" customHeight="1">
      <c r="A141" s="36">
        <v>43082</v>
      </c>
      <c r="B141" s="37"/>
      <c r="C141" t="s" s="55">
        <v>133</v>
      </c>
      <c r="D141" t="s" s="18">
        <v>140</v>
      </c>
      <c r="E141" s="39"/>
      <c r="F141" s="40"/>
      <c r="G141" s="41">
        <v>8680</v>
      </c>
      <c r="H141" s="42">
        <v>500</v>
      </c>
      <c r="I141" s="43">
        <v>17.36</v>
      </c>
      <c r="J141" s="44"/>
      <c r="K141" s="40"/>
      <c r="L141" s="35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ht="12.75" customHeight="1">
      <c r="A142" s="45">
        <v>43082</v>
      </c>
      <c r="B142" s="46"/>
      <c r="C142" t="s" s="54">
        <v>133</v>
      </c>
      <c r="D142" t="s" s="48">
        <v>140</v>
      </c>
      <c r="E142" s="49"/>
      <c r="F142" s="50"/>
      <c r="G142" s="51">
        <v>1224</v>
      </c>
      <c r="H142" s="52">
        <v>90</v>
      </c>
      <c r="I142" s="53" cm="1">
        <f t="array" ref="I142">I141</f>
        <v>17.36</v>
      </c>
      <c r="J142" s="44"/>
      <c r="K142" s="40"/>
      <c r="L142" s="35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ht="12.75" customHeight="1">
      <c r="A143" s="36">
        <v>43082</v>
      </c>
      <c r="B143" s="37"/>
      <c r="C143" t="s" s="55">
        <v>79</v>
      </c>
      <c r="D143" t="s" s="18">
        <v>155</v>
      </c>
      <c r="E143" s="39"/>
      <c r="F143" s="40"/>
      <c r="G143" s="41">
        <v>906.89</v>
      </c>
      <c r="H143" s="42" cm="1">
        <f t="array" ref="H143">G143/I143</f>
        <v>50.3827777777778</v>
      </c>
      <c r="I143" s="43">
        <v>18</v>
      </c>
      <c r="J143" s="44"/>
      <c r="K143" s="40"/>
      <c r="L143" s="35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ht="12.75" customHeight="1">
      <c r="A144" s="65">
        <v>43088</v>
      </c>
      <c r="B144" s="77">
        <v>157</v>
      </c>
      <c r="C144" t="s" s="78">
        <v>45</v>
      </c>
      <c r="D144" t="s" s="68">
        <v>156</v>
      </c>
      <c r="E144" s="69"/>
      <c r="F144" s="70"/>
      <c r="G144" s="71">
        <v>100000</v>
      </c>
      <c r="H144" s="72">
        <v>5000</v>
      </c>
      <c r="I144" s="73">
        <v>20</v>
      </c>
      <c r="J144" t="s" s="74">
        <v>157</v>
      </c>
      <c r="K144" s="75"/>
      <c r="L144" s="7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ht="12.75" customHeight="1">
      <c r="A145" s="45">
        <v>43089</v>
      </c>
      <c r="B145" s="46"/>
      <c r="C145" s="47"/>
      <c r="D145" t="s" s="48">
        <v>158</v>
      </c>
      <c r="E145" s="49"/>
      <c r="F145" s="50"/>
      <c r="G145" s="51">
        <v>52.01</v>
      </c>
      <c r="H145" s="52" cm="1">
        <f t="array" ref="H145">G145/I145</f>
        <v>2.88944444444444</v>
      </c>
      <c r="I145" s="53">
        <v>18</v>
      </c>
      <c r="J145" s="44"/>
      <c r="K145" s="40"/>
      <c r="L145" s="35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ht="12.75" customHeight="1">
      <c r="A146" s="36">
        <v>43089</v>
      </c>
      <c r="B146" s="60">
        <v>3948</v>
      </c>
      <c r="C146" t="s" s="55">
        <v>102</v>
      </c>
      <c r="D146" t="s" s="18">
        <v>103</v>
      </c>
      <c r="E146" s="39"/>
      <c r="F146" s="40"/>
      <c r="G146" s="41">
        <v>21007.41</v>
      </c>
      <c r="H146" s="42">
        <v>1105</v>
      </c>
      <c r="I146" s="43" cm="1">
        <f t="array" ref="I146">G146/H146</f>
        <v>19.0112307692308</v>
      </c>
      <c r="J146" s="44"/>
      <c r="K146" s="40"/>
      <c r="L146" s="35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ht="12.75" customHeight="1">
      <c r="A147" s="45">
        <v>43090</v>
      </c>
      <c r="B147" s="46"/>
      <c r="C147" t="s" s="54">
        <v>14</v>
      </c>
      <c r="D147" t="s" s="48">
        <v>159</v>
      </c>
      <c r="E147" s="49"/>
      <c r="F147" s="50"/>
      <c r="G147" s="51">
        <v>686.36</v>
      </c>
      <c r="H147" s="52" cm="1">
        <f t="array" ref="H147">G147/I147</f>
        <v>38.1311111111111</v>
      </c>
      <c r="I147" s="53" cm="1">
        <f t="array" ref="I147">I145</f>
        <v>18</v>
      </c>
      <c r="J147" s="44"/>
      <c r="K147" s="40"/>
      <c r="L147" s="35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ht="12.75" customHeight="1">
      <c r="A148" s="36">
        <v>43092</v>
      </c>
      <c r="B148" s="37"/>
      <c r="C148" t="s" s="55">
        <v>133</v>
      </c>
      <c r="D148" t="s" s="18">
        <v>140</v>
      </c>
      <c r="E148" s="39"/>
      <c r="F148" s="40"/>
      <c r="G148" s="41">
        <v>3243.05</v>
      </c>
      <c r="H148" s="42">
        <v>175.3</v>
      </c>
      <c r="I148" s="43">
        <v>18.5</v>
      </c>
      <c r="J148" s="44"/>
      <c r="K148" s="40"/>
      <c r="L148" s="35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ht="12.75" customHeight="1">
      <c r="A149" s="45">
        <v>43096</v>
      </c>
      <c r="B149" s="46"/>
      <c r="C149" t="s" s="54">
        <v>133</v>
      </c>
      <c r="D149" t="s" s="48">
        <v>160</v>
      </c>
      <c r="E149" s="49"/>
      <c r="F149" s="50"/>
      <c r="G149" s="51">
        <v>1880.83</v>
      </c>
      <c r="H149" s="52">
        <v>98.98999999999999</v>
      </c>
      <c r="I149" s="53">
        <v>19</v>
      </c>
      <c r="J149" s="44"/>
      <c r="K149" s="40"/>
      <c r="L149" s="35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ht="12.75" customHeight="1">
      <c r="A150" s="36">
        <v>43112</v>
      </c>
      <c r="B150" s="37"/>
      <c r="C150" t="s" s="55">
        <v>79</v>
      </c>
      <c r="D150" t="s" s="18">
        <v>161</v>
      </c>
      <c r="E150" s="39"/>
      <c r="F150" s="40"/>
      <c r="G150" s="41">
        <v>795.09</v>
      </c>
      <c r="H150" s="42" cm="1">
        <f t="array" ref="H150">G150/I150</f>
        <v>40.5658163265306</v>
      </c>
      <c r="I150" s="43">
        <v>19.6</v>
      </c>
      <c r="J150" s="44"/>
      <c r="K150" s="40"/>
      <c r="L150" s="35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ht="12.75" customHeight="1">
      <c r="A151" s="45">
        <v>43113</v>
      </c>
      <c r="B151" s="63">
        <v>610</v>
      </c>
      <c r="C151" t="s" s="54">
        <v>162</v>
      </c>
      <c r="D151" t="s" s="48">
        <v>140</v>
      </c>
      <c r="E151" s="49"/>
      <c r="F151" s="50"/>
      <c r="G151" s="51">
        <v>11322.01</v>
      </c>
      <c r="H151" s="52" cm="1">
        <f t="array" ref="H151">G151/I151</f>
        <v>571.818686868687</v>
      </c>
      <c r="I151" s="53">
        <v>19.8</v>
      </c>
      <c r="J151" s="44"/>
      <c r="K151" s="40"/>
      <c r="L151" s="35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ht="12.75" customHeight="1">
      <c r="A152" s="36">
        <v>43119</v>
      </c>
      <c r="B152" s="60">
        <v>7765</v>
      </c>
      <c r="C152" t="s" s="55">
        <v>149</v>
      </c>
      <c r="D152" t="s" s="18">
        <v>163</v>
      </c>
      <c r="E152" s="39"/>
      <c r="F152" s="40"/>
      <c r="G152" s="41">
        <v>20397.96</v>
      </c>
      <c r="H152" s="42">
        <v>1046</v>
      </c>
      <c r="I152" s="43" cm="1">
        <f t="array" ref="I152">G152/H152</f>
        <v>19.5009177820268</v>
      </c>
      <c r="J152" s="44"/>
      <c r="K152" s="40"/>
      <c r="L152" s="35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ht="12.75" customHeight="1">
      <c r="A153" s="45">
        <v>43120</v>
      </c>
      <c r="B153" s="63">
        <v>471</v>
      </c>
      <c r="C153" t="s" s="54">
        <v>81</v>
      </c>
      <c r="D153" t="s" s="48">
        <v>148</v>
      </c>
      <c r="E153" s="49"/>
      <c r="F153" s="50"/>
      <c r="G153" s="51">
        <v>848050</v>
      </c>
      <c r="H153" s="52">
        <v>43700</v>
      </c>
      <c r="I153" s="53" cm="1">
        <f t="array" ref="I153">G153/H153</f>
        <v>19.4061784897025</v>
      </c>
      <c r="J153" s="44"/>
      <c r="K153" s="40"/>
      <c r="L153" s="35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ht="12.75" customHeight="1">
      <c r="A154" s="36">
        <v>43123</v>
      </c>
      <c r="B154" s="37"/>
      <c r="C154" t="s" s="55">
        <v>14</v>
      </c>
      <c r="D154" t="s" s="18">
        <v>164</v>
      </c>
      <c r="E154" s="39"/>
      <c r="F154" s="40"/>
      <c r="G154" s="41">
        <v>686.36</v>
      </c>
      <c r="H154" s="42" cm="1">
        <f t="array" ref="H154">G154/I154</f>
        <v>34.4904522613065</v>
      </c>
      <c r="I154" s="43">
        <v>19.9</v>
      </c>
      <c r="J154" s="44"/>
      <c r="K154" s="40"/>
      <c r="L154" s="35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ht="12.75" customHeight="1">
      <c r="A155" s="45">
        <v>43123</v>
      </c>
      <c r="B155" s="63">
        <v>5785</v>
      </c>
      <c r="C155" t="s" s="54">
        <v>165</v>
      </c>
      <c r="D155" t="s" s="48">
        <v>166</v>
      </c>
      <c r="E155" s="49"/>
      <c r="F155" s="50"/>
      <c r="G155" s="51">
        <v>21450</v>
      </c>
      <c r="H155" s="52">
        <v>1100</v>
      </c>
      <c r="I155" s="53" cm="1">
        <f t="array" ref="I155">G155/H155</f>
        <v>19.5</v>
      </c>
      <c r="J155" s="44"/>
      <c r="K155" s="40"/>
      <c r="L155" s="35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ht="12.75" customHeight="1">
      <c r="A156" s="36">
        <v>43125</v>
      </c>
      <c r="B156" t="s" s="17">
        <v>167</v>
      </c>
      <c r="C156" t="s" s="55">
        <v>133</v>
      </c>
      <c r="D156" t="s" s="18">
        <v>140</v>
      </c>
      <c r="E156" s="39"/>
      <c r="F156" s="40"/>
      <c r="G156" s="41">
        <v>5545.08</v>
      </c>
      <c r="H156" s="42" cm="1">
        <f t="array" ref="H156">G156/I156</f>
        <v>277.254</v>
      </c>
      <c r="I156" s="43">
        <v>20</v>
      </c>
      <c r="J156" s="44"/>
      <c r="K156" s="40"/>
      <c r="L156" s="35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ht="12.75" customHeight="1">
      <c r="A157" s="45">
        <v>43130</v>
      </c>
      <c r="B157" s="63">
        <v>68855</v>
      </c>
      <c r="C157" t="s" s="55">
        <v>168</v>
      </c>
      <c r="D157" t="s" s="48">
        <v>169</v>
      </c>
      <c r="E157" s="49"/>
      <c r="F157" s="50"/>
      <c r="G157" s="51">
        <v>1160</v>
      </c>
      <c r="H157" s="52" cm="1">
        <f t="array" ref="H157">G157/I157</f>
        <v>58</v>
      </c>
      <c r="I157" s="53" cm="1">
        <f t="array" ref="I157">I156</f>
        <v>20</v>
      </c>
      <c r="J157" s="44"/>
      <c r="K157" s="40"/>
      <c r="L157" s="35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ht="12.75" customHeight="1">
      <c r="A158" s="36">
        <v>43138</v>
      </c>
      <c r="B158" s="37"/>
      <c r="C158" t="s" s="55">
        <v>12</v>
      </c>
      <c r="D158" t="s" s="58">
        <v>170</v>
      </c>
      <c r="E158" s="59"/>
      <c r="F158" s="40"/>
      <c r="G158" s="41">
        <v>89597.7</v>
      </c>
      <c r="H158" s="42" cm="1">
        <f t="array" ref="H158">G158/I158</f>
        <v>4502.396984924620</v>
      </c>
      <c r="I158" s="43">
        <v>19.9</v>
      </c>
      <c r="J158" s="44"/>
      <c r="K158" s="40"/>
      <c r="L158" s="35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ht="12.75" customHeight="1">
      <c r="A159" s="45">
        <v>43138</v>
      </c>
      <c r="B159" s="46"/>
      <c r="C159" t="s" s="54">
        <v>79</v>
      </c>
      <c r="D159" t="s" s="48">
        <v>171</v>
      </c>
      <c r="E159" s="49"/>
      <c r="F159" s="50"/>
      <c r="G159" s="51">
        <v>1031.36</v>
      </c>
      <c r="H159" s="52" cm="1">
        <f t="array" ref="H159">G159/I159</f>
        <v>51.827135678392</v>
      </c>
      <c r="I159" s="53">
        <v>19.9</v>
      </c>
      <c r="J159" s="44"/>
      <c r="K159" s="40"/>
      <c r="L159" s="35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ht="12.75" customHeight="1">
      <c r="A160" s="36">
        <v>43149</v>
      </c>
      <c r="B160" s="60">
        <v>105</v>
      </c>
      <c r="C160" t="s" s="55">
        <v>165</v>
      </c>
      <c r="D160" t="s" s="18">
        <v>172</v>
      </c>
      <c r="E160" s="39"/>
      <c r="F160" s="40"/>
      <c r="G160" s="41">
        <v>38000</v>
      </c>
      <c r="H160" s="42">
        <v>1800</v>
      </c>
      <c r="I160" s="43" cm="1">
        <f t="array" ref="I160">G160/H160</f>
        <v>21.1111111111111</v>
      </c>
      <c r="J160" s="44"/>
      <c r="K160" s="40"/>
      <c r="L160" s="35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ht="12.75" customHeight="1">
      <c r="A161" s="45">
        <v>43150</v>
      </c>
      <c r="B161" s="63">
        <v>478</v>
      </c>
      <c r="C161" t="s" s="54">
        <v>81</v>
      </c>
      <c r="D161" t="s" s="48">
        <v>148</v>
      </c>
      <c r="E161" s="49"/>
      <c r="F161" s="50"/>
      <c r="G161" s="51">
        <v>605750</v>
      </c>
      <c r="H161" s="52">
        <v>29850</v>
      </c>
      <c r="I161" s="53" cm="1">
        <f t="array" ref="I161">G161/H161</f>
        <v>20.2931323283082</v>
      </c>
      <c r="J161" s="44"/>
      <c r="K161" s="40"/>
      <c r="L161" s="35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ht="12.75" customHeight="1">
      <c r="A162" s="36">
        <v>43167</v>
      </c>
      <c r="B162" s="37"/>
      <c r="C162" t="s" s="55">
        <v>79</v>
      </c>
      <c r="D162" t="s" s="18">
        <v>173</v>
      </c>
      <c r="E162" s="39"/>
      <c r="F162" s="40"/>
      <c r="G162" s="41">
        <v>1034.95</v>
      </c>
      <c r="H162" s="42" cm="1">
        <f t="array" ref="H162">G162/I162</f>
        <v>49.9975845410628</v>
      </c>
      <c r="I162" s="43">
        <v>20.7</v>
      </c>
      <c r="J162" s="44"/>
      <c r="K162" s="40"/>
      <c r="L162" s="35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ht="12.75" customHeight="1">
      <c r="A163" s="45">
        <v>43167</v>
      </c>
      <c r="B163" s="46"/>
      <c r="C163" t="s" s="54">
        <v>14</v>
      </c>
      <c r="D163" t="s" s="48">
        <v>174</v>
      </c>
      <c r="E163" s="49"/>
      <c r="F163" s="50"/>
      <c r="G163" s="51">
        <v>687.7</v>
      </c>
      <c r="H163" s="52" cm="1">
        <f t="array" ref="H163">G163/I163</f>
        <v>33.2222222222222</v>
      </c>
      <c r="I163" s="53" cm="1">
        <f t="array" ref="I163">I162</f>
        <v>20.7</v>
      </c>
      <c r="J163" s="44"/>
      <c r="K163" s="40"/>
      <c r="L163" s="35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ht="12.75" customHeight="1">
      <c r="A164" s="36">
        <v>43173</v>
      </c>
      <c r="B164" s="60">
        <v>69770</v>
      </c>
      <c r="C164" t="s" s="55">
        <v>47</v>
      </c>
      <c r="D164" t="s" s="18">
        <v>67</v>
      </c>
      <c r="E164" s="39"/>
      <c r="F164" s="40"/>
      <c r="G164" s="41">
        <v>666325</v>
      </c>
      <c r="H164" s="42">
        <v>32503</v>
      </c>
      <c r="I164" s="43" cm="1">
        <f t="array" ref="I164">G164/H164</f>
        <v>20.5004153462757</v>
      </c>
      <c r="J164" s="44"/>
      <c r="K164" s="40"/>
      <c r="L164" s="35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ht="12.75" customHeight="1">
      <c r="A165" s="45">
        <v>43182</v>
      </c>
      <c r="B165" s="46"/>
      <c r="C165" t="s" s="54">
        <v>14</v>
      </c>
      <c r="D165" t="s" s="48">
        <v>175</v>
      </c>
      <c r="E165" s="49"/>
      <c r="F165" s="50"/>
      <c r="G165" s="51">
        <v>1630.97</v>
      </c>
      <c r="H165" s="52" cm="1">
        <f t="array" ref="H165">G165/I165</f>
        <v>77.6652380952381</v>
      </c>
      <c r="I165" s="53">
        <v>21</v>
      </c>
      <c r="J165" s="44"/>
      <c r="K165" s="40"/>
      <c r="L165" s="35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ht="12.75" customHeight="1">
      <c r="A166" s="36">
        <v>43182</v>
      </c>
      <c r="B166" s="60">
        <v>9518</v>
      </c>
      <c r="C166" t="s" s="55">
        <v>176</v>
      </c>
      <c r="D166" t="s" s="18">
        <v>177</v>
      </c>
      <c r="E166" s="39"/>
      <c r="F166" s="40"/>
      <c r="G166" s="41">
        <v>2581</v>
      </c>
      <c r="H166" s="42">
        <v>125</v>
      </c>
      <c r="I166" s="43" cm="1">
        <f t="array" ref="I166">G166/H166</f>
        <v>20.648</v>
      </c>
      <c r="J166" s="44"/>
      <c r="K166" s="40"/>
      <c r="L166" s="35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ht="12.75" customHeight="1">
      <c r="A167" s="45">
        <v>43185</v>
      </c>
      <c r="B167" s="63">
        <v>4982</v>
      </c>
      <c r="C167" t="s" s="54">
        <v>178</v>
      </c>
      <c r="D167" t="s" s="48">
        <v>179</v>
      </c>
      <c r="E167" s="49"/>
      <c r="F167" s="50"/>
      <c r="G167" s="51">
        <v>1581.95</v>
      </c>
      <c r="H167" s="52" cm="1">
        <f t="array" ref="H167">G167/I167</f>
        <v>77.54656862745099</v>
      </c>
      <c r="I167" s="53">
        <v>20.4</v>
      </c>
      <c r="J167" s="44"/>
      <c r="K167" s="40"/>
      <c r="L167" s="35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ht="12.75" customHeight="1">
      <c r="A168" s="36">
        <v>43187</v>
      </c>
      <c r="B168" s="60">
        <v>4573</v>
      </c>
      <c r="C168" t="s" s="55">
        <v>47</v>
      </c>
      <c r="D168" t="s" s="18">
        <v>180</v>
      </c>
      <c r="E168" s="39"/>
      <c r="F168" s="40"/>
      <c r="G168" s="41">
        <v>19374.43</v>
      </c>
      <c r="H168" s="42">
        <v>946</v>
      </c>
      <c r="I168" s="43" cm="1">
        <f t="array" ref="I168">G168/H168</f>
        <v>20.4803699788584</v>
      </c>
      <c r="J168" s="44"/>
      <c r="K168" s="40"/>
      <c r="L168" s="35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ht="12.75" customHeight="1">
      <c r="A169" s="45">
        <v>43196</v>
      </c>
      <c r="B169" s="63">
        <v>1918</v>
      </c>
      <c r="C169" t="s" s="54">
        <v>133</v>
      </c>
      <c r="D169" t="s" s="48">
        <v>181</v>
      </c>
      <c r="E169" s="49"/>
      <c r="F169" s="50"/>
      <c r="G169" s="51">
        <v>2434.02</v>
      </c>
      <c r="H169" s="52">
        <v>118</v>
      </c>
      <c r="I169" s="53" cm="1">
        <f t="array" ref="I169">G169/H169</f>
        <v>20.6272881355932</v>
      </c>
      <c r="J169" s="44"/>
      <c r="K169" s="40"/>
      <c r="L169" s="35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ht="12.75" customHeight="1">
      <c r="A170" s="36">
        <v>43201</v>
      </c>
      <c r="B170" s="37"/>
      <c r="C170" t="s" s="55">
        <v>79</v>
      </c>
      <c r="D170" t="s" s="18">
        <v>182</v>
      </c>
      <c r="E170" s="39"/>
      <c r="F170" s="40"/>
      <c r="G170" s="41">
        <v>1093.89</v>
      </c>
      <c r="H170" s="42" cm="1">
        <f t="array" ref="H170">G170/I170</f>
        <v>52.8449275362319</v>
      </c>
      <c r="I170" s="43">
        <v>20.7</v>
      </c>
      <c r="J170" s="44"/>
      <c r="K170" s="40"/>
      <c r="L170" s="35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ht="12.75" customHeight="1">
      <c r="A171" s="45">
        <v>43213</v>
      </c>
      <c r="B171" s="46"/>
      <c r="C171" t="s" s="54">
        <v>14</v>
      </c>
      <c r="D171" t="s" s="48">
        <v>183</v>
      </c>
      <c r="E171" s="49"/>
      <c r="F171" s="50"/>
      <c r="G171" s="51">
        <v>1588.04</v>
      </c>
      <c r="H171" s="52">
        <v>77.98999999999999</v>
      </c>
      <c r="I171" s="53" cm="1">
        <f t="array" ref="I171">G171/H171</f>
        <v>20.362097704834</v>
      </c>
      <c r="J171" s="44"/>
      <c r="K171" s="40"/>
      <c r="L171" s="35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ht="12.75" customHeight="1">
      <c r="A172" s="36">
        <v>43234</v>
      </c>
      <c r="B172" s="37"/>
      <c r="C172" t="s" s="55">
        <v>79</v>
      </c>
      <c r="D172" t="s" s="18">
        <v>184</v>
      </c>
      <c r="E172" s="39"/>
      <c r="F172" s="40"/>
      <c r="G172" s="41">
        <v>1098.3</v>
      </c>
      <c r="H172" s="42" cm="1">
        <f t="array" ref="H172">G172/I172</f>
        <v>40.9813432835821</v>
      </c>
      <c r="I172" s="43">
        <v>26.8</v>
      </c>
      <c r="J172" s="44"/>
      <c r="K172" s="40"/>
      <c r="L172" s="35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ht="12.75" customHeight="1">
      <c r="A173" s="45">
        <v>43243</v>
      </c>
      <c r="B173" s="46"/>
      <c r="C173" t="s" s="54">
        <v>14</v>
      </c>
      <c r="D173" t="s" s="48">
        <v>185</v>
      </c>
      <c r="E173" s="49"/>
      <c r="F173" s="50"/>
      <c r="G173" s="51">
        <v>1448.49</v>
      </c>
      <c r="H173" s="52">
        <v>57</v>
      </c>
      <c r="I173" s="53" cm="1">
        <f t="array" ref="I173">G173/H173</f>
        <v>25.4121052631579</v>
      </c>
      <c r="J173" s="44"/>
      <c r="K173" s="40"/>
      <c r="L173" s="35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ht="12.75" customHeight="1">
      <c r="A174" s="36">
        <v>43249</v>
      </c>
      <c r="B174" s="37"/>
      <c r="C174" t="s" s="55">
        <v>133</v>
      </c>
      <c r="D174" t="s" s="18">
        <v>140</v>
      </c>
      <c r="E174" s="39"/>
      <c r="F174" s="40"/>
      <c r="G174" s="41">
        <v>7980</v>
      </c>
      <c r="H174" s="42" cm="1">
        <f t="array" ref="H174">G174/I174</f>
        <v>310.505836575875</v>
      </c>
      <c r="I174" s="43">
        <v>25.7</v>
      </c>
      <c r="J174" s="44"/>
      <c r="K174" s="40"/>
      <c r="L174" s="35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ht="12.75" customHeight="1">
      <c r="A175" s="45">
        <v>43256</v>
      </c>
      <c r="B175" s="63">
        <v>3101</v>
      </c>
      <c r="C175" t="s" s="54">
        <v>186</v>
      </c>
      <c r="D175" t="s" s="48">
        <v>187</v>
      </c>
      <c r="E175" s="49"/>
      <c r="F175" s="50"/>
      <c r="G175" s="51">
        <v>1000</v>
      </c>
      <c r="H175" s="52">
        <v>40</v>
      </c>
      <c r="I175" s="53" cm="1">
        <f t="array" ref="I175">G175/H175</f>
        <v>25</v>
      </c>
      <c r="J175" s="44"/>
      <c r="K175" s="40"/>
      <c r="L175" s="35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ht="12.75" customHeight="1">
      <c r="A176" s="36">
        <v>43262</v>
      </c>
      <c r="B176" s="37"/>
      <c r="C176" t="s" s="55">
        <v>79</v>
      </c>
      <c r="D176" t="s" s="18">
        <v>188</v>
      </c>
      <c r="E176" s="39"/>
      <c r="F176" s="40"/>
      <c r="G176" s="41">
        <v>2141.16</v>
      </c>
      <c r="H176" s="42" cm="1">
        <f t="array" ref="H176">G176/I176</f>
        <v>82.67027027027029</v>
      </c>
      <c r="I176" s="43">
        <v>25.9</v>
      </c>
      <c r="J176" s="44"/>
      <c r="K176" s="40"/>
      <c r="L176" s="35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ht="12.75" customHeight="1">
      <c r="A177" s="45">
        <v>43264</v>
      </c>
      <c r="B177" s="63">
        <v>494</v>
      </c>
      <c r="C177" t="s" s="54">
        <v>81</v>
      </c>
      <c r="D177" t="s" s="48">
        <v>189</v>
      </c>
      <c r="E177" s="49"/>
      <c r="F177" s="50"/>
      <c r="G177" s="51">
        <v>181500</v>
      </c>
      <c r="H177" s="52">
        <v>6260</v>
      </c>
      <c r="I177" s="53">
        <v>29</v>
      </c>
      <c r="J177" s="44"/>
      <c r="K177" s="40"/>
      <c r="L177" s="35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ht="12.75" customHeight="1">
      <c r="A178" s="36">
        <v>43273</v>
      </c>
      <c r="B178" s="37"/>
      <c r="C178" t="s" s="55">
        <v>14</v>
      </c>
      <c r="D178" t="s" s="18">
        <v>190</v>
      </c>
      <c r="E178" s="39"/>
      <c r="F178" s="40"/>
      <c r="G178" s="41">
        <v>873.67</v>
      </c>
      <c r="H178" s="42" cm="1">
        <f t="array" ref="H178">G178/I178</f>
        <v>31.2025</v>
      </c>
      <c r="I178" s="43">
        <v>28</v>
      </c>
      <c r="J178" s="44"/>
      <c r="K178" s="40"/>
      <c r="L178" s="35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ht="12.75" customHeight="1">
      <c r="A179" s="45">
        <v>43273</v>
      </c>
      <c r="B179" s="63">
        <v>796</v>
      </c>
      <c r="C179" t="s" s="54">
        <v>191</v>
      </c>
      <c r="D179" t="s" s="48">
        <v>192</v>
      </c>
      <c r="E179" s="49"/>
      <c r="F179" s="50"/>
      <c r="G179" s="51">
        <v>43000</v>
      </c>
      <c r="H179" s="52" cm="1">
        <f t="array" ref="H179">G179/I179</f>
        <v>1535.714285714290</v>
      </c>
      <c r="I179" s="53">
        <v>28</v>
      </c>
      <c r="J179" s="44"/>
      <c r="K179" s="40"/>
      <c r="L179" s="35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ht="12.75" customHeight="1">
      <c r="A180" s="36">
        <v>43273</v>
      </c>
      <c r="B180" s="79">
        <v>4103</v>
      </c>
      <c r="C180" t="s" s="62">
        <v>149</v>
      </c>
      <c r="D180" t="s" s="18">
        <v>193</v>
      </c>
      <c r="E180" s="39"/>
      <c r="F180" s="40"/>
      <c r="G180" s="41">
        <v>464872.5</v>
      </c>
      <c r="H180" s="42">
        <v>17500</v>
      </c>
      <c r="I180" s="43" cm="1">
        <f t="array" ref="I180">I179</f>
        <v>28</v>
      </c>
      <c r="J180" s="44"/>
      <c r="K180" s="40"/>
      <c r="L180" s="35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ht="12.75" customHeight="1">
      <c r="A181" s="45">
        <v>43292</v>
      </c>
      <c r="B181" s="46"/>
      <c r="C181" t="s" s="54">
        <v>79</v>
      </c>
      <c r="D181" t="s" s="48">
        <v>194</v>
      </c>
      <c r="E181" s="49"/>
      <c r="F181" s="50"/>
      <c r="G181" s="51">
        <v>2141.16</v>
      </c>
      <c r="H181" s="52" cm="1">
        <f t="array" ref="H181">G181/I181</f>
        <v>76.47</v>
      </c>
      <c r="I181" s="53" cm="1">
        <f t="array" ref="I181">I180</f>
        <v>28</v>
      </c>
      <c r="J181" s="44"/>
      <c r="K181" s="40"/>
      <c r="L181" s="35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ht="12.75" customHeight="1">
      <c r="A182" s="36">
        <v>43293</v>
      </c>
      <c r="B182" s="37"/>
      <c r="C182" t="s" s="55">
        <v>21</v>
      </c>
      <c r="D182" t="s" s="58">
        <v>195</v>
      </c>
      <c r="E182" s="59"/>
      <c r="F182" s="40"/>
      <c r="G182" s="41">
        <v>35654.26</v>
      </c>
      <c r="H182" s="42" cm="1">
        <f t="array" ref="H182">G182/I182</f>
        <v>1273.366428571430</v>
      </c>
      <c r="I182" s="43">
        <v>28</v>
      </c>
      <c r="J182" s="44"/>
      <c r="K182" s="40"/>
      <c r="L182" s="35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ht="12.75" customHeight="1">
      <c r="A183" s="45">
        <v>43293</v>
      </c>
      <c r="B183" s="46"/>
      <c r="C183" t="s" s="54">
        <v>21</v>
      </c>
      <c r="D183" t="s" s="48">
        <v>196</v>
      </c>
      <c r="E183" s="49"/>
      <c r="F183" s="50"/>
      <c r="G183" s="51">
        <v>6343.66</v>
      </c>
      <c r="H183" s="52" cm="1">
        <f t="array" ref="H183">G183/I183</f>
        <v>226.559285714286</v>
      </c>
      <c r="I183" s="53" cm="1">
        <f t="array" ref="I183">I182</f>
        <v>28</v>
      </c>
      <c r="J183" s="44"/>
      <c r="K183" s="40"/>
      <c r="L183" s="35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ht="12.75" customHeight="1">
      <c r="A184" s="36">
        <v>43293</v>
      </c>
      <c r="B184" s="37"/>
      <c r="C184" t="s" s="55">
        <v>21</v>
      </c>
      <c r="D184" t="s" s="18">
        <v>197</v>
      </c>
      <c r="E184" s="39"/>
      <c r="F184" s="40"/>
      <c r="G184" s="41">
        <v>172.95</v>
      </c>
      <c r="H184" s="42" cm="1">
        <f t="array" ref="H184">G184/I184</f>
        <v>6.17678571428571</v>
      </c>
      <c r="I184" s="43" cm="1">
        <f t="array" ref="I184">I183</f>
        <v>28</v>
      </c>
      <c r="J184" s="44"/>
      <c r="K184" s="40"/>
      <c r="L184" s="35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ht="12.75" customHeight="1">
      <c r="A185" s="45">
        <v>43293</v>
      </c>
      <c r="B185" s="63">
        <v>4135</v>
      </c>
      <c r="C185" t="s" s="54">
        <v>198</v>
      </c>
      <c r="D185" t="s" s="56">
        <v>199</v>
      </c>
      <c r="E185" s="80"/>
      <c r="F185" s="81"/>
      <c r="G185" s="51">
        <v>7032.3</v>
      </c>
      <c r="H185" s="52" cm="1">
        <f t="array" ref="H185">G185/I185</f>
        <v>249.992890152862</v>
      </c>
      <c r="I185" s="53">
        <v>28.13</v>
      </c>
      <c r="J185" s="44"/>
      <c r="K185" s="40"/>
      <c r="L185" s="35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ht="12.75" customHeight="1">
      <c r="A186" s="36">
        <v>43302</v>
      </c>
      <c r="B186" s="60">
        <v>32082</v>
      </c>
      <c r="C186" t="s" s="55">
        <v>200</v>
      </c>
      <c r="D186" t="s" s="58">
        <v>201</v>
      </c>
      <c r="E186" s="82"/>
      <c r="F186" s="83"/>
      <c r="G186" s="41">
        <v>133401.4</v>
      </c>
      <c r="H186" s="42">
        <v>4760</v>
      </c>
      <c r="I186" s="43" cm="1">
        <f t="array" ref="I186">G186/H186</f>
        <v>28.0255042016807</v>
      </c>
      <c r="J186" s="44"/>
      <c r="K186" s="40"/>
      <c r="L186" s="35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ht="12.75" customHeight="1">
      <c r="A187" s="45">
        <v>43303</v>
      </c>
      <c r="B187" t="s" s="84">
        <v>202</v>
      </c>
      <c r="C187" t="s" s="55">
        <v>129</v>
      </c>
      <c r="D187" t="s" s="48">
        <v>203</v>
      </c>
      <c r="E187" s="49"/>
      <c r="F187" s="50"/>
      <c r="G187" s="51">
        <v>1400000</v>
      </c>
      <c r="H187" s="52">
        <v>50000</v>
      </c>
      <c r="I187" s="53" cm="1">
        <f t="array" ref="I187">G187/H187</f>
        <v>28</v>
      </c>
      <c r="J187" s="44"/>
      <c r="K187" s="40"/>
      <c r="L187" s="35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ht="12.75" customHeight="1">
      <c r="A188" s="36">
        <v>43304</v>
      </c>
      <c r="B188" s="37"/>
      <c r="C188" t="s" s="55">
        <v>14</v>
      </c>
      <c r="D188" t="s" s="18">
        <v>204</v>
      </c>
      <c r="E188" s="39"/>
      <c r="F188" s="40"/>
      <c r="G188" s="41">
        <v>1061.06</v>
      </c>
      <c r="H188" s="42" cm="1">
        <f t="array" ref="H188">G188/I188</f>
        <v>38.1676258992806</v>
      </c>
      <c r="I188" s="43">
        <v>27.8</v>
      </c>
      <c r="J188" s="44"/>
      <c r="K188" s="40"/>
      <c r="L188" s="35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ht="12.75" customHeight="1">
      <c r="A189" s="45">
        <v>43322</v>
      </c>
      <c r="B189" s="46"/>
      <c r="C189" t="s" s="54">
        <v>21</v>
      </c>
      <c r="D189" t="s" s="48">
        <v>205</v>
      </c>
      <c r="E189" s="49"/>
      <c r="F189" s="50"/>
      <c r="G189" s="51">
        <v>6343.66</v>
      </c>
      <c r="H189" s="52" cm="1">
        <f t="array" ref="H189">G189/I189</f>
        <v>218.746896551724</v>
      </c>
      <c r="I189" s="53">
        <v>29</v>
      </c>
      <c r="J189" s="44"/>
      <c r="K189" s="40"/>
      <c r="L189" s="35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ht="12.75" customHeight="1">
      <c r="A190" s="36">
        <v>43322</v>
      </c>
      <c r="B190" s="37"/>
      <c r="C190" t="s" s="55">
        <v>21</v>
      </c>
      <c r="D190" t="s" s="18">
        <v>206</v>
      </c>
      <c r="E190" s="39"/>
      <c r="F190" s="40"/>
      <c r="G190" s="41">
        <v>172.95</v>
      </c>
      <c r="H190" s="42">
        <v>6</v>
      </c>
      <c r="I190" s="43" cm="1">
        <f t="array" ref="I190">G190/H190</f>
        <v>28.825</v>
      </c>
      <c r="J190" s="44"/>
      <c r="K190" s="40"/>
      <c r="L190" s="35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ht="12.75" customHeight="1">
      <c r="A191" s="45">
        <v>43326</v>
      </c>
      <c r="B191" s="46"/>
      <c r="C191" t="s" s="54">
        <v>79</v>
      </c>
      <c r="D191" t="s" s="48">
        <v>207</v>
      </c>
      <c r="E191" s="49"/>
      <c r="F191" s="50"/>
      <c r="G191" s="51">
        <v>1930.33</v>
      </c>
      <c r="H191" s="52" cm="1">
        <f t="array" ref="H191">G191/I191</f>
        <v>64.3443333333333</v>
      </c>
      <c r="I191" s="53">
        <v>30</v>
      </c>
      <c r="J191" s="44"/>
      <c r="K191" s="40"/>
      <c r="L191" s="35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ht="12.75" customHeight="1">
      <c r="A192" s="36">
        <v>43326</v>
      </c>
      <c r="B192" s="60">
        <v>62845</v>
      </c>
      <c r="C192" t="s" s="55">
        <v>133</v>
      </c>
      <c r="D192" t="s" s="18">
        <v>208</v>
      </c>
      <c r="E192" s="39"/>
      <c r="F192" s="40"/>
      <c r="G192" s="41">
        <v>3042.27</v>
      </c>
      <c r="H192" s="42">
        <v>101</v>
      </c>
      <c r="I192" s="43" cm="1">
        <f t="array" ref="I192">G192/H192</f>
        <v>30.1214851485149</v>
      </c>
      <c r="J192" s="44"/>
      <c r="K192" s="40"/>
      <c r="L192" s="35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ht="12.75" customHeight="1">
      <c r="A193" s="45">
        <v>43327</v>
      </c>
      <c r="B193" s="63">
        <v>62874</v>
      </c>
      <c r="C193" t="s" s="54">
        <v>133</v>
      </c>
      <c r="D193" t="s" s="48">
        <v>208</v>
      </c>
      <c r="E193" s="49"/>
      <c r="F193" s="50"/>
      <c r="G193" s="51">
        <v>3522.2</v>
      </c>
      <c r="H193" s="52">
        <v>117</v>
      </c>
      <c r="I193" s="53" cm="1">
        <f t="array" ref="I193">G193/H193</f>
        <v>30.1042735042735</v>
      </c>
      <c r="J193" s="44"/>
      <c r="K193" s="40"/>
      <c r="L193" s="35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ht="12.75" customHeight="1">
      <c r="A194" s="36">
        <v>43333</v>
      </c>
      <c r="B194" s="60">
        <v>838</v>
      </c>
      <c r="C194" t="s" s="55">
        <v>133</v>
      </c>
      <c r="D194" t="s" s="18">
        <v>209</v>
      </c>
      <c r="E194" s="39"/>
      <c r="F194" s="40"/>
      <c r="G194" s="41" cm="1">
        <f t="array" ref="G194">14126.78-2825.35</f>
        <v>11301.43</v>
      </c>
      <c r="H194" s="42">
        <v>353</v>
      </c>
      <c r="I194" s="43" cm="1">
        <f t="array" ref="I194">G194/H194</f>
        <v>32.0153824362606</v>
      </c>
      <c r="J194" s="44"/>
      <c r="K194" s="40"/>
      <c r="L194" s="35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ht="12.75" customHeight="1">
      <c r="A195" s="45">
        <v>43335</v>
      </c>
      <c r="B195" s="46"/>
      <c r="C195" t="s" s="54">
        <v>14</v>
      </c>
      <c r="D195" t="s" s="48">
        <v>210</v>
      </c>
      <c r="E195" s="49"/>
      <c r="F195" s="50"/>
      <c r="G195" s="51">
        <v>1061.06</v>
      </c>
      <c r="H195" s="52" cm="1">
        <f t="array" ref="H195">G195/I195</f>
        <v>34.7888524590164</v>
      </c>
      <c r="I195" s="53">
        <v>30.5</v>
      </c>
      <c r="J195" s="44"/>
      <c r="K195" s="40"/>
      <c r="L195" s="35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ht="12.75" customHeight="1">
      <c r="A196" s="36">
        <v>43336</v>
      </c>
      <c r="B196" s="60">
        <v>147</v>
      </c>
      <c r="C196" t="s" s="55">
        <v>165</v>
      </c>
      <c r="D196" t="s" s="18">
        <v>211</v>
      </c>
      <c r="E196" s="39"/>
      <c r="F196" s="40"/>
      <c r="G196" s="41">
        <v>3000</v>
      </c>
      <c r="H196" s="42">
        <v>90</v>
      </c>
      <c r="I196" s="43" cm="1">
        <f t="array" ref="I196">G196/H196</f>
        <v>33.3333333333333</v>
      </c>
      <c r="J196" s="44"/>
      <c r="K196" s="40"/>
      <c r="L196" s="35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ht="12.75" customHeight="1">
      <c r="A197" s="45">
        <v>43339</v>
      </c>
      <c r="B197" s="63">
        <v>2094</v>
      </c>
      <c r="C197" t="s" s="54">
        <v>212</v>
      </c>
      <c r="D197" t="s" s="48">
        <v>213</v>
      </c>
      <c r="E197" s="49"/>
      <c r="F197" s="50"/>
      <c r="G197" s="51">
        <v>3954.9</v>
      </c>
      <c r="H197" s="52" cm="1">
        <f t="array" ref="H197">G197/I197</f>
        <v>121.689230769231</v>
      </c>
      <c r="I197" s="53">
        <v>32.5</v>
      </c>
      <c r="J197" s="44"/>
      <c r="K197" s="40"/>
      <c r="L197" s="35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ht="12.75" customHeight="1">
      <c r="A198" s="36">
        <v>43342</v>
      </c>
      <c r="B198" s="60">
        <v>3230</v>
      </c>
      <c r="C198" t="s" s="55">
        <v>186</v>
      </c>
      <c r="D198" t="s" s="18">
        <v>187</v>
      </c>
      <c r="E198" s="39"/>
      <c r="F198" s="40"/>
      <c r="G198" s="41">
        <v>1000</v>
      </c>
      <c r="H198" s="42" cm="1">
        <f t="array" ref="H198">G198/I198</f>
        <v>31.25</v>
      </c>
      <c r="I198" s="43">
        <v>32</v>
      </c>
      <c r="J198" s="44"/>
      <c r="K198" s="40"/>
      <c r="L198" s="35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ht="12.75" customHeight="1">
      <c r="A199" s="45">
        <v>43343</v>
      </c>
      <c r="B199" s="63">
        <v>11368</v>
      </c>
      <c r="C199" t="s" s="54">
        <v>149</v>
      </c>
      <c r="D199" t="s" s="48">
        <v>214</v>
      </c>
      <c r="E199" s="49"/>
      <c r="F199" s="50"/>
      <c r="G199" s="51">
        <v>9606.879999999999</v>
      </c>
      <c r="H199" s="52">
        <v>246</v>
      </c>
      <c r="I199" s="53" cm="1">
        <f t="array" ref="I199">G199/H199</f>
        <v>39.0523577235772</v>
      </c>
      <c r="J199" s="44"/>
      <c r="K199" s="40"/>
      <c r="L199" s="35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ht="12.75" customHeight="1">
      <c r="A200" s="36">
        <v>43343</v>
      </c>
      <c r="B200" s="79">
        <v>2199</v>
      </c>
      <c r="C200" t="s" s="64">
        <v>129</v>
      </c>
      <c r="D200" t="s" s="18">
        <v>215</v>
      </c>
      <c r="E200" s="39"/>
      <c r="F200" s="40"/>
      <c r="G200" s="41">
        <v>89460</v>
      </c>
      <c r="H200" s="42" cm="1">
        <f t="array" ref="H200">G200/I200</f>
        <v>2417.837837837840</v>
      </c>
      <c r="I200" s="43">
        <v>37</v>
      </c>
      <c r="J200" s="44"/>
      <c r="K200" s="40"/>
      <c r="L200" s="35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ht="12.75" customHeight="1">
      <c r="A201" s="45">
        <v>43343</v>
      </c>
      <c r="B201" s="85">
        <v>2222</v>
      </c>
      <c r="C201" t="s" s="86">
        <v>129</v>
      </c>
      <c r="D201" t="s" s="48">
        <v>216</v>
      </c>
      <c r="E201" s="49"/>
      <c r="F201" s="50"/>
      <c r="G201" s="51">
        <v>59640</v>
      </c>
      <c r="H201" s="52" cm="1">
        <f t="array" ref="H201">G201/I201</f>
        <v>1611.891891891890</v>
      </c>
      <c r="I201" s="53" cm="1">
        <f t="array" ref="I201">I200</f>
        <v>37</v>
      </c>
      <c r="J201" s="44"/>
      <c r="K201" s="40"/>
      <c r="L201" s="35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ht="12.75" customHeight="1">
      <c r="A202" s="36">
        <v>43354</v>
      </c>
      <c r="B202" s="60">
        <v>63447</v>
      </c>
      <c r="C202" t="s" s="55">
        <v>133</v>
      </c>
      <c r="D202" t="s" s="18">
        <v>217</v>
      </c>
      <c r="E202" s="39"/>
      <c r="F202" s="40"/>
      <c r="G202" s="41">
        <v>39020.73</v>
      </c>
      <c r="H202" s="42">
        <v>1012</v>
      </c>
      <c r="I202" s="43" cm="1">
        <f t="array" ref="I202">G202/H202</f>
        <v>38.5580335968379</v>
      </c>
      <c r="J202" s="44"/>
      <c r="K202" s="40"/>
      <c r="L202" s="35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ht="12.75" customHeight="1">
      <c r="A203" s="45">
        <v>43354</v>
      </c>
      <c r="B203" s="63">
        <v>63446</v>
      </c>
      <c r="C203" t="s" s="54">
        <v>133</v>
      </c>
      <c r="D203" t="s" s="48">
        <v>218</v>
      </c>
      <c r="E203" s="49"/>
      <c r="F203" s="50"/>
      <c r="G203" s="51">
        <v>203712.03</v>
      </c>
      <c r="H203" s="52">
        <v>5290</v>
      </c>
      <c r="I203" s="53" cm="1">
        <f t="array" ref="I203">G203/H203</f>
        <v>38.5088903591682</v>
      </c>
      <c r="J203" s="44"/>
      <c r="K203" s="40"/>
      <c r="L203" s="35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ht="12.75" customHeight="1">
      <c r="A204" s="36">
        <v>43355</v>
      </c>
      <c r="B204" s="37"/>
      <c r="C204" t="s" s="55">
        <v>88</v>
      </c>
      <c r="D204" t="s" s="18">
        <v>219</v>
      </c>
      <c r="E204" s="39"/>
      <c r="F204" s="40"/>
      <c r="G204" s="41">
        <v>34011.72</v>
      </c>
      <c r="H204" s="42" cm="1">
        <f t="array" ref="H204">G204/I204</f>
        <v>895.045263157895</v>
      </c>
      <c r="I204" s="43">
        <v>38</v>
      </c>
      <c r="J204" s="44"/>
      <c r="K204" s="40"/>
      <c r="L204" s="35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ht="12.75" customHeight="1">
      <c r="A205" s="45">
        <v>43356</v>
      </c>
      <c r="B205" s="46"/>
      <c r="C205" t="s" s="54">
        <v>79</v>
      </c>
      <c r="D205" t="s" s="48">
        <v>220</v>
      </c>
      <c r="E205" s="49"/>
      <c r="F205" s="50"/>
      <c r="G205" s="51">
        <v>1934.71</v>
      </c>
      <c r="H205" s="52" cm="1">
        <f t="array" ref="H205">G205/I205</f>
        <v>49.928</v>
      </c>
      <c r="I205" s="53">
        <v>38.75</v>
      </c>
      <c r="J205" s="44"/>
      <c r="K205" s="40"/>
      <c r="L205" s="35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ht="12.75" customHeight="1">
      <c r="A206" s="36">
        <v>43357</v>
      </c>
      <c r="B206" s="60">
        <v>508</v>
      </c>
      <c r="C206" t="s" s="55">
        <v>81</v>
      </c>
      <c r="D206" t="s" s="18">
        <v>221</v>
      </c>
      <c r="E206" s="39"/>
      <c r="F206" s="40"/>
      <c r="G206" s="41" cm="1">
        <f t="array" ref="G206">150000+40575</f>
        <v>190575</v>
      </c>
      <c r="H206" s="42" cm="1">
        <f t="array" ref="H206">G206/I206</f>
        <v>4764.375</v>
      </c>
      <c r="I206" s="43">
        <v>40</v>
      </c>
      <c r="J206" s="44"/>
      <c r="K206" s="40"/>
      <c r="L206" s="35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ht="12.75" customHeight="1">
      <c r="A207" s="45">
        <v>43363</v>
      </c>
      <c r="B207" s="46"/>
      <c r="C207" t="s" s="54">
        <v>14</v>
      </c>
      <c r="D207" t="s" s="48">
        <v>222</v>
      </c>
      <c r="E207" s="49"/>
      <c r="F207" s="50"/>
      <c r="G207" s="51">
        <v>1351.4</v>
      </c>
      <c r="H207" s="52" cm="1">
        <f t="array" ref="H207">G207/I207</f>
        <v>33.785</v>
      </c>
      <c r="I207" s="53" cm="1">
        <f t="array" ref="I207">I206</f>
        <v>40</v>
      </c>
      <c r="J207" s="44"/>
      <c r="K207" s="40"/>
      <c r="L207" s="35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ht="12.75" customHeight="1">
      <c r="A208" s="36">
        <v>43369</v>
      </c>
      <c r="B208" s="60">
        <v>847</v>
      </c>
      <c r="C208" t="s" s="55">
        <v>191</v>
      </c>
      <c r="D208" t="s" s="18">
        <v>223</v>
      </c>
      <c r="E208" s="39"/>
      <c r="F208" s="40"/>
      <c r="G208" s="41">
        <v>605000</v>
      </c>
      <c r="H208" s="42">
        <v>15500</v>
      </c>
      <c r="I208" s="43" cm="1">
        <f t="array" ref="I208">G208/H208</f>
        <v>39.0322580645161</v>
      </c>
      <c r="J208" s="44"/>
      <c r="K208" s="40"/>
      <c r="L208" s="35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ht="12.75" customHeight="1">
      <c r="A209" s="45">
        <v>43382</v>
      </c>
      <c r="B209" s="46"/>
      <c r="C209" t="s" s="54">
        <v>79</v>
      </c>
      <c r="D209" t="s" s="48">
        <v>224</v>
      </c>
      <c r="E209" s="49"/>
      <c r="F209" s="50"/>
      <c r="G209" s="51">
        <v>1718.93</v>
      </c>
      <c r="H209" s="52">
        <v>41</v>
      </c>
      <c r="I209" s="53" cm="1">
        <f t="array" ref="I209">G209/H209</f>
        <v>41.9251219512195</v>
      </c>
      <c r="J209" s="44"/>
      <c r="K209" s="40"/>
      <c r="L209" s="35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ht="12.75" customHeight="1">
      <c r="A210" s="36">
        <v>43391</v>
      </c>
      <c r="B210" s="60">
        <v>11950</v>
      </c>
      <c r="C210" t="s" s="55">
        <v>176</v>
      </c>
      <c r="D210" t="s" s="18">
        <v>225</v>
      </c>
      <c r="E210" s="39"/>
      <c r="F210" s="40"/>
      <c r="G210" s="41">
        <v>14515.57</v>
      </c>
      <c r="H210" s="42">
        <v>392</v>
      </c>
      <c r="I210" s="43" cm="1">
        <f t="array" ref="I210">G210/H210</f>
        <v>37.0295153061224</v>
      </c>
      <c r="J210" s="44"/>
      <c r="K210" s="40"/>
      <c r="L210" s="35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ht="12.75" customHeight="1">
      <c r="A211" s="45">
        <v>43391</v>
      </c>
      <c r="B211" s="63">
        <v>3392</v>
      </c>
      <c r="C211" t="s" s="54">
        <v>226</v>
      </c>
      <c r="D211" t="s" s="48">
        <v>227</v>
      </c>
      <c r="E211" s="49"/>
      <c r="F211" s="50"/>
      <c r="G211" s="51">
        <v>2200</v>
      </c>
      <c r="H211" s="52" cm="1">
        <f t="array" ref="H211">G211/I211</f>
        <v>59.8639455782313</v>
      </c>
      <c r="I211" s="53">
        <v>36.75</v>
      </c>
      <c r="J211" s="44"/>
      <c r="K211" s="40"/>
      <c r="L211" s="35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ht="12.75" customHeight="1">
      <c r="A212" s="36">
        <v>43392</v>
      </c>
      <c r="B212" s="60">
        <v>64207</v>
      </c>
      <c r="C212" t="s" s="55">
        <v>133</v>
      </c>
      <c r="D212" t="s" s="18">
        <v>228</v>
      </c>
      <c r="E212" s="39"/>
      <c r="F212" s="40"/>
      <c r="G212" s="41">
        <v>10592.78</v>
      </c>
      <c r="H212" s="42" cm="1">
        <f t="array" ref="H212">G212/I212</f>
        <v>286.063155632194</v>
      </c>
      <c r="I212" s="43" cm="1">
        <f t="array" ref="I212">I210</f>
        <v>37.0295153061224</v>
      </c>
      <c r="J212" s="44"/>
      <c r="K212" s="40"/>
      <c r="L212" s="35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ht="12.75" customHeight="1">
      <c r="A213" s="45">
        <v>43392</v>
      </c>
      <c r="B213" s="63">
        <v>2231</v>
      </c>
      <c r="C213" t="s" s="54">
        <v>212</v>
      </c>
      <c r="D213" t="s" s="48">
        <v>229</v>
      </c>
      <c r="E213" s="49"/>
      <c r="F213" s="50"/>
      <c r="G213" s="51">
        <v>2993.7</v>
      </c>
      <c r="H213" s="52">
        <v>110</v>
      </c>
      <c r="I213" s="53" cm="1">
        <f t="array" ref="I213">G213/H213</f>
        <v>27.2154545454545</v>
      </c>
      <c r="J213" s="44"/>
      <c r="K213" s="40"/>
      <c r="L213" s="35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ht="12.75" customHeight="1">
      <c r="A214" s="36">
        <v>43397</v>
      </c>
      <c r="B214" s="37"/>
      <c r="C214" t="s" s="55">
        <v>21</v>
      </c>
      <c r="D214" t="s" s="18">
        <v>230</v>
      </c>
      <c r="E214" s="39"/>
      <c r="F214" s="40"/>
      <c r="G214" s="41">
        <v>3316.64</v>
      </c>
      <c r="H214" s="42">
        <v>90</v>
      </c>
      <c r="I214" s="43" cm="1">
        <f t="array" ref="I214">G214/H214</f>
        <v>36.8515555555556</v>
      </c>
      <c r="J214" s="44"/>
      <c r="K214" s="40"/>
      <c r="L214" s="35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ht="12.75" customHeight="1">
      <c r="A215" s="45">
        <v>43397</v>
      </c>
      <c r="B215" s="46"/>
      <c r="C215" t="s" s="54">
        <v>21</v>
      </c>
      <c r="D215" t="s" s="48">
        <v>230</v>
      </c>
      <c r="E215" s="49"/>
      <c r="F215" s="50"/>
      <c r="G215" s="51">
        <v>4974.96</v>
      </c>
      <c r="H215" s="52">
        <v>135</v>
      </c>
      <c r="I215" s="53" cm="1">
        <f t="array" ref="I215">I214</f>
        <v>36.8515555555556</v>
      </c>
      <c r="J215" s="44"/>
      <c r="K215" s="40"/>
      <c r="L215" s="35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ht="12.75" customHeight="1">
      <c r="A216" s="36">
        <v>43399</v>
      </c>
      <c r="B216" s="37"/>
      <c r="C216" t="s" s="55">
        <v>212</v>
      </c>
      <c r="D216" t="s" s="18">
        <v>231</v>
      </c>
      <c r="E216" s="39"/>
      <c r="F216" s="40"/>
      <c r="G216" s="41">
        <v>961.1900000000001</v>
      </c>
      <c r="H216" s="42">
        <v>26</v>
      </c>
      <c r="I216" s="43" cm="1">
        <f t="array" ref="I216">G216/H216</f>
        <v>36.9688461538462</v>
      </c>
      <c r="J216" s="44"/>
      <c r="K216" s="40"/>
      <c r="L216" s="35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ht="12.75" customHeight="1">
      <c r="A217" s="45">
        <v>43399</v>
      </c>
      <c r="B217" s="46"/>
      <c r="C217" t="s" s="54">
        <v>21</v>
      </c>
      <c r="D217" t="s" s="48">
        <v>232</v>
      </c>
      <c r="E217" s="49"/>
      <c r="F217" s="50"/>
      <c r="G217" s="51">
        <v>12408.86</v>
      </c>
      <c r="H217" s="52" cm="1">
        <f t="array" ref="H217">G217/I217</f>
        <v>335.657216575286</v>
      </c>
      <c r="I217" s="53" cm="1">
        <f t="array" ref="I217">I216</f>
        <v>36.9688461538462</v>
      </c>
      <c r="J217" t="s" s="55">
        <v>233</v>
      </c>
      <c r="K217" s="40"/>
      <c r="L217" s="35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ht="12.75" customHeight="1">
      <c r="A218" s="36">
        <v>43402</v>
      </c>
      <c r="B218" s="60">
        <v>1483</v>
      </c>
      <c r="C218" t="s" s="55">
        <v>47</v>
      </c>
      <c r="D218" t="s" s="18">
        <v>234</v>
      </c>
      <c r="E218" s="39"/>
      <c r="F218" s="40"/>
      <c r="G218" s="41">
        <v>605750</v>
      </c>
      <c r="H218" s="42" cm="1">
        <f t="array" ref="H218">G218/I218</f>
        <v>16371.6216216216</v>
      </c>
      <c r="I218" s="43">
        <v>37</v>
      </c>
      <c r="J218" s="44"/>
      <c r="K218" s="40"/>
      <c r="L218" s="35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ht="12.75" customHeight="1">
      <c r="A219" s="45">
        <v>43402</v>
      </c>
      <c r="B219" s="63">
        <v>9693</v>
      </c>
      <c r="C219" t="s" s="54">
        <v>235</v>
      </c>
      <c r="D219" t="s" s="48">
        <v>236</v>
      </c>
      <c r="E219" s="49"/>
      <c r="F219" s="50"/>
      <c r="G219" s="51">
        <v>700000.21</v>
      </c>
      <c r="H219" s="52">
        <v>18900</v>
      </c>
      <c r="I219" s="53" cm="1">
        <f t="array" ref="I219">G219/H219</f>
        <v>37.0370481481481</v>
      </c>
      <c r="J219" s="44"/>
      <c r="K219" s="40"/>
      <c r="L219" s="35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ht="12.75" customHeight="1">
      <c r="A220" s="36">
        <v>43403</v>
      </c>
      <c r="B220" s="60">
        <v>64423</v>
      </c>
      <c r="C220" t="s" s="55">
        <v>133</v>
      </c>
      <c r="D220" t="s" s="18">
        <v>237</v>
      </c>
      <c r="E220" s="39"/>
      <c r="F220" s="40"/>
      <c r="G220" s="41">
        <v>2573.14</v>
      </c>
      <c r="H220" s="42">
        <v>70</v>
      </c>
      <c r="I220" s="43" cm="1">
        <f t="array" ref="I220">G220/H220</f>
        <v>36.7591428571429</v>
      </c>
      <c r="J220" s="44"/>
      <c r="K220" s="40"/>
      <c r="L220" s="35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ht="12.75" customHeight="1">
      <c r="A221" s="45">
        <v>43405</v>
      </c>
      <c r="B221" s="63">
        <v>3460</v>
      </c>
      <c r="C221" t="s" s="54">
        <v>226</v>
      </c>
      <c r="D221" t="s" s="48">
        <v>187</v>
      </c>
      <c r="E221" s="49"/>
      <c r="F221" s="50"/>
      <c r="G221" s="51">
        <v>1100</v>
      </c>
      <c r="H221" s="52">
        <v>30</v>
      </c>
      <c r="I221" s="53">
        <v>36.67</v>
      </c>
      <c r="J221" t="s" s="55">
        <v>238</v>
      </c>
      <c r="K221" s="40"/>
      <c r="L221" s="35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ht="12.75" customHeight="1">
      <c r="A222" s="36">
        <v>43412</v>
      </c>
      <c r="B222" s="37"/>
      <c r="C222" t="s" s="55">
        <v>186</v>
      </c>
      <c r="D222" t="s" s="18">
        <v>239</v>
      </c>
      <c r="E222" s="39"/>
      <c r="F222" s="40"/>
      <c r="G222" s="41">
        <v>2250</v>
      </c>
      <c r="H222" s="42">
        <v>61</v>
      </c>
      <c r="I222" s="43" cm="1">
        <f t="array" ref="I222">G222/H222</f>
        <v>36.8852459016393</v>
      </c>
      <c r="J222" s="44"/>
      <c r="K222" s="40"/>
      <c r="L222" s="35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ht="12.75" customHeight="1">
      <c r="A223" s="36">
        <v>43413</v>
      </c>
      <c r="B223" s="37"/>
      <c r="C223" t="s" s="55">
        <v>21</v>
      </c>
      <c r="D223" t="s" s="18">
        <v>240</v>
      </c>
      <c r="E223" s="39"/>
      <c r="F223" s="40"/>
      <c r="G223" s="41">
        <v>6204.43</v>
      </c>
      <c r="H223" s="42" cm="1">
        <f t="array" ref="H223">G223/I223</f>
        <v>169.196345786747</v>
      </c>
      <c r="I223" s="43" cm="1">
        <f t="array" ref="I223">I221</f>
        <v>36.67</v>
      </c>
      <c r="J223" s="44"/>
      <c r="K223" s="40"/>
      <c r="L223" s="35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ht="12.75" customHeight="1">
      <c r="A224" s="45">
        <v>43413</v>
      </c>
      <c r="B224" s="46"/>
      <c r="C224" t="s" s="54">
        <v>79</v>
      </c>
      <c r="D224" t="s" s="48">
        <v>241</v>
      </c>
      <c r="E224" s="49"/>
      <c r="F224" s="50"/>
      <c r="G224" s="51">
        <v>1718.93</v>
      </c>
      <c r="H224" s="52" cm="1">
        <f t="array" ref="H224">G224/I224</f>
        <v>47.2233516483516</v>
      </c>
      <c r="I224" s="53">
        <v>36.4</v>
      </c>
      <c r="J224" s="44"/>
      <c r="K224" s="40"/>
      <c r="L224" s="35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ht="12.75" customHeight="1">
      <c r="A225" s="36">
        <v>43413</v>
      </c>
      <c r="B225" s="37"/>
      <c r="C225" t="s" s="55">
        <v>14</v>
      </c>
      <c r="D225" t="s" s="18">
        <v>242</v>
      </c>
      <c r="E225" s="39"/>
      <c r="F225" s="40"/>
      <c r="G225" s="41">
        <v>1350.1</v>
      </c>
      <c r="H225" s="42" cm="1">
        <f t="array" ref="H225">G225/I225</f>
        <v>37.0906593406593</v>
      </c>
      <c r="I225" s="43">
        <v>36.4</v>
      </c>
      <c r="J225" s="44"/>
      <c r="K225" s="40"/>
      <c r="L225" s="35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ht="12.75" customHeight="1">
      <c r="A226" s="45">
        <v>43424</v>
      </c>
      <c r="B226" s="63">
        <v>64872</v>
      </c>
      <c r="C226" t="s" s="54">
        <v>133</v>
      </c>
      <c r="D226" t="s" s="48">
        <v>243</v>
      </c>
      <c r="E226" s="49"/>
      <c r="F226" s="50"/>
      <c r="G226" s="51" cm="1">
        <f t="array" ref="G226">28894.68-86.12</f>
        <v>28808.56</v>
      </c>
      <c r="H226" s="52">
        <v>781</v>
      </c>
      <c r="I226" s="53" cm="1">
        <f t="array" ref="I226">G226/H226</f>
        <v>36.8867605633803</v>
      </c>
      <c r="J226" s="44"/>
      <c r="K226" s="40"/>
      <c r="L226" s="35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t="s" s="87">
        <v>244</v>
      </c>
    </row>
    <row r="227" ht="12.75" customHeight="1">
      <c r="A227" s="36">
        <v>43413</v>
      </c>
      <c r="B227" s="60">
        <v>64643</v>
      </c>
      <c r="C227" t="s" s="55">
        <v>133</v>
      </c>
      <c r="D227" t="s" s="18">
        <v>245</v>
      </c>
      <c r="E227" s="39"/>
      <c r="F227" s="40"/>
      <c r="G227" s="41">
        <v>430.61</v>
      </c>
      <c r="H227" s="42" cm="1">
        <f t="array" ref="H227">G227/I227</f>
        <v>11.8299450549451</v>
      </c>
      <c r="I227" s="43">
        <v>36.4</v>
      </c>
      <c r="J227" s="44"/>
      <c r="K227" s="40"/>
      <c r="L227" s="35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ht="12.75" customHeight="1">
      <c r="A228" s="45">
        <v>43426</v>
      </c>
      <c r="B228" s="63">
        <v>9635</v>
      </c>
      <c r="C228" t="s" s="54">
        <v>149</v>
      </c>
      <c r="D228" t="s" s="48">
        <v>246</v>
      </c>
      <c r="E228" s="49"/>
      <c r="F228" s="50"/>
      <c r="G228" s="51">
        <v>21985.82</v>
      </c>
      <c r="H228" s="52">
        <v>605</v>
      </c>
      <c r="I228" s="53" cm="1">
        <f t="array" ref="I228">G228/H228</f>
        <v>36.3401983471074</v>
      </c>
      <c r="J228" s="44"/>
      <c r="K228" s="40"/>
      <c r="L228" s="35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ht="12.75" customHeight="1">
      <c r="A229" s="36">
        <v>43426</v>
      </c>
      <c r="B229" s="60">
        <v>13585</v>
      </c>
      <c r="C229" s="38"/>
      <c r="D229" t="s" s="18">
        <v>247</v>
      </c>
      <c r="E229" s="39"/>
      <c r="F229" s="40"/>
      <c r="G229" s="41">
        <v>365</v>
      </c>
      <c r="H229" s="42" cm="1">
        <f t="array" ref="H229">G229/I229</f>
        <v>10.0274725274725</v>
      </c>
      <c r="I229" s="43">
        <v>36.4</v>
      </c>
      <c r="J229" s="44"/>
      <c r="K229" s="40"/>
      <c r="L229" s="35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ht="12.75" customHeight="1">
      <c r="A230" s="45">
        <v>43427</v>
      </c>
      <c r="B230" s="46"/>
      <c r="C230" t="s" s="54">
        <v>14</v>
      </c>
      <c r="D230" t="s" s="48">
        <v>248</v>
      </c>
      <c r="E230" s="49"/>
      <c r="F230" s="50"/>
      <c r="G230" s="51">
        <v>1295.29</v>
      </c>
      <c r="H230" s="52" cm="1">
        <f t="array" ref="H230">G230/I230</f>
        <v>35.5848901098901</v>
      </c>
      <c r="I230" s="53">
        <v>36.4</v>
      </c>
      <c r="J230" s="44"/>
      <c r="K230" s="40"/>
      <c r="L230" s="35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ht="12.75" customHeight="1">
      <c r="A231" s="36">
        <v>43432</v>
      </c>
      <c r="B231" s="60">
        <v>2145</v>
      </c>
      <c r="C231" t="s" s="55">
        <v>129</v>
      </c>
      <c r="D231" t="s" s="18">
        <v>249</v>
      </c>
      <c r="E231" s="39"/>
      <c r="F231" s="40"/>
      <c r="G231" s="41">
        <v>4700</v>
      </c>
      <c r="H231" s="42" cm="1">
        <f t="array" ref="H231">G231/I231</f>
        <v>123.684210526316</v>
      </c>
      <c r="I231" s="43">
        <v>38</v>
      </c>
      <c r="J231" s="44"/>
      <c r="K231" s="40"/>
      <c r="L231" s="35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ht="12.75" customHeight="1">
      <c r="A232" s="45">
        <v>43439</v>
      </c>
      <c r="B232" s="63">
        <v>520</v>
      </c>
      <c r="C232" t="s" s="54">
        <v>81</v>
      </c>
      <c r="D232" t="s" s="48">
        <v>250</v>
      </c>
      <c r="E232" s="49"/>
      <c r="F232" s="50"/>
      <c r="G232" s="51">
        <v>121000</v>
      </c>
      <c r="H232" s="52" cm="1">
        <f t="array" ref="H232">G232/I232</f>
        <v>3270.270270270270</v>
      </c>
      <c r="I232" s="53">
        <v>37</v>
      </c>
      <c r="J232" s="44"/>
      <c r="K232" s="40"/>
      <c r="L232" s="35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ht="12.75" customHeight="1">
      <c r="A233" s="36">
        <v>43440</v>
      </c>
      <c r="B233" s="37"/>
      <c r="C233" t="s" s="55">
        <v>186</v>
      </c>
      <c r="D233" t="s" s="18">
        <v>251</v>
      </c>
      <c r="E233" s="39"/>
      <c r="F233" s="40"/>
      <c r="G233" s="41">
        <v>2250</v>
      </c>
      <c r="H233" s="42">
        <v>60</v>
      </c>
      <c r="I233" s="43" cm="1">
        <f t="array" ref="I233">I232</f>
        <v>37</v>
      </c>
      <c r="J233" s="44"/>
      <c r="K233" s="40"/>
      <c r="L233" s="35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ht="12.75" customHeight="1">
      <c r="A234" s="45">
        <v>43444</v>
      </c>
      <c r="B234" s="46"/>
      <c r="C234" t="s" s="54">
        <v>79</v>
      </c>
      <c r="D234" t="s" s="48">
        <v>252</v>
      </c>
      <c r="E234" s="49"/>
      <c r="F234" s="50"/>
      <c r="G234" s="51">
        <v>2271.53</v>
      </c>
      <c r="H234" s="52" cm="1">
        <f t="array" ref="H234">G234/I234</f>
        <v>61.3927027027027</v>
      </c>
      <c r="I234" s="53" cm="1">
        <f t="array" ref="I234">I233</f>
        <v>37</v>
      </c>
      <c r="J234" s="44"/>
      <c r="K234" s="40"/>
      <c r="L234" s="35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ht="12.75" customHeight="1">
      <c r="A235" s="36">
        <v>43444</v>
      </c>
      <c r="B235" s="37"/>
      <c r="C235" t="s" s="55">
        <v>21</v>
      </c>
      <c r="D235" t="s" s="18">
        <v>253</v>
      </c>
      <c r="E235" s="39"/>
      <c r="F235" s="40"/>
      <c r="G235" s="41">
        <v>6213.53</v>
      </c>
      <c r="H235" s="42" cm="1">
        <f t="array" ref="H235">G235/I235</f>
        <v>167.933243243243</v>
      </c>
      <c r="I235" s="43" cm="1">
        <f t="array" ref="I235">I234</f>
        <v>37</v>
      </c>
      <c r="J235" s="44"/>
      <c r="K235" s="40"/>
      <c r="L235" s="35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ht="12.75" customHeight="1">
      <c r="A236" s="45">
        <v>43449</v>
      </c>
      <c r="B236" s="46"/>
      <c r="C236" s="47"/>
      <c r="D236" t="s" s="48">
        <v>254</v>
      </c>
      <c r="E236" s="49"/>
      <c r="F236" s="50"/>
      <c r="G236" s="51">
        <v>430</v>
      </c>
      <c r="H236" s="52">
        <v>12</v>
      </c>
      <c r="I236" s="53" cm="1">
        <f t="array" ref="I236">I235</f>
        <v>37</v>
      </c>
      <c r="J236" s="44"/>
      <c r="K236" s="40"/>
      <c r="L236" s="35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ht="12.75" customHeight="1">
      <c r="A237" s="36">
        <v>43455</v>
      </c>
      <c r="B237" s="37"/>
      <c r="C237" t="s" s="55">
        <v>14</v>
      </c>
      <c r="D237" t="s" s="18">
        <v>255</v>
      </c>
      <c r="E237" s="39"/>
      <c r="F237" s="40"/>
      <c r="G237" s="41">
        <v>873.67</v>
      </c>
      <c r="H237" s="42" cm="1">
        <f t="array" ref="H237">G237/I237</f>
        <v>23.6127027027027</v>
      </c>
      <c r="I237" s="43" cm="1">
        <f t="array" ref="I237">I236</f>
        <v>37</v>
      </c>
      <c r="J237" s="44"/>
      <c r="K237" s="40"/>
      <c r="L237" s="35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ht="12.75" customHeight="1">
      <c r="A238" s="45">
        <v>43462</v>
      </c>
      <c r="B238" s="63">
        <v>756</v>
      </c>
      <c r="C238" t="s" s="54">
        <v>256</v>
      </c>
      <c r="D238" t="s" s="48">
        <v>257</v>
      </c>
      <c r="E238" s="49"/>
      <c r="F238" s="50"/>
      <c r="G238" s="51">
        <v>36315.9</v>
      </c>
      <c r="H238" s="52" cm="1">
        <f t="array" ref="H238">G238/I238</f>
        <v>931.176923076923</v>
      </c>
      <c r="I238" s="53">
        <v>39</v>
      </c>
      <c r="J238" s="44"/>
      <c r="K238" s="40"/>
      <c r="L238" s="35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ht="12.75" customHeight="1">
      <c r="A239" s="36">
        <v>43468</v>
      </c>
      <c r="B239" s="60">
        <v>10243</v>
      </c>
      <c r="C239" t="s" s="55">
        <v>258</v>
      </c>
      <c r="D239" t="s" s="18">
        <v>259</v>
      </c>
      <c r="E239" s="39"/>
      <c r="F239" s="40"/>
      <c r="G239" s="41">
        <v>22781.68</v>
      </c>
      <c r="H239" s="42" cm="1">
        <f t="array" ref="H239">G239/I239</f>
        <v>584.145641025641</v>
      </c>
      <c r="I239" s="43" cm="1">
        <f t="array" ref="I239">I238</f>
        <v>39</v>
      </c>
      <c r="J239" s="44"/>
      <c r="K239" s="40"/>
      <c r="L239" s="35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ht="12.75" customHeight="1">
      <c r="A240" s="45">
        <v>43469</v>
      </c>
      <c r="B240" s="63">
        <v>9917</v>
      </c>
      <c r="C240" t="s" s="54">
        <v>258</v>
      </c>
      <c r="D240" t="s" s="48">
        <v>260</v>
      </c>
      <c r="E240" s="49"/>
      <c r="F240" s="50"/>
      <c r="G240" s="51">
        <v>640</v>
      </c>
      <c r="H240" s="52">
        <v>17</v>
      </c>
      <c r="I240" s="53">
        <v>38.4</v>
      </c>
      <c r="J240" s="44"/>
      <c r="K240" s="40"/>
      <c r="L240" s="35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ht="12.75" customHeight="1">
      <c r="A241" s="36">
        <v>43471</v>
      </c>
      <c r="B241" s="37"/>
      <c r="C241" t="s" s="55">
        <v>258</v>
      </c>
      <c r="D241" t="s" s="18">
        <v>261</v>
      </c>
      <c r="E241" s="39"/>
      <c r="F241" s="40"/>
      <c r="G241" s="41">
        <v>75</v>
      </c>
      <c r="H241" s="42" cm="1">
        <f t="array" ref="H241">G241/I241</f>
        <v>1.953125</v>
      </c>
      <c r="I241" s="43" cm="1">
        <f t="array" ref="I241">I240</f>
        <v>38.4</v>
      </c>
      <c r="J241" s="44"/>
      <c r="K241" s="40"/>
      <c r="L241" s="35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ht="12.75" customHeight="1">
      <c r="A242" s="45">
        <v>43474</v>
      </c>
      <c r="B242" s="46"/>
      <c r="C242" t="s" s="54">
        <v>79</v>
      </c>
      <c r="D242" t="s" s="48">
        <v>262</v>
      </c>
      <c r="E242" s="49"/>
      <c r="F242" s="50"/>
      <c r="G242" s="51">
        <v>2271.23</v>
      </c>
      <c r="H242" s="52" cm="1">
        <f t="array" ref="H242">G242/I242</f>
        <v>59.1466145833333</v>
      </c>
      <c r="I242" s="53" cm="1">
        <f t="array" ref="I242">I241</f>
        <v>38.4</v>
      </c>
      <c r="J242" s="44"/>
      <c r="K242" s="40"/>
      <c r="L242" s="35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ht="12.75" customHeight="1">
      <c r="A243" s="36">
        <v>43475</v>
      </c>
      <c r="B243" s="37"/>
      <c r="C243" t="s" s="55">
        <v>21</v>
      </c>
      <c r="D243" t="s" s="18">
        <v>263</v>
      </c>
      <c r="E243" s="39"/>
      <c r="F243" s="40"/>
      <c r="G243" s="41">
        <v>8997.23</v>
      </c>
      <c r="H243" s="42" cm="1">
        <f t="array" ref="H243">G243/I243</f>
        <v>234.302864583333</v>
      </c>
      <c r="I243" s="43" cm="1">
        <f t="array" ref="I243">I242</f>
        <v>38.4</v>
      </c>
      <c r="J243" s="44"/>
      <c r="K243" s="40"/>
      <c r="L243" s="35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ht="12.75" customHeight="1">
      <c r="A244" s="45">
        <v>43476</v>
      </c>
      <c r="B244" s="46"/>
      <c r="C244" t="s" s="54">
        <v>258</v>
      </c>
      <c r="D244" t="s" s="48">
        <v>259</v>
      </c>
      <c r="E244" s="49"/>
      <c r="F244" s="50"/>
      <c r="G244" s="51">
        <v>3254.53</v>
      </c>
      <c r="H244" s="52" cm="1">
        <f t="array" ref="H244">G244/I244</f>
        <v>84.7533854166667</v>
      </c>
      <c r="I244" s="53" cm="1">
        <f t="array" ref="I244">I243</f>
        <v>38.4</v>
      </c>
      <c r="J244" s="44"/>
      <c r="K244" s="40"/>
      <c r="L244" s="35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ht="12.75" customHeight="1">
      <c r="A245" s="36">
        <v>43486</v>
      </c>
      <c r="B245" s="60">
        <v>34895</v>
      </c>
      <c r="C245" t="s" s="55">
        <v>200</v>
      </c>
      <c r="D245" t="s" s="18">
        <v>264</v>
      </c>
      <c r="E245" s="39"/>
      <c r="F245" s="40"/>
      <c r="G245" s="41">
        <v>87007.12</v>
      </c>
      <c r="H245" s="42" cm="1">
        <f t="array" ref="H245">G245/I245</f>
        <v>2265.810416666670</v>
      </c>
      <c r="I245" s="43" cm="1">
        <f t="array" ref="I245">I244</f>
        <v>38.4</v>
      </c>
      <c r="J245" s="44"/>
      <c r="K245" s="40"/>
      <c r="L245" s="35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ht="12.75" customHeight="1">
      <c r="A246" s="45">
        <v>43488</v>
      </c>
      <c r="B246" s="46"/>
      <c r="C246" t="s" s="54">
        <v>14</v>
      </c>
      <c r="D246" t="s" s="48">
        <v>265</v>
      </c>
      <c r="E246" s="49"/>
      <c r="F246" s="50"/>
      <c r="G246" s="51">
        <v>907.1799999999999</v>
      </c>
      <c r="H246" s="52" cm="1">
        <f t="array" ref="H246">G246/I246</f>
        <v>23.6244791666667</v>
      </c>
      <c r="I246" s="53" cm="1">
        <f t="array" ref="I246">I245</f>
        <v>38.4</v>
      </c>
      <c r="J246" t="s" s="55">
        <v>266</v>
      </c>
      <c r="K246" s="40"/>
      <c r="L246" s="35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ht="12.75" customHeight="1">
      <c r="A247" s="36">
        <v>43500</v>
      </c>
      <c r="B247" s="60">
        <v>2207</v>
      </c>
      <c r="C247" t="s" s="55">
        <v>256</v>
      </c>
      <c r="D247" t="s" s="18">
        <v>267</v>
      </c>
      <c r="E247" s="39"/>
      <c r="F247" s="40"/>
      <c r="G247" s="41">
        <v>997.86</v>
      </c>
      <c r="H247" s="42" cm="1">
        <f t="array" ref="H247">G247/I247</f>
        <v>25.9859375</v>
      </c>
      <c r="I247" s="43" cm="1">
        <f t="array" ref="I247">I246</f>
        <v>38.4</v>
      </c>
      <c r="J247" s="44"/>
      <c r="K247" s="40"/>
      <c r="L247" s="35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ht="12.75" customHeight="1">
      <c r="A248" s="45">
        <v>43500</v>
      </c>
      <c r="B248" s="63">
        <v>65961</v>
      </c>
      <c r="C248" t="s" s="54">
        <v>256</v>
      </c>
      <c r="D248" t="s" s="48">
        <v>268</v>
      </c>
      <c r="E248" s="49"/>
      <c r="F248" s="50"/>
      <c r="G248" s="51">
        <v>4592.88</v>
      </c>
      <c r="H248" s="52">
        <v>121</v>
      </c>
      <c r="I248" s="53" cm="1">
        <f t="array" ref="I248">I247</f>
        <v>38.4</v>
      </c>
      <c r="J248" s="44"/>
      <c r="K248" s="40"/>
      <c r="L248" s="35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ht="12.75" customHeight="1">
      <c r="A249" s="36">
        <v>43503</v>
      </c>
      <c r="B249" s="37"/>
      <c r="C249" t="s" s="55">
        <v>79</v>
      </c>
      <c r="D249" t="s" s="18">
        <v>269</v>
      </c>
      <c r="E249" s="39"/>
      <c r="F249" s="40"/>
      <c r="G249" s="41">
        <v>3900.98</v>
      </c>
      <c r="H249" s="42" cm="1">
        <f t="array" ref="H249">G249/I249</f>
        <v>101.588020833333</v>
      </c>
      <c r="I249" s="43" cm="1">
        <f t="array" ref="I249">I248</f>
        <v>38.4</v>
      </c>
      <c r="J249" s="44"/>
      <c r="K249" s="40"/>
      <c r="L249" s="35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ht="12.75" customHeight="1">
      <c r="A250" s="45">
        <v>43508</v>
      </c>
      <c r="B250" s="46"/>
      <c r="C250" t="s" s="54">
        <v>21</v>
      </c>
      <c r="D250" t="s" s="48">
        <v>270</v>
      </c>
      <c r="E250" s="49"/>
      <c r="F250" s="50"/>
      <c r="G250" s="51">
        <v>8997.23</v>
      </c>
      <c r="H250" s="52" cm="1">
        <f t="array" ref="H250">G250/I250</f>
        <v>234.302864583333</v>
      </c>
      <c r="I250" s="53" cm="1">
        <f t="array" ref="I250">I249</f>
        <v>38.4</v>
      </c>
      <c r="J250" s="44"/>
      <c r="K250" s="40"/>
      <c r="L250" s="35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ht="12.75" customHeight="1">
      <c r="A251" s="36">
        <v>43508</v>
      </c>
      <c r="B251" s="37"/>
      <c r="C251" t="s" s="55">
        <v>12</v>
      </c>
      <c r="D251" t="s" s="18">
        <v>271</v>
      </c>
      <c r="E251" s="39"/>
      <c r="F251" s="40"/>
      <c r="G251" s="41">
        <v>115691.3</v>
      </c>
      <c r="H251" s="42" cm="1">
        <f t="array" ref="H251">G251/I251</f>
        <v>3012.794270833330</v>
      </c>
      <c r="I251" s="43" cm="1">
        <f t="array" ref="I251">I250</f>
        <v>38.4</v>
      </c>
      <c r="J251" s="44"/>
      <c r="K251" s="40"/>
      <c r="L251" s="35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ht="12.75" customHeight="1">
      <c r="A252" s="45">
        <v>43518</v>
      </c>
      <c r="B252" s="46"/>
      <c r="C252" t="s" s="54">
        <v>14</v>
      </c>
      <c r="D252" t="s" s="48">
        <v>272</v>
      </c>
      <c r="E252" s="49"/>
      <c r="F252" s="50"/>
      <c r="G252" s="51">
        <v>907.1799999999999</v>
      </c>
      <c r="H252" s="52">
        <v>23</v>
      </c>
      <c r="I252" s="53" cm="1">
        <f t="array" ref="I252">G252/H252</f>
        <v>39.4426086956522</v>
      </c>
      <c r="J252" s="44"/>
      <c r="K252" s="40"/>
      <c r="L252" s="35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ht="12.75" customHeight="1">
      <c r="A253" s="36">
        <v>43535</v>
      </c>
      <c r="B253" s="37"/>
      <c r="C253" t="s" s="55">
        <v>79</v>
      </c>
      <c r="D253" t="s" s="18">
        <v>273</v>
      </c>
      <c r="E253" s="39"/>
      <c r="F253" s="40"/>
      <c r="G253" s="41">
        <v>3906.8</v>
      </c>
      <c r="H253" s="42" cm="1">
        <f t="array" ref="H253">G253/I253</f>
        <v>101.739583333333</v>
      </c>
      <c r="I253" s="43" cm="1">
        <f t="array" ref="I253">I251</f>
        <v>38.4</v>
      </c>
      <c r="J253" s="44"/>
      <c r="K253" s="40"/>
      <c r="L253" s="35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ht="12.75" customHeight="1">
      <c r="A254" s="45">
        <v>43537</v>
      </c>
      <c r="B254" s="63">
        <v>17349</v>
      </c>
      <c r="C254" t="s" s="54">
        <v>258</v>
      </c>
      <c r="D254" t="s" s="48">
        <v>274</v>
      </c>
      <c r="E254" s="49"/>
      <c r="F254" s="50"/>
      <c r="G254" s="51">
        <v>8340.91</v>
      </c>
      <c r="H254" s="52">
        <v>204</v>
      </c>
      <c r="I254" s="53" cm="1">
        <f t="array" ref="I254">G254/H254</f>
        <v>40.8868137254902</v>
      </c>
      <c r="J254" s="44"/>
      <c r="K254" s="40"/>
      <c r="L254" s="35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ht="12.75" customHeight="1">
      <c r="A255" s="36">
        <v>43537</v>
      </c>
      <c r="B255" s="37"/>
      <c r="C255" t="s" s="55">
        <v>21</v>
      </c>
      <c r="D255" t="s" s="18">
        <v>275</v>
      </c>
      <c r="E255" s="39"/>
      <c r="F255" s="40"/>
      <c r="G255" s="41">
        <v>8997.23</v>
      </c>
      <c r="H255" s="42">
        <v>225</v>
      </c>
      <c r="I255" s="43" cm="1">
        <f t="array" ref="I255">G255/H255</f>
        <v>39.9876888888889</v>
      </c>
      <c r="J255" s="44"/>
      <c r="K255" s="40"/>
      <c r="L255" s="35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ht="12.75" customHeight="1">
      <c r="A256" s="45">
        <v>43544</v>
      </c>
      <c r="B256" s="46"/>
      <c r="C256" t="s" s="55">
        <v>129</v>
      </c>
      <c r="D256" t="s" s="48">
        <v>276</v>
      </c>
      <c r="E256" s="49"/>
      <c r="F256" s="50"/>
      <c r="G256" s="51">
        <v>3560</v>
      </c>
      <c r="H256" s="52">
        <v>85</v>
      </c>
      <c r="I256" s="53" cm="1">
        <f t="array" ref="I256">G256/H256</f>
        <v>41.8823529411765</v>
      </c>
      <c r="J256" s="44"/>
      <c r="K256" s="40"/>
      <c r="L256" s="35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ht="12.75" customHeight="1">
      <c r="A257" s="36">
        <v>43545</v>
      </c>
      <c r="B257" s="60">
        <v>67466</v>
      </c>
      <c r="C257" t="s" s="55">
        <v>256</v>
      </c>
      <c r="D257" t="s" s="18">
        <v>268</v>
      </c>
      <c r="E257" s="39"/>
      <c r="F257" s="40"/>
      <c r="G257" s="41">
        <v>1494.07</v>
      </c>
      <c r="H257" s="42">
        <v>37</v>
      </c>
      <c r="I257" s="43" cm="1">
        <f t="array" ref="I257">G257/H257</f>
        <v>40.3802702702703</v>
      </c>
      <c r="J257" s="44"/>
      <c r="K257" s="40"/>
      <c r="L257" s="35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ht="12.75" customHeight="1">
      <c r="A258" s="45">
        <v>43559</v>
      </c>
      <c r="B258" s="46"/>
      <c r="C258" t="s" s="54">
        <v>186</v>
      </c>
      <c r="D258" t="s" s="48">
        <v>277</v>
      </c>
      <c r="E258" s="49"/>
      <c r="F258" s="50"/>
      <c r="G258" s="51">
        <v>3600</v>
      </c>
      <c r="H258" s="52">
        <v>84</v>
      </c>
      <c r="I258" s="53" cm="1">
        <f t="array" ref="I258">G258/H258</f>
        <v>42.8571428571429</v>
      </c>
      <c r="J258" s="44"/>
      <c r="K258" s="40"/>
      <c r="L258" s="35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ht="12.75" customHeight="1">
      <c r="A259" s="36">
        <v>43563</v>
      </c>
      <c r="B259" s="37"/>
      <c r="C259" t="s" s="55">
        <v>14</v>
      </c>
      <c r="D259" t="s" s="18">
        <v>278</v>
      </c>
      <c r="E259" s="39"/>
      <c r="F259" s="40"/>
      <c r="G259" s="41">
        <v>908.5700000000001</v>
      </c>
      <c r="H259" s="42" cm="1">
        <f t="array" ref="H259">G259/I259</f>
        <v>21.1295348837209</v>
      </c>
      <c r="I259" s="43">
        <v>43</v>
      </c>
      <c r="J259" s="44"/>
      <c r="K259" s="40"/>
      <c r="L259" s="35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ht="12.75" customHeight="1">
      <c r="A260" s="45">
        <v>43565</v>
      </c>
      <c r="B260" s="63">
        <v>294</v>
      </c>
      <c r="C260" t="s" s="55">
        <v>279</v>
      </c>
      <c r="D260" t="s" s="48">
        <v>280</v>
      </c>
      <c r="E260" s="49"/>
      <c r="F260" s="50"/>
      <c r="G260" s="51">
        <v>383479.25</v>
      </c>
      <c r="H260" s="52">
        <v>8919</v>
      </c>
      <c r="I260" s="53" cm="1">
        <f t="array" ref="I260">G260/H260</f>
        <v>42.995767462720</v>
      </c>
      <c r="J260" s="44"/>
      <c r="K260" s="40"/>
      <c r="L260" s="35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ht="12.75" customHeight="1">
      <c r="A261" s="36">
        <v>43565</v>
      </c>
      <c r="B261" s="37"/>
      <c r="C261" t="s" s="55">
        <v>21</v>
      </c>
      <c r="D261" t="s" s="18">
        <v>281</v>
      </c>
      <c r="E261" s="39"/>
      <c r="F261" s="40"/>
      <c r="G261" s="41">
        <v>8997.23</v>
      </c>
      <c r="H261" s="42" cm="1">
        <f t="array" ref="H261">G261/I261</f>
        <v>209.237906976744</v>
      </c>
      <c r="I261" s="43">
        <v>43</v>
      </c>
      <c r="J261" s="44"/>
      <c r="K261" s="40"/>
      <c r="L261" s="35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ht="12.75" customHeight="1">
      <c r="A262" s="45">
        <v>43566</v>
      </c>
      <c r="B262" s="46"/>
      <c r="C262" t="s" s="54">
        <v>79</v>
      </c>
      <c r="D262" t="s" s="48">
        <v>282</v>
      </c>
      <c r="E262" s="49"/>
      <c r="F262" s="50"/>
      <c r="G262" s="51">
        <v>7699.83</v>
      </c>
      <c r="H262" s="52" cm="1">
        <f t="array" ref="H262">G262/I262</f>
        <v>179.083441333527</v>
      </c>
      <c r="I262" s="53" cm="1">
        <f t="array" ref="I262">I260</f>
        <v>42.995767462720</v>
      </c>
      <c r="J262" s="44"/>
      <c r="K262" s="40"/>
      <c r="L262" s="35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ht="12.75" customHeight="1">
      <c r="A263" s="36">
        <v>43578</v>
      </c>
      <c r="B263" s="37"/>
      <c r="C263" t="s" s="55">
        <v>14</v>
      </c>
      <c r="D263" t="s" s="18">
        <v>283</v>
      </c>
      <c r="E263" s="39"/>
      <c r="F263" s="40"/>
      <c r="G263" s="41">
        <v>901.67</v>
      </c>
      <c r="H263" s="42" cm="1">
        <f t="array" ref="H263">G263/I263</f>
        <v>20.0371111111111</v>
      </c>
      <c r="I263" s="43">
        <v>45</v>
      </c>
      <c r="J263" s="44"/>
      <c r="K263" s="40"/>
      <c r="L263" s="35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ht="12.75" customHeight="1">
      <c r="A264" s="45">
        <v>43579</v>
      </c>
      <c r="B264" s="46"/>
      <c r="C264" t="s" s="55">
        <v>129</v>
      </c>
      <c r="D264" t="s" s="48">
        <v>284</v>
      </c>
      <c r="E264" s="49"/>
      <c r="F264" s="50"/>
      <c r="G264" s="51">
        <v>4000</v>
      </c>
      <c r="H264" s="52" cm="1">
        <f t="array" ref="H264">G264/I264</f>
        <v>88.8888888888889</v>
      </c>
      <c r="I264" s="53" cm="1">
        <f t="array" ref="I264">I263</f>
        <v>45</v>
      </c>
      <c r="J264" s="44"/>
      <c r="K264" s="40"/>
      <c r="L264" s="35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ht="12.75" customHeight="1">
      <c r="A265" s="36">
        <v>43584</v>
      </c>
      <c r="B265" s="60">
        <v>5812</v>
      </c>
      <c r="C265" t="s" s="55">
        <v>47</v>
      </c>
      <c r="D265" t="s" s="18">
        <v>285</v>
      </c>
      <c r="E265" s="39"/>
      <c r="F265" s="40"/>
      <c r="G265" s="41">
        <v>11463.78</v>
      </c>
      <c r="H265" s="42">
        <v>254</v>
      </c>
      <c r="I265" s="43" cm="1">
        <f t="array" ref="I265">G265/H265</f>
        <v>45.1329921259843</v>
      </c>
      <c r="J265" s="44"/>
      <c r="K265" s="40"/>
      <c r="L265" s="35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ht="12.75" customHeight="1">
      <c r="A266" s="45">
        <v>43584</v>
      </c>
      <c r="B266" s="63">
        <v>12708</v>
      </c>
      <c r="C266" t="s" s="54">
        <v>235</v>
      </c>
      <c r="D266" t="s" s="48">
        <v>286</v>
      </c>
      <c r="E266" s="49"/>
      <c r="F266" s="50"/>
      <c r="G266" s="51">
        <v>4125</v>
      </c>
      <c r="H266" s="52">
        <v>92</v>
      </c>
      <c r="I266" s="53" cm="1">
        <f t="array" ref="I266">G266/H266</f>
        <v>44.8369565217391</v>
      </c>
      <c r="J266" s="44"/>
      <c r="K266" s="40"/>
      <c r="L266" s="35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ht="12.75" customHeight="1">
      <c r="A267" s="36">
        <v>43584</v>
      </c>
      <c r="B267" s="37"/>
      <c r="C267" t="s" s="55">
        <v>235</v>
      </c>
      <c r="D267" t="s" s="18">
        <v>287</v>
      </c>
      <c r="E267" s="39"/>
      <c r="F267" s="40"/>
      <c r="G267" s="41">
        <v>1000000</v>
      </c>
      <c r="H267" s="42">
        <v>22223</v>
      </c>
      <c r="I267" s="43" cm="1">
        <f t="array" ref="I267">G267/H267</f>
        <v>44.9984250551231</v>
      </c>
      <c r="J267" s="44"/>
      <c r="K267" s="40"/>
      <c r="L267" s="35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ht="12.75" customHeight="1">
      <c r="A268" s="45">
        <v>43585</v>
      </c>
      <c r="B268" s="63">
        <v>2695</v>
      </c>
      <c r="C268" t="s" s="54">
        <v>288</v>
      </c>
      <c r="D268" t="s" s="48">
        <v>289</v>
      </c>
      <c r="E268" s="49"/>
      <c r="F268" s="50"/>
      <c r="G268" s="51">
        <v>13043.31</v>
      </c>
      <c r="H268" s="52" cm="1">
        <f t="array" ref="H268">G268/I268</f>
        <v>290.905338181818</v>
      </c>
      <c r="I268" s="53" cm="1">
        <f t="array" ref="I268">I266</f>
        <v>44.8369565217391</v>
      </c>
      <c r="J268" s="44"/>
      <c r="K268" s="40"/>
      <c r="L268" s="35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ht="12.75" customHeight="1">
      <c r="A269" s="36">
        <v>43585</v>
      </c>
      <c r="B269" s="60">
        <v>12731</v>
      </c>
      <c r="C269" t="s" s="55">
        <v>235</v>
      </c>
      <c r="D269" t="s" s="18">
        <v>290</v>
      </c>
      <c r="E269" s="39"/>
      <c r="F269" s="40"/>
      <c r="G269" s="41">
        <v>31872.79</v>
      </c>
      <c r="H269" s="42" cm="1">
        <f t="array" ref="H269">G269/I269</f>
        <v>710.859801212122</v>
      </c>
      <c r="I269" s="43" cm="1">
        <f t="array" ref="I269">I268</f>
        <v>44.8369565217391</v>
      </c>
      <c r="J269" s="44"/>
      <c r="K269" s="40"/>
      <c r="L269" s="35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ht="12.75" customHeight="1">
      <c r="A270" s="45">
        <v>43588</v>
      </c>
      <c r="B270" s="63">
        <v>4294</v>
      </c>
      <c r="C270" t="s" s="54">
        <v>258</v>
      </c>
      <c r="D270" t="s" s="48">
        <v>291</v>
      </c>
      <c r="E270" s="49"/>
      <c r="F270" s="50"/>
      <c r="G270" s="51">
        <v>1489.97</v>
      </c>
      <c r="H270" s="52" cm="1">
        <f t="array" ref="H270">G270/I270</f>
        <v>33.1104444444444</v>
      </c>
      <c r="I270" s="53">
        <v>45</v>
      </c>
      <c r="J270" s="44"/>
      <c r="K270" s="40"/>
      <c r="L270" s="35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ht="12.75" customHeight="1">
      <c r="A271" s="36">
        <v>43592</v>
      </c>
      <c r="B271" s="60">
        <v>12835</v>
      </c>
      <c r="C271" t="s" s="55">
        <v>235</v>
      </c>
      <c r="D271" t="s" s="18">
        <v>292</v>
      </c>
      <c r="E271" s="39"/>
      <c r="F271" s="40"/>
      <c r="G271" s="41">
        <v>2757.18</v>
      </c>
      <c r="H271" s="42">
        <v>62</v>
      </c>
      <c r="I271" s="43" cm="1">
        <f t="array" ref="I271">G271/H271</f>
        <v>44.4706451612903</v>
      </c>
      <c r="J271" s="44"/>
      <c r="K271" s="40"/>
      <c r="L271" s="35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ht="12.75" customHeight="1">
      <c r="A272" s="45">
        <v>43593</v>
      </c>
      <c r="B272" s="63">
        <v>3</v>
      </c>
      <c r="C272" t="s" s="54">
        <v>258</v>
      </c>
      <c r="D272" t="s" s="48">
        <v>293</v>
      </c>
      <c r="E272" s="49"/>
      <c r="F272" s="50"/>
      <c r="G272" s="51">
        <v>23000</v>
      </c>
      <c r="H272" s="52">
        <v>500</v>
      </c>
      <c r="I272" s="53" cm="1">
        <f t="array" ref="I272">G272/H272</f>
        <v>46</v>
      </c>
      <c r="J272" s="44"/>
      <c r="K272" s="40"/>
      <c r="L272" s="35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ht="12.75" customHeight="1">
      <c r="A273" s="36">
        <v>43595</v>
      </c>
      <c r="B273" s="37"/>
      <c r="C273" t="s" s="55">
        <v>21</v>
      </c>
      <c r="D273" t="s" s="18">
        <v>294</v>
      </c>
      <c r="E273" s="39"/>
      <c r="F273" s="40"/>
      <c r="G273" s="41">
        <v>8997.23</v>
      </c>
      <c r="H273" s="42" cm="1">
        <f t="array" ref="H273">G273/I273</f>
        <v>195.591956521739</v>
      </c>
      <c r="I273" s="43" cm="1">
        <f t="array" ref="I273">I272</f>
        <v>46</v>
      </c>
      <c r="J273" s="44"/>
      <c r="K273" s="40"/>
      <c r="L273" s="35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ht="12.75" customHeight="1">
      <c r="A274" s="45">
        <v>43595</v>
      </c>
      <c r="B274" s="46"/>
      <c r="C274" t="s" s="54">
        <v>79</v>
      </c>
      <c r="D274" t="s" s="48">
        <v>295</v>
      </c>
      <c r="E274" s="49"/>
      <c r="F274" s="50"/>
      <c r="G274" s="51">
        <v>7699.83</v>
      </c>
      <c r="H274" s="52" cm="1">
        <f t="array" ref="H274">G274/I274</f>
        <v>167.387608695652</v>
      </c>
      <c r="I274" s="53" cm="1">
        <f t="array" ref="I274">I273</f>
        <v>46</v>
      </c>
      <c r="J274" s="44"/>
      <c r="K274" s="40"/>
      <c r="L274" s="35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ht="12.75" customHeight="1">
      <c r="A275" s="36">
        <v>43599</v>
      </c>
      <c r="B275" s="37"/>
      <c r="C275" t="s" s="55">
        <v>258</v>
      </c>
      <c r="D275" t="s" s="18">
        <v>296</v>
      </c>
      <c r="E275" s="39"/>
      <c r="F275" s="40"/>
      <c r="G275" s="41">
        <v>99.98999999999999</v>
      </c>
      <c r="H275" s="42" cm="1">
        <f t="array" ref="H275">G275/I275</f>
        <v>2.17369565217391</v>
      </c>
      <c r="I275" s="43" cm="1">
        <f t="array" ref="I275">I274</f>
        <v>46</v>
      </c>
      <c r="J275" s="44"/>
      <c r="K275" s="40"/>
      <c r="L275" s="35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ht="12.75" customHeight="1">
      <c r="A276" s="45">
        <v>43599</v>
      </c>
      <c r="B276" s="63">
        <v>68519</v>
      </c>
      <c r="C276" t="s" s="54">
        <v>256</v>
      </c>
      <c r="D276" t="s" s="48">
        <v>297</v>
      </c>
      <c r="E276" s="49"/>
      <c r="F276" s="50"/>
      <c r="G276" s="51">
        <v>7214.68</v>
      </c>
      <c r="H276" s="52">
        <v>155</v>
      </c>
      <c r="I276" s="53" cm="1">
        <f t="array" ref="I276">G276/H276</f>
        <v>46.5463225806452</v>
      </c>
      <c r="J276" s="44"/>
      <c r="K276" s="40"/>
      <c r="L276" s="35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ht="12.75" customHeight="1">
      <c r="A277" s="36">
        <v>43600</v>
      </c>
      <c r="B277" s="60">
        <v>12960</v>
      </c>
      <c r="C277" t="s" s="55">
        <v>235</v>
      </c>
      <c r="D277" t="s" s="18">
        <v>298</v>
      </c>
      <c r="E277" s="39"/>
      <c r="F277" s="40"/>
      <c r="G277" s="41">
        <v>4700</v>
      </c>
      <c r="H277" s="42">
        <v>105</v>
      </c>
      <c r="I277" s="43" cm="1">
        <f t="array" ref="I277">G277/H277</f>
        <v>44.7619047619048</v>
      </c>
      <c r="J277" s="44"/>
      <c r="K277" s="40"/>
      <c r="L277" s="35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ht="12.75" customHeight="1">
      <c r="A278" s="45">
        <v>43606</v>
      </c>
      <c r="B278" s="63">
        <v>13080</v>
      </c>
      <c r="C278" t="s" s="54">
        <v>235</v>
      </c>
      <c r="D278" t="s" s="48">
        <v>299</v>
      </c>
      <c r="E278" s="49"/>
      <c r="F278" s="50"/>
      <c r="G278" s="51">
        <v>771.51</v>
      </c>
      <c r="H278" s="52">
        <v>17</v>
      </c>
      <c r="I278" s="53" cm="1">
        <f t="array" ref="I278">G278/H278</f>
        <v>45.3829411764706</v>
      </c>
      <c r="J278" s="44"/>
      <c r="K278" s="40"/>
      <c r="L278" s="35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ht="12.75" customHeight="1">
      <c r="A279" s="36">
        <v>43613</v>
      </c>
      <c r="B279" s="60">
        <v>13178</v>
      </c>
      <c r="C279" t="s" s="55">
        <v>235</v>
      </c>
      <c r="D279" t="s" s="18">
        <v>300</v>
      </c>
      <c r="E279" s="39"/>
      <c r="F279" s="40"/>
      <c r="G279" s="41">
        <v>760.83</v>
      </c>
      <c r="H279" s="42">
        <v>17</v>
      </c>
      <c r="I279" s="43" cm="1">
        <f t="array" ref="I279">G279/H279</f>
        <v>44.7547058823529</v>
      </c>
      <c r="J279" s="44"/>
      <c r="K279" s="40"/>
      <c r="L279" s="35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ht="12.75" customHeight="1">
      <c r="A280" s="45">
        <v>43615</v>
      </c>
      <c r="B280" s="63">
        <v>90731</v>
      </c>
      <c r="C280" t="s" s="54">
        <v>258</v>
      </c>
      <c r="D280" t="s" s="48">
        <v>301</v>
      </c>
      <c r="E280" s="49"/>
      <c r="F280" s="50"/>
      <c r="G280" s="51">
        <v>50</v>
      </c>
      <c r="H280" s="52" cm="1">
        <f t="array" ref="H280">G280/I280</f>
        <v>1.11111111111111</v>
      </c>
      <c r="I280" s="53">
        <v>45</v>
      </c>
      <c r="J280" s="44"/>
      <c r="K280" s="40"/>
      <c r="L280" s="35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ht="12.75" customHeight="1">
      <c r="A281" s="36">
        <v>43615</v>
      </c>
      <c r="B281" s="60">
        <v>13219</v>
      </c>
      <c r="C281" t="s" s="55">
        <v>235</v>
      </c>
      <c r="D281" t="s" s="18">
        <v>302</v>
      </c>
      <c r="E281" s="39"/>
      <c r="F281" s="40"/>
      <c r="G281" s="41" cm="1">
        <f t="array" ref="G281">4686.91-950.26</f>
        <v>3736.65</v>
      </c>
      <c r="H281" s="42" cm="1">
        <f t="array" ref="H281">G281/I281</f>
        <v>83.0366666666667</v>
      </c>
      <c r="I281" s="43">
        <v>45</v>
      </c>
      <c r="J281" s="44"/>
      <c r="K281" s="40"/>
      <c r="L281" s="35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ht="12.75" customHeight="1">
      <c r="A282" s="45">
        <v>43615</v>
      </c>
      <c r="B282" s="63">
        <v>13227</v>
      </c>
      <c r="C282" t="s" s="54">
        <v>235</v>
      </c>
      <c r="D282" t="s" s="48">
        <v>302</v>
      </c>
      <c r="E282" s="49"/>
      <c r="F282" s="50"/>
      <c r="G282" s="51">
        <v>1013.65</v>
      </c>
      <c r="H282" s="52">
        <v>23</v>
      </c>
      <c r="I282" s="53" cm="1">
        <f t="array" ref="I282">G282/H282</f>
        <v>44.0717391304348</v>
      </c>
      <c r="J282" s="44"/>
      <c r="K282" s="40"/>
      <c r="L282" s="35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ht="12.75" customHeight="1">
      <c r="A283" s="36">
        <v>43620</v>
      </c>
      <c r="B283" s="60">
        <v>303</v>
      </c>
      <c r="C283" t="s" s="55">
        <v>279</v>
      </c>
      <c r="D283" t="s" s="18">
        <v>303</v>
      </c>
      <c r="E283" s="39"/>
      <c r="F283" s="40"/>
      <c r="G283" s="41">
        <v>118111.61</v>
      </c>
      <c r="H283" s="42" cm="1">
        <f t="array" ref="H283">G283/I283</f>
        <v>2624.702444444440</v>
      </c>
      <c r="I283" s="43">
        <v>45</v>
      </c>
      <c r="J283" s="44"/>
      <c r="K283" s="40"/>
      <c r="L283" s="35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ht="12.75" customHeight="1">
      <c r="A284" s="45">
        <v>43620</v>
      </c>
      <c r="B284" s="63">
        <v>13293</v>
      </c>
      <c r="C284" t="s" s="54">
        <v>235</v>
      </c>
      <c r="D284" t="s" s="48">
        <v>304</v>
      </c>
      <c r="E284" s="49"/>
      <c r="F284" s="50"/>
      <c r="G284" s="51">
        <v>8351.139999999999</v>
      </c>
      <c r="H284" s="52">
        <v>185.5</v>
      </c>
      <c r="I284" s="53" cm="1">
        <f t="array" ref="I284">I283</f>
        <v>45</v>
      </c>
      <c r="J284" s="44"/>
      <c r="K284" s="40"/>
      <c r="L284" s="35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ht="12.75" customHeight="1">
      <c r="A285" s="36">
        <v>43620</v>
      </c>
      <c r="B285" s="60">
        <v>13294</v>
      </c>
      <c r="C285" t="s" s="55">
        <v>235</v>
      </c>
      <c r="D285" t="s" s="18">
        <v>243</v>
      </c>
      <c r="E285" s="39"/>
      <c r="F285" s="40"/>
      <c r="G285" s="41">
        <v>26650.2</v>
      </c>
      <c r="H285" s="42" cm="1">
        <f t="array" ref="H285">G285/I285</f>
        <v>592.226666666667</v>
      </c>
      <c r="I285" s="43" cm="1">
        <f t="array" ref="I285">I284</f>
        <v>45</v>
      </c>
      <c r="J285" s="44"/>
      <c r="K285" s="40"/>
      <c r="L285" s="35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ht="12.75" customHeight="1">
      <c r="A286" s="45">
        <v>43621</v>
      </c>
      <c r="B286" s="63">
        <v>13312</v>
      </c>
      <c r="C286" t="s" s="54">
        <v>235</v>
      </c>
      <c r="D286" t="s" s="48">
        <v>305</v>
      </c>
      <c r="E286" s="49"/>
      <c r="F286" s="50"/>
      <c r="G286" s="51">
        <v>2483.93</v>
      </c>
      <c r="H286" s="52">
        <v>56</v>
      </c>
      <c r="I286" s="53" cm="1">
        <f t="array" ref="I286">I285</f>
        <v>45</v>
      </c>
      <c r="J286" s="44"/>
      <c r="K286" s="40"/>
      <c r="L286" s="35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ht="12.75" customHeight="1">
      <c r="A287" s="36">
        <v>43621</v>
      </c>
      <c r="B287" s="60">
        <v>13314</v>
      </c>
      <c r="C287" t="s" s="55">
        <v>235</v>
      </c>
      <c r="D287" t="s" s="18">
        <v>306</v>
      </c>
      <c r="E287" s="39"/>
      <c r="F287" s="40"/>
      <c r="G287" s="41">
        <v>4400.54</v>
      </c>
      <c r="H287" s="42">
        <v>98</v>
      </c>
      <c r="I287" s="43" cm="1">
        <f t="array" ref="I287">I286</f>
        <v>45</v>
      </c>
      <c r="J287" s="44"/>
      <c r="K287" s="40"/>
      <c r="L287" s="35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ht="12.75" customHeight="1">
      <c r="A288" s="45">
        <v>43622</v>
      </c>
      <c r="B288" s="46"/>
      <c r="C288" t="s" s="54">
        <v>14</v>
      </c>
      <c r="D288" t="s" s="48">
        <v>307</v>
      </c>
      <c r="E288" s="49"/>
      <c r="F288" s="50"/>
      <c r="G288" s="51">
        <v>905.36</v>
      </c>
      <c r="H288" s="52" cm="1">
        <f t="array" ref="H288">G288/I288</f>
        <v>20.1191111111111</v>
      </c>
      <c r="I288" s="53">
        <v>45</v>
      </c>
      <c r="J288" s="44"/>
      <c r="K288" s="40"/>
      <c r="L288" s="35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ht="12.75" customHeight="1">
      <c r="A289" s="36">
        <v>43623</v>
      </c>
      <c r="B289" s="37"/>
      <c r="C289" t="s" s="55">
        <v>79</v>
      </c>
      <c r="D289" t="s" s="18">
        <v>308</v>
      </c>
      <c r="E289" s="39"/>
      <c r="F289" s="40"/>
      <c r="G289" s="41">
        <v>3860.72</v>
      </c>
      <c r="H289" s="42" cm="1">
        <f t="array" ref="H289">G289/I289</f>
        <v>85.79377777777781</v>
      </c>
      <c r="I289" s="43" cm="1">
        <f t="array" ref="I289">45</f>
        <v>45</v>
      </c>
      <c r="J289" s="44"/>
      <c r="K289" s="40"/>
      <c r="L289" s="35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ht="12.75" customHeight="1">
      <c r="A290" s="45">
        <v>43626</v>
      </c>
      <c r="B290" s="46"/>
      <c r="C290" t="s" s="54">
        <v>21</v>
      </c>
      <c r="D290" t="s" s="48">
        <v>309</v>
      </c>
      <c r="E290" s="49"/>
      <c r="F290" s="50"/>
      <c r="G290" s="51">
        <v>8997.23</v>
      </c>
      <c r="H290" s="52" cm="1">
        <f t="array" ref="H290">G290/I290</f>
        <v>199.938444444444</v>
      </c>
      <c r="I290" s="53" cm="1">
        <f t="array" ref="I290">I289</f>
        <v>45</v>
      </c>
      <c r="J290" s="44"/>
      <c r="K290" s="40"/>
      <c r="L290" s="35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ht="12.75" customHeight="1">
      <c r="A291" s="36">
        <v>43626</v>
      </c>
      <c r="B291" s="60">
        <v>13775</v>
      </c>
      <c r="C291" t="s" s="55">
        <v>258</v>
      </c>
      <c r="D291" t="s" s="18">
        <v>310</v>
      </c>
      <c r="E291" s="39"/>
      <c r="F291" s="40"/>
      <c r="G291" s="41">
        <v>5660</v>
      </c>
      <c r="H291" s="42">
        <v>123.5</v>
      </c>
      <c r="I291" s="43" cm="1">
        <f t="array" ref="I291">G291/H291</f>
        <v>45.829959514170</v>
      </c>
      <c r="J291" s="44"/>
      <c r="K291" s="40"/>
      <c r="L291" s="35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ht="12.75" customHeight="1">
      <c r="A292" s="45">
        <v>43627</v>
      </c>
      <c r="B292" s="63">
        <v>15727</v>
      </c>
      <c r="C292" t="s" s="54">
        <v>256</v>
      </c>
      <c r="D292" t="s" s="48">
        <v>311</v>
      </c>
      <c r="E292" s="49"/>
      <c r="F292" s="50"/>
      <c r="G292" s="51">
        <v>703.9299999999999</v>
      </c>
      <c r="H292" s="52" cm="1">
        <f t="array" ref="H292">G292/I292</f>
        <v>15.6428888888889</v>
      </c>
      <c r="I292" s="53">
        <v>45</v>
      </c>
      <c r="J292" s="44"/>
      <c r="K292" s="40"/>
      <c r="L292" s="35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ht="12.75" customHeight="1">
      <c r="A293" s="36">
        <v>43629</v>
      </c>
      <c r="B293" s="60">
        <v>63</v>
      </c>
      <c r="C293" t="s" s="55">
        <v>258</v>
      </c>
      <c r="D293" t="s" s="18">
        <v>312</v>
      </c>
      <c r="E293" s="39"/>
      <c r="F293" s="40"/>
      <c r="G293" s="41">
        <v>1620</v>
      </c>
      <c r="H293" s="42" cm="1">
        <f t="array" ref="H293">G293/I293</f>
        <v>36</v>
      </c>
      <c r="I293" s="43" cm="1">
        <f t="array" ref="I293">I292</f>
        <v>45</v>
      </c>
      <c r="J293" s="44"/>
      <c r="K293" s="40"/>
      <c r="L293" s="35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ht="12.75" customHeight="1">
      <c r="A294" s="45">
        <v>43629</v>
      </c>
      <c r="B294" s="63">
        <v>69081</v>
      </c>
      <c r="C294" t="s" s="54">
        <v>256</v>
      </c>
      <c r="D294" t="s" s="48">
        <v>313</v>
      </c>
      <c r="E294" s="49"/>
      <c r="F294" s="50"/>
      <c r="G294" s="51">
        <v>1679.95</v>
      </c>
      <c r="H294" s="52">
        <v>38</v>
      </c>
      <c r="I294" s="53" cm="1">
        <f t="array" ref="I294">I293</f>
        <v>45</v>
      </c>
      <c r="J294" s="44"/>
      <c r="K294" s="40"/>
      <c r="L294" s="35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ht="12.75" customHeight="1">
      <c r="A295" s="36">
        <v>43630</v>
      </c>
      <c r="B295" s="60">
        <v>5952</v>
      </c>
      <c r="C295" t="s" s="55">
        <v>47</v>
      </c>
      <c r="D295" t="s" s="18">
        <v>314</v>
      </c>
      <c r="E295" s="39"/>
      <c r="F295" s="40"/>
      <c r="G295" s="41">
        <v>849.62</v>
      </c>
      <c r="H295" s="42">
        <v>19</v>
      </c>
      <c r="I295" s="43" cm="1">
        <f t="array" ref="I295">I294</f>
        <v>45</v>
      </c>
      <c r="J295" s="44"/>
      <c r="K295" s="40"/>
      <c r="L295" s="35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ht="12.75" customHeight="1">
      <c r="A296" s="45">
        <v>43631</v>
      </c>
      <c r="B296" s="63">
        <v>13470</v>
      </c>
      <c r="C296" t="s" s="54">
        <v>235</v>
      </c>
      <c r="D296" t="s" s="48">
        <v>315</v>
      </c>
      <c r="E296" s="49"/>
      <c r="F296" s="50"/>
      <c r="G296" s="51">
        <v>2498.41</v>
      </c>
      <c r="H296" s="52">
        <v>55</v>
      </c>
      <c r="I296" s="53" cm="1">
        <f t="array" ref="I296">I295</f>
        <v>45</v>
      </c>
      <c r="J296" s="44"/>
      <c r="K296" s="40"/>
      <c r="L296" s="35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ht="12.75" customHeight="1">
      <c r="A297" s="36">
        <v>43631</v>
      </c>
      <c r="B297" s="60">
        <v>4583</v>
      </c>
      <c r="C297" t="s" s="55">
        <v>258</v>
      </c>
      <c r="D297" t="s" s="18">
        <v>316</v>
      </c>
      <c r="E297" s="39"/>
      <c r="F297" s="40"/>
      <c r="G297" s="41">
        <v>134.97</v>
      </c>
      <c r="H297" s="42" cm="1">
        <f t="array" ref="H297">G297/I297</f>
        <v>2.99933333333333</v>
      </c>
      <c r="I297" s="43" cm="1">
        <f t="array" ref="I297">I296</f>
        <v>45</v>
      </c>
      <c r="J297" s="44"/>
      <c r="K297" s="40"/>
      <c r="L297" s="35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ht="12.75" customHeight="1">
      <c r="A298" s="45">
        <v>43635</v>
      </c>
      <c r="B298" s="63">
        <v>13547</v>
      </c>
      <c r="C298" t="s" s="54">
        <v>235</v>
      </c>
      <c r="D298" t="s" s="48">
        <v>317</v>
      </c>
      <c r="E298" s="49"/>
      <c r="F298" s="50"/>
      <c r="G298" s="51">
        <v>624.2</v>
      </c>
      <c r="H298" s="52">
        <v>14</v>
      </c>
      <c r="I298" s="53" cm="1">
        <f t="array" ref="I298">I297</f>
        <v>45</v>
      </c>
      <c r="J298" s="44"/>
      <c r="K298" s="40"/>
      <c r="L298" s="35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ht="12.75" customHeight="1">
      <c r="A299" s="36">
        <v>43635</v>
      </c>
      <c r="B299" s="60">
        <v>13548</v>
      </c>
      <c r="C299" t="s" s="55">
        <v>235</v>
      </c>
      <c r="D299" t="s" s="18">
        <v>318</v>
      </c>
      <c r="E299" s="39"/>
      <c r="F299" s="40"/>
      <c r="G299" s="41">
        <v>288.83</v>
      </c>
      <c r="H299" s="42">
        <v>6.5</v>
      </c>
      <c r="I299" s="43" cm="1">
        <f t="array" ref="I299">I298</f>
        <v>45</v>
      </c>
      <c r="J299" s="44"/>
      <c r="K299" s="40"/>
      <c r="L299" s="35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ht="12.75" customHeight="1">
      <c r="A300" s="45">
        <v>43635</v>
      </c>
      <c r="B300" s="46"/>
      <c r="C300" t="s" s="54">
        <v>258</v>
      </c>
      <c r="D300" t="s" s="48">
        <v>319</v>
      </c>
      <c r="E300" s="49"/>
      <c r="F300" s="50"/>
      <c r="G300" s="51">
        <v>2200</v>
      </c>
      <c r="H300" s="52" cm="1">
        <f t="array" ref="H300">G300/I300</f>
        <v>48.8888888888889</v>
      </c>
      <c r="I300" s="53">
        <v>45</v>
      </c>
      <c r="J300" s="44"/>
      <c r="K300" s="40"/>
      <c r="L300" s="35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ht="12.75" customHeight="1">
      <c r="A301" s="36">
        <v>43638</v>
      </c>
      <c r="B301" s="60">
        <v>69218</v>
      </c>
      <c r="C301" t="s" s="55">
        <v>256</v>
      </c>
      <c r="D301" t="s" s="18">
        <v>320</v>
      </c>
      <c r="E301" s="39"/>
      <c r="F301" s="40"/>
      <c r="G301" s="41">
        <v>334.81</v>
      </c>
      <c r="H301" s="42">
        <v>8</v>
      </c>
      <c r="I301" s="43">
        <v>45</v>
      </c>
      <c r="J301" t="s" s="55">
        <v>321</v>
      </c>
      <c r="K301" s="40"/>
      <c r="L301" s="35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ht="12.75" customHeight="1">
      <c r="A302" s="45">
        <v>43640</v>
      </c>
      <c r="B302" s="63">
        <v>13622</v>
      </c>
      <c r="C302" t="s" s="54">
        <v>235</v>
      </c>
      <c r="D302" t="s" s="48">
        <v>322</v>
      </c>
      <c r="E302" s="49"/>
      <c r="F302" s="50"/>
      <c r="G302" s="51">
        <v>861.47</v>
      </c>
      <c r="H302" s="52">
        <v>20</v>
      </c>
      <c r="I302" s="53">
        <v>43.07</v>
      </c>
      <c r="J302" s="44"/>
      <c r="K302" s="40"/>
      <c r="L302" s="35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ht="12.75" customHeight="1">
      <c r="A303" s="36">
        <v>43640</v>
      </c>
      <c r="B303" s="60">
        <v>13623</v>
      </c>
      <c r="C303" t="s" s="55">
        <v>235</v>
      </c>
      <c r="D303" t="s" s="18">
        <v>323</v>
      </c>
      <c r="E303" s="39"/>
      <c r="F303" s="40"/>
      <c r="G303" s="41">
        <v>2941.43</v>
      </c>
      <c r="H303" s="42">
        <v>65</v>
      </c>
      <c r="I303" s="43">
        <v>45.25</v>
      </c>
      <c r="J303" s="44"/>
      <c r="K303" s="40"/>
      <c r="L303" s="35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ht="12.75" customHeight="1">
      <c r="A304" s="45">
        <v>43640</v>
      </c>
      <c r="B304" s="63">
        <v>13614</v>
      </c>
      <c r="C304" t="s" s="54">
        <v>235</v>
      </c>
      <c r="D304" t="s" s="48">
        <v>324</v>
      </c>
      <c r="E304" s="49"/>
      <c r="F304" s="50"/>
      <c r="G304" s="51">
        <v>7185.6</v>
      </c>
      <c r="H304" s="52">
        <v>160</v>
      </c>
      <c r="I304" s="53">
        <v>44.91</v>
      </c>
      <c r="J304" s="44"/>
      <c r="K304" s="40"/>
      <c r="L304" s="35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ht="12.75" customHeight="1">
      <c r="A305" s="36">
        <v>43640</v>
      </c>
      <c r="B305" s="60">
        <v>13599</v>
      </c>
      <c r="C305" t="s" s="55">
        <v>235</v>
      </c>
      <c r="D305" t="s" s="18">
        <v>325</v>
      </c>
      <c r="E305" s="39"/>
      <c r="F305" s="40"/>
      <c r="G305" s="41">
        <v>186884.64</v>
      </c>
      <c r="H305" s="42">
        <v>4152</v>
      </c>
      <c r="I305" s="43">
        <v>45</v>
      </c>
      <c r="J305" s="44"/>
      <c r="K305" s="40"/>
      <c r="L305" s="35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ht="12.75" customHeight="1">
      <c r="A306" s="45">
        <v>43641</v>
      </c>
      <c r="B306" s="63">
        <v>5973</v>
      </c>
      <c r="C306" t="s" s="54">
        <v>47</v>
      </c>
      <c r="D306" t="s" s="48">
        <v>326</v>
      </c>
      <c r="E306" s="49"/>
      <c r="F306" s="50"/>
      <c r="G306" s="51">
        <v>184000.86</v>
      </c>
      <c r="H306" s="52">
        <v>4185</v>
      </c>
      <c r="I306" s="53">
        <v>43.96</v>
      </c>
      <c r="J306" s="44"/>
      <c r="K306" s="40"/>
      <c r="L306" s="35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ht="12.75" customHeight="1">
      <c r="A307" s="36">
        <v>43641</v>
      </c>
      <c r="B307" s="60">
        <v>69252</v>
      </c>
      <c r="C307" t="s" s="55">
        <v>256</v>
      </c>
      <c r="D307" t="s" s="18">
        <v>320</v>
      </c>
      <c r="E307" s="39"/>
      <c r="F307" s="40"/>
      <c r="G307" s="41">
        <v>334.81</v>
      </c>
      <c r="H307" s="42">
        <v>8</v>
      </c>
      <c r="I307" s="43">
        <v>42</v>
      </c>
      <c r="J307" s="44"/>
      <c r="K307" s="40"/>
      <c r="L307" s="35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ht="12.75" customHeight="1">
      <c r="A308" s="45">
        <v>43647</v>
      </c>
      <c r="B308" s="63">
        <v>69369</v>
      </c>
      <c r="C308" t="s" s="54">
        <v>256</v>
      </c>
      <c r="D308" t="s" s="48">
        <v>320</v>
      </c>
      <c r="E308" s="49"/>
      <c r="F308" s="50"/>
      <c r="G308" s="51">
        <v>334.81</v>
      </c>
      <c r="H308" s="52">
        <v>7.6</v>
      </c>
      <c r="I308" s="53">
        <v>44.05</v>
      </c>
      <c r="J308" s="44"/>
      <c r="K308" s="40"/>
      <c r="L308" s="35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ht="12.75" customHeight="1">
      <c r="A309" s="36">
        <v>43649</v>
      </c>
      <c r="B309" s="60">
        <v>306</v>
      </c>
      <c r="C309" t="s" s="55">
        <v>279</v>
      </c>
      <c r="D309" t="s" s="18">
        <v>327</v>
      </c>
      <c r="E309" s="39"/>
      <c r="F309" s="40"/>
      <c r="G309" s="41">
        <v>112589.51</v>
      </c>
      <c r="H309" s="42">
        <v>2560</v>
      </c>
      <c r="I309" s="43">
        <v>43.98</v>
      </c>
      <c r="J309" s="44"/>
      <c r="K309" s="40"/>
      <c r="L309" s="35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ht="12.75" customHeight="1">
      <c r="A310" s="45">
        <v>43649</v>
      </c>
      <c r="B310" s="63">
        <v>13776</v>
      </c>
      <c r="C310" t="s" s="54">
        <v>235</v>
      </c>
      <c r="D310" t="s" s="48">
        <v>328</v>
      </c>
      <c r="E310" s="49"/>
      <c r="F310" s="50"/>
      <c r="G310" s="51">
        <v>3550.67</v>
      </c>
      <c r="H310" s="52">
        <v>80</v>
      </c>
      <c r="I310" s="53">
        <v>44.38</v>
      </c>
      <c r="J310" s="44"/>
      <c r="K310" s="40"/>
      <c r="L310" s="35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ht="12.75" customHeight="1">
      <c r="A311" s="36">
        <v>43649</v>
      </c>
      <c r="B311" s="60">
        <v>13777</v>
      </c>
      <c r="C311" t="s" s="55">
        <v>235</v>
      </c>
      <c r="D311" t="s" s="18">
        <v>329</v>
      </c>
      <c r="E311" s="39"/>
      <c r="F311" s="40"/>
      <c r="G311" s="41">
        <v>429.97</v>
      </c>
      <c r="H311" s="42">
        <v>10</v>
      </c>
      <c r="I311" s="43">
        <v>42.99</v>
      </c>
      <c r="J311" s="44"/>
      <c r="K311" s="40"/>
      <c r="L311" s="35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ht="12.75" customHeight="1">
      <c r="A312" s="45">
        <v>43649</v>
      </c>
      <c r="B312" s="63">
        <v>13778</v>
      </c>
      <c r="C312" t="s" s="54">
        <v>235</v>
      </c>
      <c r="D312" t="s" s="48">
        <v>330</v>
      </c>
      <c r="E312" s="49"/>
      <c r="F312" s="50"/>
      <c r="G312" s="51">
        <v>859.4400000000001</v>
      </c>
      <c r="H312" s="52">
        <v>20</v>
      </c>
      <c r="I312" s="53" cm="1">
        <f t="array" ref="I312">I311</f>
        <v>42.99</v>
      </c>
      <c r="J312" s="44"/>
      <c r="K312" s="40"/>
      <c r="L312" s="35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ht="12.75" customHeight="1">
      <c r="A313" s="36">
        <v>43649</v>
      </c>
      <c r="B313" s="60">
        <v>13780</v>
      </c>
      <c r="C313" t="s" s="55">
        <v>235</v>
      </c>
      <c r="D313" t="s" s="18">
        <v>243</v>
      </c>
      <c r="E313" s="39"/>
      <c r="F313" s="40"/>
      <c r="G313" s="41">
        <v>519.13</v>
      </c>
      <c r="H313" s="42">
        <v>12</v>
      </c>
      <c r="I313" s="43">
        <v>43.26</v>
      </c>
      <c r="J313" s="44"/>
      <c r="K313" s="40"/>
      <c r="L313" s="35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ht="12.75" customHeight="1">
      <c r="A314" s="45">
        <v>43650</v>
      </c>
      <c r="B314" s="63">
        <v>69461</v>
      </c>
      <c r="C314" t="s" s="54">
        <v>256</v>
      </c>
      <c r="D314" t="s" s="48">
        <v>320</v>
      </c>
      <c r="E314" s="49"/>
      <c r="F314" s="50"/>
      <c r="G314" s="51">
        <v>334.81</v>
      </c>
      <c r="H314" s="52">
        <v>7.8</v>
      </c>
      <c r="I314" s="53">
        <v>43</v>
      </c>
      <c r="J314" s="44"/>
      <c r="K314" s="40"/>
      <c r="L314" s="35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ht="12.75" customHeight="1">
      <c r="A315" s="36">
        <v>43651</v>
      </c>
      <c r="B315" s="60">
        <v>13830</v>
      </c>
      <c r="C315" t="s" s="55">
        <v>235</v>
      </c>
      <c r="D315" t="s" s="18">
        <v>331</v>
      </c>
      <c r="E315" s="39"/>
      <c r="F315" s="40"/>
      <c r="G315" s="41">
        <v>526.6</v>
      </c>
      <c r="H315" s="42">
        <v>12</v>
      </c>
      <c r="I315" s="43">
        <v>43.88</v>
      </c>
      <c r="J315" s="44"/>
      <c r="K315" s="40"/>
      <c r="L315" s="35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ht="12.75" customHeight="1">
      <c r="A316" s="45">
        <v>43656</v>
      </c>
      <c r="B316" s="63">
        <v>13867</v>
      </c>
      <c r="C316" t="s" s="54">
        <v>235</v>
      </c>
      <c r="D316" t="s" s="48">
        <v>332</v>
      </c>
      <c r="E316" s="49"/>
      <c r="F316" s="50"/>
      <c r="G316" s="51">
        <v>540</v>
      </c>
      <c r="H316" s="52">
        <v>13</v>
      </c>
      <c r="I316" s="53">
        <v>41.53</v>
      </c>
      <c r="J316" s="44"/>
      <c r="K316" s="40"/>
      <c r="L316" s="35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ht="12.75" customHeight="1">
      <c r="A317" s="36">
        <v>43656</v>
      </c>
      <c r="B317" s="37"/>
      <c r="C317" t="s" s="55">
        <v>79</v>
      </c>
      <c r="D317" t="s" s="18">
        <v>333</v>
      </c>
      <c r="E317" s="39"/>
      <c r="F317" s="40"/>
      <c r="G317" s="41">
        <v>3861.51</v>
      </c>
      <c r="H317" s="42">
        <v>90</v>
      </c>
      <c r="I317" s="43">
        <v>42.9</v>
      </c>
      <c r="J317" s="44"/>
      <c r="K317" s="40"/>
      <c r="L317" s="35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ht="12.75" customHeight="1">
      <c r="A318" s="45">
        <v>43657</v>
      </c>
      <c r="B318" s="63">
        <v>13892</v>
      </c>
      <c r="C318" t="s" s="54">
        <v>235</v>
      </c>
      <c r="D318" t="s" s="48">
        <v>334</v>
      </c>
      <c r="E318" s="49"/>
      <c r="F318" s="50"/>
      <c r="G318" s="51">
        <v>10659.4</v>
      </c>
      <c r="H318" s="52">
        <v>242</v>
      </c>
      <c r="I318" s="53">
        <v>44.04</v>
      </c>
      <c r="J318" s="44"/>
      <c r="K318" s="40"/>
      <c r="L318" s="35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ht="12.75" customHeight="1">
      <c r="A319" s="36">
        <v>43657</v>
      </c>
      <c r="B319" s="60">
        <v>13893</v>
      </c>
      <c r="C319" t="s" s="55">
        <v>235</v>
      </c>
      <c r="D319" t="s" s="18">
        <v>335</v>
      </c>
      <c r="E319" s="39"/>
      <c r="F319" s="40"/>
      <c r="G319" s="41">
        <v>50823.85</v>
      </c>
      <c r="H319" s="42">
        <v>1156</v>
      </c>
      <c r="I319" s="43">
        <v>43.96</v>
      </c>
      <c r="J319" s="44"/>
      <c r="K319" s="40"/>
      <c r="L319" s="35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ht="12.75" customHeight="1">
      <c r="A320" s="45">
        <v>43657</v>
      </c>
      <c r="B320" s="63">
        <v>13921</v>
      </c>
      <c r="C320" t="s" s="54">
        <v>235</v>
      </c>
      <c r="D320" t="s" s="48">
        <v>336</v>
      </c>
      <c r="E320" s="49"/>
      <c r="F320" s="50"/>
      <c r="G320" s="51">
        <v>680</v>
      </c>
      <c r="H320" s="52">
        <v>15.5</v>
      </c>
      <c r="I320" s="53">
        <v>43.87</v>
      </c>
      <c r="J320" s="44"/>
      <c r="K320" s="40"/>
      <c r="L320" s="35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ht="12.75" customHeight="1">
      <c r="A321" s="36">
        <v>43661</v>
      </c>
      <c r="B321" s="60">
        <v>13943</v>
      </c>
      <c r="C321" t="s" s="55">
        <v>235</v>
      </c>
      <c r="D321" t="s" s="18">
        <v>337</v>
      </c>
      <c r="E321" s="39"/>
      <c r="F321" s="40"/>
      <c r="G321" s="41">
        <v>5000</v>
      </c>
      <c r="H321" s="42">
        <v>115</v>
      </c>
      <c r="I321" s="43">
        <v>43.47</v>
      </c>
      <c r="J321" s="44"/>
      <c r="K321" s="40"/>
      <c r="L321" s="35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ht="12.75" customHeight="1">
      <c r="A322" s="45">
        <v>43662</v>
      </c>
      <c r="B322" s="63">
        <v>840</v>
      </c>
      <c r="C322" t="s" s="54">
        <v>235</v>
      </c>
      <c r="D322" t="s" s="48">
        <v>323</v>
      </c>
      <c r="E322" s="88"/>
      <c r="F322" s="89"/>
      <c r="G322" s="57">
        <v>1960.96</v>
      </c>
      <c r="H322" s="50">
        <v>45</v>
      </c>
      <c r="I322" s="53" cm="1">
        <f t="array" ref="I322">I321</f>
        <v>43.47</v>
      </c>
      <c r="J322" s="44"/>
      <c r="K322" s="40"/>
      <c r="L322" s="35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ht="12.75" customHeight="1">
      <c r="A323" s="36">
        <v>43664</v>
      </c>
      <c r="B323" s="60">
        <v>3853</v>
      </c>
      <c r="C323" t="s" s="55">
        <v>256</v>
      </c>
      <c r="D323" t="s" s="18">
        <v>338</v>
      </c>
      <c r="E323" s="90"/>
      <c r="F323" s="91"/>
      <c r="G323" s="41">
        <v>1991.77</v>
      </c>
      <c r="H323" s="42">
        <v>44</v>
      </c>
      <c r="I323" s="43">
        <v>45.26</v>
      </c>
      <c r="J323" s="44"/>
      <c r="K323" s="40"/>
      <c r="L323" s="35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ht="12.75" customHeight="1">
      <c r="A324" s="45">
        <v>43665</v>
      </c>
      <c r="B324" s="46"/>
      <c r="C324" t="s" s="54">
        <v>14</v>
      </c>
      <c r="D324" t="s" s="48">
        <v>339</v>
      </c>
      <c r="E324" s="49"/>
      <c r="F324" s="50"/>
      <c r="G324" s="51">
        <v>1309.3</v>
      </c>
      <c r="H324" s="52">
        <v>25</v>
      </c>
      <c r="I324" s="53">
        <v>42.19</v>
      </c>
      <c r="J324" s="44"/>
      <c r="K324" s="40"/>
      <c r="L324" s="35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ht="12.75" customHeight="1">
      <c r="A325" s="36">
        <v>43666</v>
      </c>
      <c r="B325" s="60">
        <v>69735</v>
      </c>
      <c r="C325" t="s" s="55">
        <v>256</v>
      </c>
      <c r="D325" t="s" s="18">
        <v>340</v>
      </c>
      <c r="E325" s="39"/>
      <c r="F325" s="40"/>
      <c r="G325" s="41">
        <v>12817.66</v>
      </c>
      <c r="H325" s="42">
        <v>285</v>
      </c>
      <c r="I325" s="43">
        <v>44.97</v>
      </c>
      <c r="J325" s="44"/>
      <c r="K325" s="40"/>
      <c r="L325" s="35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ht="12.75" customHeight="1">
      <c r="A326" t="s" s="84">
        <v>341</v>
      </c>
      <c r="B326" s="63">
        <v>14066</v>
      </c>
      <c r="C326" t="s" s="54">
        <v>235</v>
      </c>
      <c r="D326" t="s" s="48">
        <v>342</v>
      </c>
      <c r="E326" s="49"/>
      <c r="F326" s="50"/>
      <c r="G326" s="51">
        <v>2859.19</v>
      </c>
      <c r="H326" s="52">
        <v>65</v>
      </c>
      <c r="I326" s="53">
        <v>44</v>
      </c>
      <c r="J326" s="44"/>
      <c r="K326" s="40"/>
      <c r="L326" s="35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ht="12.75" customHeight="1">
      <c r="A327" t="s" s="17">
        <v>341</v>
      </c>
      <c r="B327" s="60">
        <v>14076</v>
      </c>
      <c r="C327" t="s" s="55">
        <v>235</v>
      </c>
      <c r="D327" t="s" s="18">
        <v>343</v>
      </c>
      <c r="E327" s="39"/>
      <c r="F327" s="40"/>
      <c r="G327" s="41">
        <v>2852.98</v>
      </c>
      <c r="H327" s="42">
        <v>65</v>
      </c>
      <c r="I327" s="43" cm="1">
        <f t="array" ref="I327">I326</f>
        <v>44</v>
      </c>
      <c r="J327" s="44"/>
      <c r="K327" s="40"/>
      <c r="L327" s="35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ht="12.75" customHeight="1">
      <c r="A328" s="45">
        <v>43670</v>
      </c>
      <c r="B328" s="63">
        <v>4936</v>
      </c>
      <c r="C328" t="s" s="54">
        <v>256</v>
      </c>
      <c r="D328" t="s" s="48">
        <v>344</v>
      </c>
      <c r="E328" s="49"/>
      <c r="F328" s="50"/>
      <c r="G328" s="51">
        <v>1344.8</v>
      </c>
      <c r="H328" s="52">
        <v>30</v>
      </c>
      <c r="I328" s="53">
        <v>44.82</v>
      </c>
      <c r="J328" s="44"/>
      <c r="K328" s="40"/>
      <c r="L328" s="35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ht="12.75" customHeight="1">
      <c r="A329" s="36">
        <v>43676</v>
      </c>
      <c r="B329" s="60">
        <v>14214</v>
      </c>
      <c r="C329" t="s" s="55">
        <v>235</v>
      </c>
      <c r="D329" t="s" s="18">
        <v>345</v>
      </c>
      <c r="E329" s="39"/>
      <c r="F329" s="40"/>
      <c r="G329" s="41">
        <v>2434.76</v>
      </c>
      <c r="H329" s="42">
        <v>54</v>
      </c>
      <c r="I329" s="43">
        <v>45.08</v>
      </c>
      <c r="J329" s="44"/>
      <c r="K329" s="40"/>
      <c r="L329" s="35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ht="12.75" customHeight="1">
      <c r="A330" s="45">
        <v>43678</v>
      </c>
      <c r="B330" s="63">
        <v>14712</v>
      </c>
      <c r="C330" t="s" s="54">
        <v>346</v>
      </c>
      <c r="D330" t="s" s="48">
        <v>347</v>
      </c>
      <c r="E330" s="49"/>
      <c r="F330" s="50"/>
      <c r="G330" s="51">
        <v>1608.56</v>
      </c>
      <c r="H330" s="52">
        <v>36</v>
      </c>
      <c r="I330" s="53">
        <v>44.68</v>
      </c>
      <c r="J330" s="44"/>
      <c r="K330" s="40"/>
      <c r="L330" s="35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ht="12.75" customHeight="1">
      <c r="A331" s="36">
        <v>43678</v>
      </c>
      <c r="B331" s="60">
        <v>69974</v>
      </c>
      <c r="C331" t="s" s="55">
        <v>256</v>
      </c>
      <c r="D331" t="s" s="18">
        <v>320</v>
      </c>
      <c r="E331" s="39"/>
      <c r="F331" s="40"/>
      <c r="G331" s="41">
        <v>1000.29</v>
      </c>
      <c r="H331" s="42">
        <v>22</v>
      </c>
      <c r="I331" s="43">
        <v>45.46</v>
      </c>
      <c r="J331" s="44"/>
      <c r="K331" s="40"/>
      <c r="L331" s="35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ht="12.75" customHeight="1">
      <c r="A332" s="45">
        <v>43678</v>
      </c>
      <c r="B332" s="63">
        <v>26060</v>
      </c>
      <c r="C332" t="s" s="54">
        <v>47</v>
      </c>
      <c r="D332" t="s" s="48">
        <v>348</v>
      </c>
      <c r="E332" s="49"/>
      <c r="F332" s="50"/>
      <c r="G332" s="51">
        <v>6962.81</v>
      </c>
      <c r="H332" s="52">
        <v>155</v>
      </c>
      <c r="I332" s="53">
        <v>44.92</v>
      </c>
      <c r="J332" s="44"/>
      <c r="K332" s="40"/>
      <c r="L332" s="35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ht="12.75" customHeight="1">
      <c r="A333" s="36">
        <v>43682</v>
      </c>
      <c r="B333" s="60">
        <v>4785</v>
      </c>
      <c r="C333" t="s" s="55">
        <v>349</v>
      </c>
      <c r="D333" t="s" s="18">
        <v>350</v>
      </c>
      <c r="E333" s="39"/>
      <c r="F333" s="40"/>
      <c r="G333" s="41">
        <v>119.98</v>
      </c>
      <c r="H333" s="42">
        <v>2.5</v>
      </c>
      <c r="I333" s="43">
        <v>48</v>
      </c>
      <c r="J333" s="44"/>
      <c r="K333" s="40"/>
      <c r="L333" s="35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ht="12.75" customHeight="1">
      <c r="A334" s="45">
        <v>43684</v>
      </c>
      <c r="B334" s="63">
        <v>14343</v>
      </c>
      <c r="C334" t="s" s="54">
        <v>235</v>
      </c>
      <c r="D334" t="s" s="48">
        <v>351</v>
      </c>
      <c r="E334" s="49"/>
      <c r="F334" s="50"/>
      <c r="G334" s="51">
        <v>818.89</v>
      </c>
      <c r="H334" s="52">
        <v>18</v>
      </c>
      <c r="I334" s="53">
        <v>45.49</v>
      </c>
      <c r="J334" s="44"/>
      <c r="K334" s="40"/>
      <c r="L334" s="35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ht="12.75" customHeight="1">
      <c r="A335" s="36">
        <v>43686</v>
      </c>
      <c r="B335" s="60">
        <v>312</v>
      </c>
      <c r="C335" t="s" s="55">
        <v>279</v>
      </c>
      <c r="D335" t="s" s="18">
        <v>352</v>
      </c>
      <c r="E335" s="39"/>
      <c r="F335" s="40"/>
      <c r="G335" s="41">
        <v>83598.48</v>
      </c>
      <c r="H335" s="42">
        <v>1860</v>
      </c>
      <c r="I335" s="43">
        <v>44.94</v>
      </c>
      <c r="J335" s="44"/>
      <c r="K335" s="40"/>
      <c r="L335" s="35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ht="12.75" customHeight="1">
      <c r="A336" s="45">
        <v>43686</v>
      </c>
      <c r="B336" s="46"/>
      <c r="C336" t="s" s="54">
        <v>79</v>
      </c>
      <c r="D336" t="s" s="48">
        <v>353</v>
      </c>
      <c r="E336" s="49"/>
      <c r="F336" s="50"/>
      <c r="G336" s="51">
        <v>4459.22</v>
      </c>
      <c r="H336" s="52">
        <v>100</v>
      </c>
      <c r="I336" s="53">
        <v>44.59</v>
      </c>
      <c r="J336" s="44"/>
      <c r="K336" s="40"/>
      <c r="L336" s="35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ht="12.75" customHeight="1">
      <c r="A337" t="s" s="17">
        <v>354</v>
      </c>
      <c r="B337" s="60">
        <v>14588</v>
      </c>
      <c r="C337" t="s" s="55">
        <v>235</v>
      </c>
      <c r="D337" t="s" s="18">
        <v>355</v>
      </c>
      <c r="E337" s="39"/>
      <c r="F337" s="40"/>
      <c r="G337" s="41">
        <v>16367.96</v>
      </c>
      <c r="H337" s="42">
        <v>288</v>
      </c>
      <c r="I337" s="43">
        <v>56.83</v>
      </c>
      <c r="J337" s="44"/>
      <c r="K337" s="40"/>
      <c r="L337" s="35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ht="12.75" customHeight="1">
      <c r="A338" t="s" s="84">
        <v>356</v>
      </c>
      <c r="B338" s="63">
        <v>481</v>
      </c>
      <c r="C338" t="s" s="54">
        <v>357</v>
      </c>
      <c r="D338" t="s" s="48">
        <v>358</v>
      </c>
      <c r="E338" s="49"/>
      <c r="F338" s="50"/>
      <c r="G338" s="51">
        <v>981600.02</v>
      </c>
      <c r="H338" s="52">
        <v>17221</v>
      </c>
      <c r="I338" s="53">
        <v>57</v>
      </c>
      <c r="J338" s="44"/>
      <c r="K338" s="40"/>
      <c r="L338" s="35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ht="12.75" customHeight="1">
      <c r="A339" t="s" s="17">
        <v>359</v>
      </c>
      <c r="B339" s="60">
        <v>14666</v>
      </c>
      <c r="C339" t="s" s="55">
        <v>235</v>
      </c>
      <c r="D339" t="s" s="18">
        <v>360</v>
      </c>
      <c r="E339" s="39"/>
      <c r="F339" s="40"/>
      <c r="G339" s="41">
        <v>112772.78</v>
      </c>
      <c r="H339" s="42">
        <v>1880</v>
      </c>
      <c r="I339" s="43">
        <v>60</v>
      </c>
      <c r="J339" s="44"/>
      <c r="K339" s="40"/>
      <c r="L339" s="35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ht="12.75" customHeight="1">
      <c r="A340" t="s" s="84">
        <v>359</v>
      </c>
      <c r="B340" s="63">
        <v>14667</v>
      </c>
      <c r="C340" t="s" s="54">
        <v>235</v>
      </c>
      <c r="D340" t="s" s="48">
        <v>361</v>
      </c>
      <c r="E340" s="49"/>
      <c r="F340" s="50"/>
      <c r="G340" s="51">
        <v>3134.99</v>
      </c>
      <c r="H340" s="52">
        <v>53</v>
      </c>
      <c r="I340" s="53" cm="1">
        <f t="array" ref="I340">I339</f>
        <v>60</v>
      </c>
      <c r="J340" s="44"/>
      <c r="K340" s="40"/>
      <c r="L340" s="35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ht="12.75" customHeight="1">
      <c r="A341" t="s" s="17">
        <v>359</v>
      </c>
      <c r="B341" s="37"/>
      <c r="C341" t="s" s="55">
        <v>362</v>
      </c>
      <c r="D341" t="s" s="18">
        <v>363</v>
      </c>
      <c r="E341" s="39"/>
      <c r="F341" s="40"/>
      <c r="G341" s="41">
        <v>3300</v>
      </c>
      <c r="H341" s="42">
        <v>55</v>
      </c>
      <c r="I341" s="43">
        <v>60</v>
      </c>
      <c r="J341" s="44"/>
      <c r="K341" s="40"/>
      <c r="L341" s="92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</row>
    <row r="342" ht="12.75" customHeight="1">
      <c r="A342" s="45">
        <v>43710</v>
      </c>
      <c r="B342" s="63">
        <v>14716</v>
      </c>
      <c r="C342" t="s" s="54">
        <v>235</v>
      </c>
      <c r="D342" t="s" s="48">
        <v>364</v>
      </c>
      <c r="E342" s="49"/>
      <c r="F342" s="50"/>
      <c r="G342" s="51">
        <v>5520</v>
      </c>
      <c r="H342" s="52">
        <v>93</v>
      </c>
      <c r="I342" s="53">
        <v>59.35</v>
      </c>
      <c r="J342" s="44"/>
      <c r="K342" s="40"/>
      <c r="L342" s="94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6"/>
    </row>
    <row r="343" ht="12.75" customHeight="1">
      <c r="A343" s="36">
        <v>43711</v>
      </c>
      <c r="B343" s="60">
        <v>14739</v>
      </c>
      <c r="C343" t="s" s="55">
        <v>235</v>
      </c>
      <c r="D343" t="s" s="18">
        <v>365</v>
      </c>
      <c r="E343" s="39"/>
      <c r="F343" s="40"/>
      <c r="G343" s="41">
        <v>4700</v>
      </c>
      <c r="H343" s="42">
        <v>82</v>
      </c>
      <c r="I343" s="43">
        <v>57.31</v>
      </c>
      <c r="J343" s="97"/>
      <c r="K343" s="98"/>
      <c r="L343" s="99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1"/>
    </row>
    <row r="344" ht="12.75" customHeight="1">
      <c r="A344" s="45">
        <v>43712</v>
      </c>
      <c r="B344" s="63">
        <v>318</v>
      </c>
      <c r="C344" t="s" s="55">
        <v>279</v>
      </c>
      <c r="D344" t="s" s="48">
        <v>366</v>
      </c>
      <c r="E344" s="49"/>
      <c r="F344" s="50"/>
      <c r="G344" s="51">
        <v>83490</v>
      </c>
      <c r="H344" s="52">
        <v>1465</v>
      </c>
      <c r="I344" s="53">
        <v>57</v>
      </c>
      <c r="J344" s="44"/>
      <c r="K344" s="40"/>
      <c r="L344" s="94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6"/>
    </row>
    <row r="345" ht="12.75" customHeight="1">
      <c r="A345" s="36">
        <v>43713</v>
      </c>
      <c r="B345" s="37"/>
      <c r="C345" t="s" s="55">
        <v>88</v>
      </c>
      <c r="D345" t="s" s="18">
        <v>367</v>
      </c>
      <c r="E345" s="39"/>
      <c r="F345" s="40"/>
      <c r="G345" s="41">
        <v>34473.04</v>
      </c>
      <c r="H345" s="42">
        <v>575</v>
      </c>
      <c r="I345" s="43">
        <v>60</v>
      </c>
      <c r="J345" s="102"/>
      <c r="K345" s="50"/>
      <c r="L345" s="103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5"/>
    </row>
    <row r="346" ht="12.75" customHeight="1">
      <c r="A346" s="45">
        <v>43713</v>
      </c>
      <c r="B346" s="63">
        <v>332</v>
      </c>
      <c r="C346" t="s" s="55">
        <v>279</v>
      </c>
      <c r="D346" t="s" s="48">
        <v>368</v>
      </c>
      <c r="E346" s="49"/>
      <c r="F346" s="50"/>
      <c r="G346" s="51">
        <v>134831.3</v>
      </c>
      <c r="H346" s="52">
        <v>2247</v>
      </c>
      <c r="I346" s="53">
        <v>60</v>
      </c>
      <c r="J346" s="44"/>
      <c r="K346" s="40"/>
      <c r="L346" s="106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</row>
    <row r="347" ht="12.75" customHeight="1">
      <c r="A347" s="36">
        <v>43713</v>
      </c>
      <c r="B347" s="60">
        <v>14799</v>
      </c>
      <c r="C347" t="s" s="55">
        <v>235</v>
      </c>
      <c r="D347" t="s" s="18">
        <v>369</v>
      </c>
      <c r="E347" s="39"/>
      <c r="F347" s="40"/>
      <c r="G347" s="41">
        <v>3335</v>
      </c>
      <c r="H347" s="42">
        <v>58</v>
      </c>
      <c r="I347" s="43">
        <v>57.5</v>
      </c>
      <c r="J347" s="44"/>
      <c r="K347" s="40"/>
      <c r="L347" s="35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ht="12.75" customHeight="1">
      <c r="A348" s="45">
        <v>43717</v>
      </c>
      <c r="B348" s="63">
        <v>333</v>
      </c>
      <c r="C348" t="s" s="55">
        <v>279</v>
      </c>
      <c r="D348" t="s" s="48">
        <v>370</v>
      </c>
      <c r="E348" s="49"/>
      <c r="F348" s="50"/>
      <c r="G348" s="51">
        <v>35332</v>
      </c>
      <c r="H348" s="52">
        <v>610</v>
      </c>
      <c r="I348" s="53">
        <v>57.92</v>
      </c>
      <c r="J348" s="44"/>
      <c r="K348" s="40"/>
      <c r="L348" s="35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ht="12.75" customHeight="1">
      <c r="A349" s="36">
        <v>43717</v>
      </c>
      <c r="B349" s="37"/>
      <c r="C349" t="s" s="55">
        <v>79</v>
      </c>
      <c r="D349" t="s" s="18">
        <v>371</v>
      </c>
      <c r="E349" s="39"/>
      <c r="F349" s="40"/>
      <c r="G349" s="41">
        <v>4467.23</v>
      </c>
      <c r="H349" s="42">
        <v>79</v>
      </c>
      <c r="I349" s="43">
        <v>56</v>
      </c>
      <c r="J349" s="44"/>
      <c r="K349" s="40"/>
      <c r="L349" s="35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ht="12.75" customHeight="1">
      <c r="A350" s="45">
        <v>43718</v>
      </c>
      <c r="B350" s="63">
        <v>14885</v>
      </c>
      <c r="C350" t="s" s="54">
        <v>235</v>
      </c>
      <c r="D350" t="s" s="48">
        <v>372</v>
      </c>
      <c r="E350" s="49"/>
      <c r="F350" s="50"/>
      <c r="G350" s="51">
        <v>8130</v>
      </c>
      <c r="H350" s="52">
        <v>136</v>
      </c>
      <c r="I350" s="53">
        <v>59.77</v>
      </c>
      <c r="J350" s="44"/>
      <c r="K350" s="40"/>
      <c r="L350" s="35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ht="12.75" customHeight="1">
      <c r="A351" t="s" s="17">
        <v>373</v>
      </c>
      <c r="B351" s="37"/>
      <c r="C351" t="s" s="55">
        <v>14</v>
      </c>
      <c r="D351" t="s" s="18">
        <v>374</v>
      </c>
      <c r="E351" s="39"/>
      <c r="F351" s="40"/>
      <c r="G351" s="41">
        <v>2647.87</v>
      </c>
      <c r="H351" s="42">
        <v>46</v>
      </c>
      <c r="I351" s="43">
        <v>58</v>
      </c>
      <c r="J351" s="44"/>
      <c r="K351" s="40"/>
      <c r="L351" s="35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ht="12.75" customHeight="1">
      <c r="A352" t="s" s="84">
        <v>375</v>
      </c>
      <c r="B352" s="46"/>
      <c r="C352" t="s" s="54">
        <v>14</v>
      </c>
      <c r="D352" t="s" s="48">
        <v>376</v>
      </c>
      <c r="E352" s="49"/>
      <c r="F352" s="50"/>
      <c r="G352" s="51">
        <v>1404.93</v>
      </c>
      <c r="H352" s="52">
        <v>25</v>
      </c>
      <c r="I352" s="53">
        <v>56.2</v>
      </c>
      <c r="J352" s="44"/>
      <c r="K352" s="40"/>
      <c r="L352" s="35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ht="12.75" customHeight="1">
      <c r="A353" t="s" s="17">
        <v>377</v>
      </c>
      <c r="B353" s="60">
        <v>3081</v>
      </c>
      <c r="C353" t="s" s="55">
        <v>129</v>
      </c>
      <c r="D353" t="s" s="18">
        <v>378</v>
      </c>
      <c r="E353" s="39"/>
      <c r="F353" s="40"/>
      <c r="G353" s="41">
        <v>3600</v>
      </c>
      <c r="H353" s="42">
        <v>57</v>
      </c>
      <c r="I353" s="43">
        <v>63</v>
      </c>
      <c r="J353" s="44"/>
      <c r="K353" s="40"/>
      <c r="L353" s="35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ht="12.75" customHeight="1">
      <c r="A354" t="s" s="84">
        <v>377</v>
      </c>
      <c r="B354" s="63">
        <v>15030</v>
      </c>
      <c r="C354" t="s" s="54">
        <v>235</v>
      </c>
      <c r="D354" t="s" s="48">
        <v>379</v>
      </c>
      <c r="E354" s="49"/>
      <c r="F354" s="50"/>
      <c r="G354" s="51">
        <v>24500</v>
      </c>
      <c r="H354" s="52">
        <v>395</v>
      </c>
      <c r="I354" s="53">
        <v>62</v>
      </c>
      <c r="J354" s="44"/>
      <c r="K354" s="40"/>
      <c r="L354" s="35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ht="12.75" customHeight="1">
      <c r="A355" t="s" s="17">
        <v>377</v>
      </c>
      <c r="B355" s="60">
        <v>15109</v>
      </c>
      <c r="C355" t="s" s="55">
        <v>235</v>
      </c>
      <c r="D355" t="s" s="18">
        <v>380</v>
      </c>
      <c r="E355" s="39"/>
      <c r="F355" s="40"/>
      <c r="G355" s="41">
        <v>954.5700000000001</v>
      </c>
      <c r="H355" s="42">
        <v>16</v>
      </c>
      <c r="I355" s="43">
        <v>60</v>
      </c>
      <c r="J355" s="44"/>
      <c r="K355" s="40"/>
      <c r="L355" s="35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ht="12.75" customHeight="1">
      <c r="A356" t="s" s="84">
        <v>377</v>
      </c>
      <c r="B356" s="63">
        <v>15106</v>
      </c>
      <c r="C356" t="s" s="54">
        <v>235</v>
      </c>
      <c r="D356" t="s" s="48">
        <v>381</v>
      </c>
      <c r="E356" s="49"/>
      <c r="F356" s="50"/>
      <c r="G356" s="51">
        <v>13155</v>
      </c>
      <c r="H356" s="52">
        <v>213</v>
      </c>
      <c r="I356" s="53">
        <v>62</v>
      </c>
      <c r="J356" s="44"/>
      <c r="K356" s="40"/>
      <c r="L356" s="35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ht="12.75" customHeight="1">
      <c r="A357" t="s" s="17">
        <v>377</v>
      </c>
      <c r="B357" s="60">
        <v>589</v>
      </c>
      <c r="C357" t="s" s="55">
        <v>81</v>
      </c>
      <c r="D357" t="s" s="18">
        <v>382</v>
      </c>
      <c r="E357" s="39"/>
      <c r="F357" s="40"/>
      <c r="G357" s="41">
        <v>247875.57</v>
      </c>
      <c r="H357" s="42">
        <v>3935</v>
      </c>
      <c r="I357" s="43">
        <v>63</v>
      </c>
      <c r="J357" s="44"/>
      <c r="K357" s="40"/>
      <c r="L357" s="92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</row>
    <row r="358" ht="12.75" customHeight="1">
      <c r="A358" t="s" s="84">
        <v>383</v>
      </c>
      <c r="B358" s="63">
        <v>15140</v>
      </c>
      <c r="C358" t="s" s="54">
        <v>235</v>
      </c>
      <c r="D358" t="s" s="48">
        <v>384</v>
      </c>
      <c r="E358" s="49"/>
      <c r="F358" s="50"/>
      <c r="G358" s="51">
        <v>9517.42</v>
      </c>
      <c r="H358" s="52">
        <v>154</v>
      </c>
      <c r="I358" s="53" cm="1">
        <f t="array" ref="I358">I356</f>
        <v>62</v>
      </c>
      <c r="J358" s="44"/>
      <c r="K358" s="40"/>
      <c r="L358" s="94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6"/>
    </row>
    <row r="359" ht="12.75" customHeight="1">
      <c r="A359" t="s" s="17">
        <v>385</v>
      </c>
      <c r="B359" s="60">
        <v>15180</v>
      </c>
      <c r="C359" t="s" s="55">
        <v>235</v>
      </c>
      <c r="D359" t="s" s="18">
        <v>386</v>
      </c>
      <c r="E359" s="39"/>
      <c r="F359" s="40"/>
      <c r="G359" s="41">
        <v>5325</v>
      </c>
      <c r="H359" s="42">
        <v>86</v>
      </c>
      <c r="I359" s="43" cm="1">
        <f t="array" ref="I359">I358</f>
        <v>62</v>
      </c>
      <c r="J359" s="102"/>
      <c r="K359" s="50"/>
      <c r="L359" s="103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5"/>
    </row>
    <row r="360" ht="12.75" customHeight="1">
      <c r="A360" t="s" s="84">
        <v>385</v>
      </c>
      <c r="B360" s="63">
        <v>15185</v>
      </c>
      <c r="C360" t="s" s="54">
        <v>235</v>
      </c>
      <c r="D360" t="s" s="48">
        <v>387</v>
      </c>
      <c r="E360" s="49"/>
      <c r="F360" s="50"/>
      <c r="G360" s="51">
        <v>300247.93</v>
      </c>
      <c r="H360" s="52">
        <v>4843</v>
      </c>
      <c r="I360" s="53" cm="1">
        <f t="array" ref="I360">I359</f>
        <v>62</v>
      </c>
      <c r="J360" s="44"/>
      <c r="K360" s="40"/>
      <c r="L360" s="94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6"/>
    </row>
    <row r="361" ht="12.75" customHeight="1">
      <c r="A361" t="s" s="17">
        <v>385</v>
      </c>
      <c r="B361" s="60">
        <v>8320</v>
      </c>
      <c r="C361" t="s" s="55">
        <v>102</v>
      </c>
      <c r="D361" t="s" s="18">
        <v>388</v>
      </c>
      <c r="E361" s="39"/>
      <c r="F361" s="40"/>
      <c r="G361" s="41">
        <v>197653.37</v>
      </c>
      <c r="H361" s="42">
        <v>3187</v>
      </c>
      <c r="I361" s="43" cm="1">
        <f t="array" ref="I361">I360</f>
        <v>62</v>
      </c>
      <c r="J361" s="102"/>
      <c r="K361" s="50"/>
      <c r="L361" s="103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5"/>
    </row>
    <row r="362" ht="12.75" customHeight="1">
      <c r="A362" t="s" s="84">
        <v>389</v>
      </c>
      <c r="B362" s="63">
        <v>2285</v>
      </c>
      <c r="C362" t="s" s="54">
        <v>362</v>
      </c>
      <c r="D362" t="s" s="48">
        <v>390</v>
      </c>
      <c r="E362" s="49"/>
      <c r="F362" s="50"/>
      <c r="G362" s="51">
        <v>3300</v>
      </c>
      <c r="H362" s="52">
        <v>55</v>
      </c>
      <c r="I362" s="53">
        <v>60</v>
      </c>
      <c r="J362" s="44"/>
      <c r="K362" s="40"/>
      <c r="L362" s="94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6"/>
    </row>
    <row r="363" ht="12.75" customHeight="1">
      <c r="A363" s="36">
        <v>43740</v>
      </c>
      <c r="B363" s="60">
        <v>3924</v>
      </c>
      <c r="C363" t="s" s="55">
        <v>391</v>
      </c>
      <c r="D363" t="s" s="18">
        <v>392</v>
      </c>
      <c r="E363" s="39"/>
      <c r="F363" s="40"/>
      <c r="G363" s="41">
        <v>326700</v>
      </c>
      <c r="H363" s="42">
        <v>5270</v>
      </c>
      <c r="I363" s="43">
        <v>62</v>
      </c>
      <c r="J363" s="44"/>
      <c r="K363" s="40"/>
      <c r="L363" s="106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</row>
    <row r="364" ht="12.75" customHeight="1">
      <c r="A364" s="45">
        <v>43747</v>
      </c>
      <c r="B364" s="46"/>
      <c r="C364" t="s" s="54">
        <v>79</v>
      </c>
      <c r="D364" t="s" s="48">
        <v>393</v>
      </c>
      <c r="E364" s="49"/>
      <c r="F364" s="50"/>
      <c r="G364" s="51">
        <v>4941.91</v>
      </c>
      <c r="H364" s="52">
        <v>81</v>
      </c>
      <c r="I364" s="53">
        <v>61</v>
      </c>
      <c r="J364" s="44"/>
      <c r="K364" s="40"/>
      <c r="L364" s="35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ht="12.75" customHeight="1">
      <c r="A365" t="s" s="17">
        <v>394</v>
      </c>
      <c r="B365" s="60">
        <v>15504</v>
      </c>
      <c r="C365" t="s" s="55">
        <v>235</v>
      </c>
      <c r="D365" t="s" s="18">
        <v>395</v>
      </c>
      <c r="E365" s="39"/>
      <c r="F365" s="40"/>
      <c r="G365" s="41">
        <v>15925</v>
      </c>
      <c r="H365" s="42">
        <v>257</v>
      </c>
      <c r="I365" s="43">
        <v>62</v>
      </c>
      <c r="J365" s="44"/>
      <c r="K365" s="40"/>
      <c r="L365" s="35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ht="12.75" customHeight="1">
      <c r="A366" t="s" s="84">
        <v>396</v>
      </c>
      <c r="B366" s="63">
        <v>265</v>
      </c>
      <c r="C366" t="s" s="54">
        <v>397</v>
      </c>
      <c r="D366" t="s" s="48">
        <v>398</v>
      </c>
      <c r="E366" s="49"/>
      <c r="F366" s="50"/>
      <c r="G366" s="51">
        <v>487630</v>
      </c>
      <c r="H366" s="52" cm="1">
        <f t="array" ref="H366">G366/I366</f>
        <v>7865</v>
      </c>
      <c r="I366" s="53" cm="1">
        <f t="array" ref="I366">I365</f>
        <v>62</v>
      </c>
      <c r="J366" s="44"/>
      <c r="K366" s="40"/>
      <c r="L366" s="35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ht="12.75" customHeight="1">
      <c r="A367" t="s" s="17">
        <v>396</v>
      </c>
      <c r="B367" s="60">
        <v>343</v>
      </c>
      <c r="C367" t="s" s="55">
        <v>279</v>
      </c>
      <c r="D367" t="s" s="18">
        <v>399</v>
      </c>
      <c r="E367" s="39"/>
      <c r="F367" s="40"/>
      <c r="G367" s="41">
        <v>119185.35</v>
      </c>
      <c r="H367" s="42">
        <v>1923</v>
      </c>
      <c r="I367" s="43" cm="1">
        <f t="array" ref="I367">I366</f>
        <v>62</v>
      </c>
      <c r="J367" s="44"/>
      <c r="K367" s="40"/>
      <c r="L367" s="35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ht="12.75" customHeight="1">
      <c r="A368" t="s" s="84">
        <v>400</v>
      </c>
      <c r="B368" s="63">
        <v>594</v>
      </c>
      <c r="C368" t="s" s="54">
        <v>81</v>
      </c>
      <c r="D368" t="s" s="48">
        <v>401</v>
      </c>
      <c r="E368" s="49"/>
      <c r="F368" s="50"/>
      <c r="G368" s="51">
        <v>267209.87</v>
      </c>
      <c r="H368" s="52">
        <v>4110</v>
      </c>
      <c r="I368" s="53">
        <v>65</v>
      </c>
      <c r="J368" s="44"/>
      <c r="K368" s="40"/>
      <c r="L368" s="35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ht="12.75" customHeight="1">
      <c r="A369" t="s" s="17">
        <v>402</v>
      </c>
      <c r="B369" s="60">
        <v>710</v>
      </c>
      <c r="C369" t="s" s="55">
        <v>357</v>
      </c>
      <c r="D369" t="s" s="18">
        <v>403</v>
      </c>
      <c r="E369" s="39"/>
      <c r="F369" s="40"/>
      <c r="G369" s="41">
        <v>981600</v>
      </c>
      <c r="H369" s="42">
        <v>13633</v>
      </c>
      <c r="I369" s="43">
        <v>72</v>
      </c>
      <c r="J369" s="44"/>
      <c r="K369" s="40"/>
      <c r="L369" s="35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ht="12.75" customHeight="1">
      <c r="A370" t="s" s="84">
        <v>404</v>
      </c>
      <c r="B370" s="63">
        <v>331</v>
      </c>
      <c r="C370" t="s" s="54">
        <v>279</v>
      </c>
      <c r="D370" t="s" s="48">
        <v>399</v>
      </c>
      <c r="E370" s="49"/>
      <c r="F370" s="50"/>
      <c r="G370" s="51">
        <v>24858.68</v>
      </c>
      <c r="H370" s="52">
        <v>331</v>
      </c>
      <c r="I370" s="53">
        <v>75</v>
      </c>
      <c r="J370" s="44"/>
      <c r="K370" s="40"/>
      <c r="L370" s="92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</row>
    <row r="371" ht="12.75" customHeight="1">
      <c r="A371" s="36">
        <v>43770</v>
      </c>
      <c r="B371" s="60">
        <v>5824</v>
      </c>
      <c r="C371" t="s" s="55">
        <v>256</v>
      </c>
      <c r="D371" t="s" s="18">
        <v>405</v>
      </c>
      <c r="E371" s="39"/>
      <c r="F371" s="40"/>
      <c r="G371" s="41">
        <v>25575.58</v>
      </c>
      <c r="H371" s="42">
        <v>405</v>
      </c>
      <c r="I371" s="43">
        <v>63</v>
      </c>
      <c r="J371" s="44"/>
      <c r="K371" s="40"/>
      <c r="L371" s="103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5"/>
    </row>
    <row r="372" ht="12.75" customHeight="1">
      <c r="A372" t="s" s="84">
        <v>404</v>
      </c>
      <c r="B372" s="46"/>
      <c r="C372" t="s" s="54">
        <v>258</v>
      </c>
      <c r="D372" t="s" s="48">
        <v>406</v>
      </c>
      <c r="E372" s="49"/>
      <c r="F372" s="50"/>
      <c r="G372" s="51">
        <v>2076.77</v>
      </c>
      <c r="H372" s="52">
        <v>30</v>
      </c>
      <c r="I372" s="53" cm="1">
        <f t="array" ref="I372">G372/H372</f>
        <v>69.2256666666667</v>
      </c>
      <c r="J372" s="44"/>
      <c r="K372" s="40"/>
      <c r="L372" s="94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6"/>
    </row>
    <row r="373" ht="12.75" customHeight="1">
      <c r="A373" s="36">
        <v>43770</v>
      </c>
      <c r="B373" s="37"/>
      <c r="C373" t="s" s="55">
        <v>258</v>
      </c>
      <c r="D373" t="s" s="18">
        <v>407</v>
      </c>
      <c r="E373" s="39"/>
      <c r="F373" s="40"/>
      <c r="G373" s="41">
        <v>1399.99</v>
      </c>
      <c r="H373" s="42">
        <v>20</v>
      </c>
      <c r="I373" s="43" cm="1">
        <f t="array" ref="I373">G373/H373</f>
        <v>69.9995</v>
      </c>
      <c r="J373" s="44"/>
      <c r="K373" s="40"/>
      <c r="L373" s="94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6"/>
    </row>
    <row r="374" ht="12.75" customHeight="1">
      <c r="A374" s="45">
        <v>43770</v>
      </c>
      <c r="B374" s="46"/>
      <c r="C374" t="s" s="54">
        <v>258</v>
      </c>
      <c r="D374" t="s" s="48">
        <v>408</v>
      </c>
      <c r="E374" s="49"/>
      <c r="F374" s="50"/>
      <c r="G374" s="51">
        <v>247.99</v>
      </c>
      <c r="H374" s="52">
        <v>3</v>
      </c>
      <c r="I374" s="53" cm="1">
        <f t="array" ref="I374">G374/H374</f>
        <v>82.6633333333333</v>
      </c>
      <c r="J374" s="44"/>
      <c r="K374" s="40"/>
      <c r="L374" s="94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6"/>
    </row>
    <row r="375" ht="12.75" customHeight="1">
      <c r="A375" s="36">
        <v>43773</v>
      </c>
      <c r="B375" s="60">
        <v>15836</v>
      </c>
      <c r="C375" t="s" s="55">
        <v>235</v>
      </c>
      <c r="D375" t="s" s="18">
        <v>409</v>
      </c>
      <c r="E375" s="39"/>
      <c r="F375" s="40"/>
      <c r="G375" s="41">
        <v>30390</v>
      </c>
      <c r="H375" s="42">
        <v>466</v>
      </c>
      <c r="I375" s="43">
        <v>65</v>
      </c>
      <c r="J375" s="44"/>
      <c r="K375" s="40"/>
      <c r="L375" s="94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6"/>
    </row>
    <row r="376" ht="12.75" customHeight="1">
      <c r="A376" s="45">
        <v>43773</v>
      </c>
      <c r="B376" s="63">
        <v>4509</v>
      </c>
      <c r="C376" t="s" s="54">
        <v>200</v>
      </c>
      <c r="D376" t="s" s="48">
        <v>410</v>
      </c>
      <c r="E376" s="49"/>
      <c r="F376" s="50"/>
      <c r="G376" s="51">
        <v>1129.82</v>
      </c>
      <c r="H376" s="52">
        <v>18</v>
      </c>
      <c r="I376" s="53">
        <v>63</v>
      </c>
      <c r="J376" s="44"/>
      <c r="K376" s="40"/>
      <c r="L376" s="103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5"/>
    </row>
    <row r="377" ht="12.75" customHeight="1">
      <c r="A377" s="36">
        <v>43773</v>
      </c>
      <c r="B377" s="60">
        <v>597</v>
      </c>
      <c r="C377" t="s" s="55">
        <v>81</v>
      </c>
      <c r="D377" t="s" s="18">
        <v>411</v>
      </c>
      <c r="E377" s="39"/>
      <c r="F377" s="40"/>
      <c r="G377" s="41">
        <v>283242.45</v>
      </c>
      <c r="H377" s="42">
        <v>4360</v>
      </c>
      <c r="I377" s="43">
        <v>65</v>
      </c>
      <c r="J377" s="44"/>
      <c r="K377" s="40"/>
      <c r="L377" s="94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6"/>
    </row>
    <row r="378" ht="12.75" customHeight="1">
      <c r="A378" s="45">
        <v>43774</v>
      </c>
      <c r="B378" s="63">
        <v>15860</v>
      </c>
      <c r="C378" t="s" s="54">
        <v>235</v>
      </c>
      <c r="D378" t="s" s="48">
        <v>412</v>
      </c>
      <c r="E378" s="49"/>
      <c r="F378" s="50"/>
      <c r="G378" s="51">
        <v>7300</v>
      </c>
      <c r="H378" s="52">
        <v>116</v>
      </c>
      <c r="I378" s="53">
        <v>63</v>
      </c>
      <c r="J378" s="44"/>
      <c r="K378" s="40"/>
      <c r="L378" s="103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5"/>
    </row>
    <row r="379" ht="12.75" customHeight="1">
      <c r="A379" s="36">
        <v>43775</v>
      </c>
      <c r="B379" s="60">
        <v>754</v>
      </c>
      <c r="C379" t="s" s="55">
        <v>357</v>
      </c>
      <c r="D379" t="s" s="18">
        <v>413</v>
      </c>
      <c r="E379" s="39"/>
      <c r="F379" s="40"/>
      <c r="G379" s="41">
        <v>981600.01</v>
      </c>
      <c r="H379" s="42">
        <v>15100</v>
      </c>
      <c r="I379" s="43">
        <v>65</v>
      </c>
      <c r="J379" s="44"/>
      <c r="K379" s="40"/>
      <c r="L379" s="94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6"/>
    </row>
    <row r="380" ht="12.75" customHeight="1">
      <c r="A380" s="45">
        <v>43775</v>
      </c>
      <c r="B380" s="63">
        <v>753</v>
      </c>
      <c r="C380" t="s" s="54">
        <v>357</v>
      </c>
      <c r="D380" t="s" s="48">
        <v>414</v>
      </c>
      <c r="E380" s="49"/>
      <c r="F380" s="50"/>
      <c r="G380" s="51">
        <v>497000</v>
      </c>
      <c r="H380" s="52">
        <v>7646</v>
      </c>
      <c r="I380" s="53" cm="1">
        <f t="array" ref="I380">I379</f>
        <v>65</v>
      </c>
      <c r="J380" t="s" s="55">
        <v>415</v>
      </c>
      <c r="K380" s="40"/>
      <c r="L380" s="103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5"/>
    </row>
    <row r="381" ht="12.75" customHeight="1">
      <c r="A381" s="36">
        <v>43776</v>
      </c>
      <c r="B381" s="60">
        <v>346</v>
      </c>
      <c r="C381" t="s" s="55">
        <v>279</v>
      </c>
      <c r="D381" t="s" s="18">
        <v>416</v>
      </c>
      <c r="E381" s="39"/>
      <c r="F381" s="40"/>
      <c r="G381" s="41">
        <v>119338.74</v>
      </c>
      <c r="H381" s="42">
        <v>1836</v>
      </c>
      <c r="I381" s="43" cm="1">
        <f t="array" ref="I381">I380</f>
        <v>65</v>
      </c>
      <c r="J381" s="44"/>
      <c r="K381" s="40"/>
      <c r="L381" s="94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6"/>
    </row>
    <row r="382" ht="12.75" customHeight="1">
      <c r="A382" s="45">
        <v>43777</v>
      </c>
      <c r="B382" s="46"/>
      <c r="C382" t="s" s="54">
        <v>79</v>
      </c>
      <c r="D382" t="s" s="48">
        <v>417</v>
      </c>
      <c r="E382" s="49"/>
      <c r="F382" s="50"/>
      <c r="G382" s="51">
        <v>4941.91</v>
      </c>
      <c r="H382" s="52">
        <v>76</v>
      </c>
      <c r="I382" s="53" cm="1">
        <f t="array" ref="I382">I381</f>
        <v>65</v>
      </c>
      <c r="J382" s="44"/>
      <c r="K382" s="40"/>
      <c r="L382" s="103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5"/>
    </row>
    <row r="383" ht="12.75" customHeight="1">
      <c r="A383" t="s" s="17">
        <v>418</v>
      </c>
      <c r="B383" s="37"/>
      <c r="C383" t="s" s="55">
        <v>14</v>
      </c>
      <c r="D383" t="s" s="18">
        <v>419</v>
      </c>
      <c r="E383" s="39"/>
      <c r="F383" s="40"/>
      <c r="G383" s="41">
        <v>1303.19</v>
      </c>
      <c r="H383" s="42">
        <v>22</v>
      </c>
      <c r="I383" s="43">
        <v>60</v>
      </c>
      <c r="J383" s="44"/>
      <c r="K383" s="40"/>
      <c r="L383" s="94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6"/>
    </row>
    <row r="384" ht="12.75" customHeight="1">
      <c r="A384" s="45">
        <v>43803</v>
      </c>
      <c r="B384" s="63">
        <v>253</v>
      </c>
      <c r="C384" t="s" s="54">
        <v>235</v>
      </c>
      <c r="D384" t="s" s="48">
        <v>420</v>
      </c>
      <c r="E384" s="49"/>
      <c r="F384" s="50"/>
      <c r="G384" s="51">
        <v>1848.29</v>
      </c>
      <c r="H384" s="52">
        <v>27</v>
      </c>
      <c r="I384" s="53" cm="1">
        <f t="array" ref="I384">G384/H384</f>
        <v>68.4551851851852</v>
      </c>
      <c r="J384" s="44"/>
      <c r="K384" s="40"/>
      <c r="L384" s="106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</row>
    <row r="385" ht="12.75" customHeight="1">
      <c r="A385" s="36">
        <v>43803</v>
      </c>
      <c r="B385" s="60">
        <v>254</v>
      </c>
      <c r="C385" t="s" s="55">
        <v>235</v>
      </c>
      <c r="D385" t="s" s="18">
        <v>421</v>
      </c>
      <c r="E385" s="39"/>
      <c r="F385" s="40"/>
      <c r="G385" s="41">
        <v>2635.54</v>
      </c>
      <c r="H385" s="42">
        <v>38</v>
      </c>
      <c r="I385" s="43" cm="1">
        <f t="array" ref="I385">G385/H385</f>
        <v>69.3563157894737</v>
      </c>
      <c r="J385" s="44"/>
      <c r="K385" s="40"/>
      <c r="L385" s="35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ht="12.75" customHeight="1">
      <c r="A386" s="45">
        <v>43803</v>
      </c>
      <c r="B386" s="63">
        <v>255</v>
      </c>
      <c r="C386" t="s" s="54">
        <v>235</v>
      </c>
      <c r="D386" t="s" s="48">
        <v>243</v>
      </c>
      <c r="E386" s="49"/>
      <c r="F386" s="50"/>
      <c r="G386" s="51">
        <v>19686.22</v>
      </c>
      <c r="H386" s="52">
        <v>282</v>
      </c>
      <c r="I386" s="53" cm="1">
        <f t="array" ref="I386">I385</f>
        <v>69.3563157894737</v>
      </c>
      <c r="J386" s="44"/>
      <c r="K386" s="40"/>
      <c r="L386" s="35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ht="12.75" customHeight="1">
      <c r="A387" s="36">
        <v>43803</v>
      </c>
      <c r="B387" s="60">
        <v>256</v>
      </c>
      <c r="C387" t="s" s="55">
        <v>235</v>
      </c>
      <c r="D387" t="s" s="18">
        <v>243</v>
      </c>
      <c r="E387" s="39"/>
      <c r="F387" s="40"/>
      <c r="G387" s="41">
        <v>9711.379999999999</v>
      </c>
      <c r="H387" s="42">
        <v>138</v>
      </c>
      <c r="I387" s="43" cm="1">
        <f t="array" ref="I387">G387/H387</f>
        <v>70.37231884057969</v>
      </c>
      <c r="J387" s="44"/>
      <c r="K387" s="40"/>
      <c r="L387" s="35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ht="12.75" customHeight="1">
      <c r="A388" s="45">
        <v>43803</v>
      </c>
      <c r="B388" s="63">
        <v>257</v>
      </c>
      <c r="C388" t="s" s="54">
        <v>235</v>
      </c>
      <c r="D388" t="s" s="48">
        <v>243</v>
      </c>
      <c r="E388" s="49"/>
      <c r="F388" s="50"/>
      <c r="G388" s="51">
        <v>3570.04</v>
      </c>
      <c r="H388" s="52">
        <v>51</v>
      </c>
      <c r="I388" s="53" cm="1">
        <f t="array" ref="I388">G388/H388</f>
        <v>70.0007843137255</v>
      </c>
      <c r="J388" s="44"/>
      <c r="K388" s="40"/>
      <c r="L388" s="35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ht="12.75" customHeight="1">
      <c r="A389" s="36">
        <v>43803</v>
      </c>
      <c r="B389" s="60">
        <v>259</v>
      </c>
      <c r="C389" t="s" s="55">
        <v>235</v>
      </c>
      <c r="D389" t="s" s="18">
        <v>243</v>
      </c>
      <c r="E389" s="39"/>
      <c r="F389" s="40"/>
      <c r="G389" s="41">
        <v>2444.7</v>
      </c>
      <c r="H389" s="42">
        <v>35</v>
      </c>
      <c r="I389" s="43" cm="1">
        <f t="array" ref="I389">I388</f>
        <v>70.0007843137255</v>
      </c>
      <c r="J389" s="44"/>
      <c r="K389" s="40"/>
      <c r="L389" s="35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ht="12.75" customHeight="1">
      <c r="A390" s="45">
        <v>43803</v>
      </c>
      <c r="B390" s="63">
        <v>260</v>
      </c>
      <c r="C390" t="s" s="54">
        <v>235</v>
      </c>
      <c r="D390" t="s" s="48">
        <v>422</v>
      </c>
      <c r="E390" s="49"/>
      <c r="F390" s="50"/>
      <c r="G390" s="51">
        <v>1667.77</v>
      </c>
      <c r="H390" s="52">
        <v>24</v>
      </c>
      <c r="I390" s="53" cm="1">
        <f t="array" ref="I390">I389</f>
        <v>70.0007843137255</v>
      </c>
      <c r="J390" s="44"/>
      <c r="K390" s="40"/>
      <c r="L390" s="35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ht="12.75" customHeight="1">
      <c r="A391" s="36">
        <v>43803</v>
      </c>
      <c r="B391" s="60">
        <v>261</v>
      </c>
      <c r="C391" t="s" s="55">
        <v>235</v>
      </c>
      <c r="D391" t="s" s="18">
        <v>423</v>
      </c>
      <c r="E391" s="39"/>
      <c r="F391" s="40"/>
      <c r="G391" s="41">
        <v>1050.07</v>
      </c>
      <c r="H391" s="42" cm="1">
        <f t="array" ref="H391">G391/I391</f>
        <v>15.0008319234518</v>
      </c>
      <c r="I391" s="43" cm="1">
        <f t="array" ref="I391">I390</f>
        <v>70.0007843137255</v>
      </c>
      <c r="J391" s="44"/>
      <c r="K391" s="40"/>
      <c r="L391" s="35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ht="12.75" customHeight="1">
      <c r="A392" s="45">
        <v>43803</v>
      </c>
      <c r="B392" s="63">
        <v>131345</v>
      </c>
      <c r="C392" t="s" s="54">
        <v>47</v>
      </c>
      <c r="D392" t="s" s="48">
        <v>424</v>
      </c>
      <c r="E392" s="49"/>
      <c r="F392" s="50"/>
      <c r="G392" s="51">
        <v>230000</v>
      </c>
      <c r="H392" s="52">
        <v>3290</v>
      </c>
      <c r="I392" s="53" cm="1">
        <f t="array" ref="I392">I391</f>
        <v>70.0007843137255</v>
      </c>
      <c r="J392" s="44"/>
      <c r="K392" s="40"/>
      <c r="L392" s="35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ht="12.75" customHeight="1">
      <c r="A393" s="36">
        <v>43597</v>
      </c>
      <c r="B393" s="60">
        <v>13147</v>
      </c>
      <c r="C393" t="s" s="55">
        <v>47</v>
      </c>
      <c r="D393" t="s" s="18">
        <v>425</v>
      </c>
      <c r="E393" s="39"/>
      <c r="F393" s="40"/>
      <c r="G393" s="41">
        <v>76200</v>
      </c>
      <c r="H393" s="42" cm="1">
        <f t="array" ref="H393">G393/I393</f>
        <v>1088.559231829340</v>
      </c>
      <c r="I393" s="43" cm="1">
        <f t="array" ref="I393">I392</f>
        <v>70.0007843137255</v>
      </c>
      <c r="J393" s="44"/>
      <c r="K393" s="40"/>
      <c r="L393" s="35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ht="12.75" customHeight="1">
      <c r="A394" s="45">
        <v>43597</v>
      </c>
      <c r="B394" s="63">
        <v>2328</v>
      </c>
      <c r="C394" t="s" s="54">
        <v>178</v>
      </c>
      <c r="D394" t="s" s="48">
        <v>67</v>
      </c>
      <c r="E394" s="49"/>
      <c r="F394" s="50"/>
      <c r="G394" s="51">
        <v>500000.04</v>
      </c>
      <c r="H394" s="52">
        <v>7143</v>
      </c>
      <c r="I394" s="53" cm="1">
        <f t="array" ref="I394">I393</f>
        <v>70.0007843137255</v>
      </c>
      <c r="J394" s="44"/>
      <c r="K394" s="40"/>
      <c r="L394" s="35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ht="12.75" customHeight="1">
      <c r="A395" s="36">
        <v>43597</v>
      </c>
      <c r="B395" s="60">
        <v>6072</v>
      </c>
      <c r="C395" t="s" s="55">
        <v>256</v>
      </c>
      <c r="D395" t="s" s="18">
        <v>426</v>
      </c>
      <c r="E395" s="39"/>
      <c r="F395" s="40"/>
      <c r="G395" s="41">
        <v>1592.49</v>
      </c>
      <c r="H395" s="42">
        <v>23</v>
      </c>
      <c r="I395" s="43" cm="1">
        <f t="array" ref="I395">I394</f>
        <v>70.0007843137255</v>
      </c>
      <c r="J395" s="44"/>
      <c r="K395" s="40"/>
      <c r="L395" s="35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ht="12.75" customHeight="1">
      <c r="A396" s="45">
        <v>43597</v>
      </c>
      <c r="B396" s="63">
        <v>604</v>
      </c>
      <c r="C396" t="s" s="54">
        <v>81</v>
      </c>
      <c r="D396" t="s" s="48">
        <v>427</v>
      </c>
      <c r="E396" s="49"/>
      <c r="F396" s="50"/>
      <c r="G396" s="51">
        <v>283242.45</v>
      </c>
      <c r="H396" s="52">
        <v>4165</v>
      </c>
      <c r="I396" s="53" cm="1">
        <f t="array" ref="I396">G396/H396</f>
        <v>68.0053901560624</v>
      </c>
      <c r="J396" s="44"/>
      <c r="K396" s="40"/>
      <c r="L396" s="35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ht="12.75" customHeight="1">
      <c r="A397" s="36">
        <v>43720</v>
      </c>
      <c r="B397" s="37"/>
      <c r="C397" t="s" s="55">
        <v>14</v>
      </c>
      <c r="D397" t="s" s="18">
        <v>428</v>
      </c>
      <c r="E397" s="39"/>
      <c r="F397" s="40"/>
      <c r="G397" s="41">
        <v>1525.73</v>
      </c>
      <c r="H397" s="42" cm="1">
        <f t="array" ref="H397">G397/I397</f>
        <v>22.4354274933012</v>
      </c>
      <c r="I397" s="43" cm="1">
        <f t="array" ref="I397">I396</f>
        <v>68.0053901560624</v>
      </c>
      <c r="J397" s="44"/>
      <c r="K397" s="40"/>
      <c r="L397" s="35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ht="12.75" customHeight="1">
      <c r="A398" t="s" s="84">
        <v>429</v>
      </c>
      <c r="B398" s="46"/>
      <c r="C398" t="s" s="54">
        <v>258</v>
      </c>
      <c r="D398" t="s" s="48">
        <v>430</v>
      </c>
      <c r="E398" s="49"/>
      <c r="F398" s="50"/>
      <c r="G398" s="51">
        <v>9400</v>
      </c>
      <c r="H398" s="52" cm="1">
        <f t="array" ref="H398">G398/I398</f>
        <v>138.224337488960</v>
      </c>
      <c r="I398" s="53" cm="1">
        <f t="array" ref="I398">I397</f>
        <v>68.0053901560624</v>
      </c>
      <c r="J398" s="44"/>
      <c r="K398" s="40"/>
      <c r="L398" s="35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ht="12.75" customHeight="1">
      <c r="A399" t="s" s="17">
        <v>431</v>
      </c>
      <c r="B399" s="60">
        <v>905</v>
      </c>
      <c r="C399" t="s" s="55">
        <v>357</v>
      </c>
      <c r="D399" t="s" s="18">
        <v>432</v>
      </c>
      <c r="E399" s="39"/>
      <c r="F399" s="40"/>
      <c r="G399" s="41">
        <v>250000</v>
      </c>
      <c r="H399" s="42">
        <v>3570</v>
      </c>
      <c r="I399" s="43" cm="1">
        <f t="array" ref="I399">G399/H399</f>
        <v>70.0280112044818</v>
      </c>
      <c r="J399" s="44"/>
      <c r="K399" s="40"/>
      <c r="L399" s="35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ht="12.75" customHeight="1">
      <c r="A400" t="s" s="84">
        <v>433</v>
      </c>
      <c r="B400" s="63">
        <v>2982</v>
      </c>
      <c r="C400" t="s" s="54">
        <v>288</v>
      </c>
      <c r="D400" t="s" s="48">
        <v>434</v>
      </c>
      <c r="E400" s="49"/>
      <c r="F400" s="50"/>
      <c r="G400" s="51">
        <v>11432.27</v>
      </c>
      <c r="H400" s="52">
        <v>158</v>
      </c>
      <c r="I400" s="53" cm="1">
        <f t="array" ref="I400">G400/H400</f>
        <v>72.35613924050629</v>
      </c>
      <c r="J400" s="44"/>
      <c r="K400" s="40"/>
      <c r="L400" s="35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ht="12.75" customHeight="1">
      <c r="A401" t="s" s="17">
        <v>435</v>
      </c>
      <c r="B401" s="60">
        <v>15104</v>
      </c>
      <c r="C401" t="s" s="55">
        <v>310</v>
      </c>
      <c r="D401" t="s" s="18">
        <v>436</v>
      </c>
      <c r="E401" s="39"/>
      <c r="F401" s="40"/>
      <c r="G401" s="41">
        <v>14500</v>
      </c>
      <c r="H401" s="42" cm="1">
        <f t="array" ref="H401">G401/I401</f>
        <v>193.333333333333</v>
      </c>
      <c r="I401" s="43">
        <v>75</v>
      </c>
      <c r="J401" s="44"/>
      <c r="K401" s="40"/>
      <c r="L401" s="35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ht="12.75" customHeight="1">
      <c r="A402" t="s" s="84">
        <v>437</v>
      </c>
      <c r="B402" t="s" s="84">
        <v>438</v>
      </c>
      <c r="C402" t="s" s="54">
        <v>235</v>
      </c>
      <c r="D402" t="s" s="48">
        <v>439</v>
      </c>
      <c r="E402" s="49"/>
      <c r="F402" s="50"/>
      <c r="G402" s="51">
        <v>44537.32</v>
      </c>
      <c r="H402" s="52">
        <v>594</v>
      </c>
      <c r="I402" s="53" cm="1">
        <f t="array" ref="I402">G402/H402</f>
        <v>74.97865319865321</v>
      </c>
      <c r="J402" s="44"/>
      <c r="K402" s="40"/>
      <c r="L402" s="35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ht="12.75" customHeight="1">
      <c r="A403" s="108">
        <v>43983</v>
      </c>
      <c r="B403" s="37"/>
      <c r="C403" t="s" s="55">
        <v>279</v>
      </c>
      <c r="D403" t="s" s="18">
        <v>440</v>
      </c>
      <c r="E403" s="39"/>
      <c r="F403" s="40"/>
      <c r="G403" s="41">
        <v>36429.18</v>
      </c>
      <c r="H403" s="42" cm="1">
        <f t="array" ref="H403">G403/I403</f>
        <v>473.106233766234</v>
      </c>
      <c r="I403" s="43">
        <v>77</v>
      </c>
      <c r="J403" s="44"/>
      <c r="K403" s="40"/>
      <c r="L403" s="35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ht="12.75" customHeight="1">
      <c r="A404" s="109">
        <v>44013</v>
      </c>
      <c r="B404" s="46"/>
      <c r="C404" t="s" s="54">
        <v>81</v>
      </c>
      <c r="D404" t="s" s="48">
        <v>441</v>
      </c>
      <c r="E404" s="49"/>
      <c r="F404" s="50"/>
      <c r="G404" s="51">
        <v>300548.57</v>
      </c>
      <c r="H404" s="52" cm="1">
        <f t="array" ref="H404">G404/I404</f>
        <v>4007.314266666670</v>
      </c>
      <c r="I404" s="53">
        <v>75</v>
      </c>
      <c r="J404" s="44"/>
      <c r="K404" s="40"/>
      <c r="L404" s="35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ht="12.75" customHeight="1">
      <c r="A405" s="108">
        <v>44105</v>
      </c>
      <c r="B405" s="60">
        <v>9013</v>
      </c>
      <c r="C405" t="s" s="55">
        <v>102</v>
      </c>
      <c r="D405" t="s" s="18">
        <v>311</v>
      </c>
      <c r="E405" s="39"/>
      <c r="F405" s="40"/>
      <c r="G405" s="41">
        <v>14750.08</v>
      </c>
      <c r="H405" s="42">
        <v>197</v>
      </c>
      <c r="I405" s="43" cm="1">
        <f t="array" ref="I405">G405/H405</f>
        <v>74.87350253807109</v>
      </c>
      <c r="J405" s="44"/>
      <c r="K405" s="40"/>
      <c r="L405" s="35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ht="12.75" customHeight="1">
      <c r="A406" s="109">
        <v>44105</v>
      </c>
      <c r="B406" s="63">
        <v>707</v>
      </c>
      <c r="C406" t="s" s="54">
        <v>235</v>
      </c>
      <c r="D406" t="s" s="48">
        <v>442</v>
      </c>
      <c r="E406" s="49"/>
      <c r="F406" s="50"/>
      <c r="G406" s="51">
        <v>5645.7</v>
      </c>
      <c r="H406" s="52" cm="1">
        <f t="array" ref="H406">G406/I406</f>
        <v>75.4031774742916</v>
      </c>
      <c r="I406" s="53" cm="1">
        <f t="array" ref="I406">I405</f>
        <v>74.87350253807109</v>
      </c>
      <c r="J406" s="44"/>
      <c r="K406" s="40"/>
      <c r="L406" s="35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ht="12.75" customHeight="1">
      <c r="A407" s="108">
        <v>44105</v>
      </c>
      <c r="B407" s="60">
        <v>2542</v>
      </c>
      <c r="C407" t="s" s="55">
        <v>178</v>
      </c>
      <c r="D407" t="s" s="18">
        <v>443</v>
      </c>
      <c r="E407" s="39"/>
      <c r="F407" s="40"/>
      <c r="G407" s="41">
        <v>38791.85</v>
      </c>
      <c r="H407" s="42" cm="1">
        <f t="array" ref="H407">G407/I407</f>
        <v>518.0985086182581</v>
      </c>
      <c r="I407" s="43" cm="1">
        <f t="array" ref="I407">I406</f>
        <v>74.87350253807109</v>
      </c>
      <c r="J407" s="44"/>
      <c r="K407" s="40"/>
      <c r="L407" s="35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ht="12.75" customHeight="1">
      <c r="A408" t="s" s="84">
        <v>444</v>
      </c>
      <c r="B408" s="63">
        <v>951</v>
      </c>
      <c r="C408" t="s" s="54">
        <v>357</v>
      </c>
      <c r="D408" s="110"/>
      <c r="E408" s="49"/>
      <c r="F408" s="50"/>
      <c r="G408" s="51">
        <v>250000</v>
      </c>
      <c r="H408" s="52">
        <v>3333</v>
      </c>
      <c r="I408" s="53" cm="1">
        <f t="array" ref="I408">G408/H408</f>
        <v>75.007500750075</v>
      </c>
      <c r="J408" s="44"/>
      <c r="K408" s="40"/>
      <c r="L408" s="35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ht="12.75" customHeight="1">
      <c r="A409" t="s" s="17">
        <v>445</v>
      </c>
      <c r="B409" s="37"/>
      <c r="C409" t="s" s="55">
        <v>14</v>
      </c>
      <c r="D409" t="s" s="18">
        <v>446</v>
      </c>
      <c r="E409" s="39"/>
      <c r="F409" s="40"/>
      <c r="G409" s="41">
        <v>1427.19</v>
      </c>
      <c r="H409" s="42" cm="1">
        <f t="array" ref="H409">G409/I409</f>
        <v>19.1059306451613</v>
      </c>
      <c r="I409" s="43" cm="1">
        <f t="array" ref="I409">I410</f>
        <v>74.6987951807229</v>
      </c>
      <c r="J409" s="44"/>
      <c r="K409" s="40"/>
      <c r="L409" s="35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ht="12.75" customHeight="1">
      <c r="A410" t="s" s="84">
        <v>447</v>
      </c>
      <c r="B410" s="46"/>
      <c r="C410" t="s" s="54">
        <v>129</v>
      </c>
      <c r="D410" t="s" s="48">
        <v>448</v>
      </c>
      <c r="E410" s="49"/>
      <c r="F410" s="50"/>
      <c r="G410" s="51">
        <v>6200</v>
      </c>
      <c r="H410" s="52">
        <v>83</v>
      </c>
      <c r="I410" s="53" cm="1">
        <f t="array" ref="I410">G410/H410</f>
        <v>74.6987951807229</v>
      </c>
      <c r="J410" s="44"/>
      <c r="K410" s="40"/>
      <c r="L410" s="35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ht="12.75" customHeight="1">
      <c r="A411" t="s" s="17">
        <v>449</v>
      </c>
      <c r="B411" s="60">
        <v>1056</v>
      </c>
      <c r="C411" t="s" s="55">
        <v>235</v>
      </c>
      <c r="D411" t="s" s="18">
        <v>450</v>
      </c>
      <c r="E411" s="39"/>
      <c r="F411" s="40"/>
      <c r="G411" s="41">
        <v>20290.69</v>
      </c>
      <c r="H411" s="42">
        <v>260</v>
      </c>
      <c r="I411" s="43" cm="1">
        <f t="array" ref="I411">G411/H411</f>
        <v>78.0411153846154</v>
      </c>
      <c r="J411" s="44"/>
      <c r="K411" s="40"/>
      <c r="L411" s="35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ht="12.75" customHeight="1">
      <c r="A412" t="s" s="84">
        <v>449</v>
      </c>
      <c r="B412" s="63">
        <v>1057</v>
      </c>
      <c r="C412" t="s" s="54">
        <v>235</v>
      </c>
      <c r="D412" t="s" s="48">
        <v>451</v>
      </c>
      <c r="E412" s="49"/>
      <c r="F412" s="50"/>
      <c r="G412" s="51">
        <v>2604.45</v>
      </c>
      <c r="H412" s="52">
        <v>34</v>
      </c>
      <c r="I412" s="53" cm="1">
        <f t="array" ref="I412">G412/H412</f>
        <v>76.6014705882353</v>
      </c>
      <c r="J412" s="44"/>
      <c r="K412" s="40"/>
      <c r="L412" s="35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ht="12.75" customHeight="1">
      <c r="A413" t="s" s="17">
        <v>449</v>
      </c>
      <c r="B413" s="60">
        <v>1101</v>
      </c>
      <c r="C413" t="s" s="55">
        <v>235</v>
      </c>
      <c r="D413" t="s" s="18">
        <v>452</v>
      </c>
      <c r="E413" s="39"/>
      <c r="F413" s="40"/>
      <c r="G413" s="41">
        <v>2328759.5</v>
      </c>
      <c r="H413" s="42">
        <v>29000</v>
      </c>
      <c r="I413" s="43">
        <v>80</v>
      </c>
      <c r="J413" s="44"/>
      <c r="K413" s="40"/>
      <c r="L413" s="35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ht="12.75" customHeight="1">
      <c r="A414" t="s" s="84">
        <v>449</v>
      </c>
      <c r="B414" s="63">
        <v>275</v>
      </c>
      <c r="C414" t="s" s="54">
        <v>397</v>
      </c>
      <c r="D414" t="s" s="48">
        <v>453</v>
      </c>
      <c r="E414" s="49"/>
      <c r="F414" s="50"/>
      <c r="G414" s="51">
        <v>762300</v>
      </c>
      <c r="H414" s="52">
        <v>9773</v>
      </c>
      <c r="I414" s="53" cm="1">
        <f t="array" ref="I414">G414/H414</f>
        <v>78.00061393635529</v>
      </c>
      <c r="J414" s="44"/>
      <c r="K414" s="40"/>
      <c r="L414" s="35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ht="12.75" customHeight="1">
      <c r="A415" s="36">
        <v>43892</v>
      </c>
      <c r="B415" s="60">
        <v>367</v>
      </c>
      <c r="C415" t="s" s="55">
        <v>279</v>
      </c>
      <c r="D415" t="s" s="18">
        <v>454</v>
      </c>
      <c r="E415" s="39"/>
      <c r="F415" s="40"/>
      <c r="G415" s="41">
        <v>106914.01</v>
      </c>
      <c r="H415" s="42">
        <v>1354</v>
      </c>
      <c r="I415" s="43" cm="1">
        <f t="array" ref="I415">G415/H415</f>
        <v>78.96160265878881</v>
      </c>
      <c r="J415" s="44"/>
      <c r="K415" s="40"/>
      <c r="L415" s="35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ht="12.75" customHeight="1">
      <c r="A416" s="45">
        <v>43923</v>
      </c>
      <c r="B416" s="46"/>
      <c r="C416" t="s" s="54">
        <v>455</v>
      </c>
      <c r="D416" t="s" s="48">
        <v>456</v>
      </c>
      <c r="E416" s="49"/>
      <c r="F416" s="50"/>
      <c r="G416" s="51">
        <v>6513.6</v>
      </c>
      <c r="H416" s="52" cm="1">
        <f t="array" ref="H416">G416/I416</f>
        <v>82.490726893510</v>
      </c>
      <c r="I416" s="53" cm="1">
        <f t="array" ref="I416">I415</f>
        <v>78.96160265878881</v>
      </c>
      <c r="J416" s="44"/>
      <c r="K416" s="40"/>
      <c r="L416" s="35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ht="12.75" customHeight="1">
      <c r="A417" s="36">
        <v>43984</v>
      </c>
      <c r="B417" s="60">
        <v>614</v>
      </c>
      <c r="C417" t="s" s="55">
        <v>81</v>
      </c>
      <c r="D417" t="s" s="18">
        <v>457</v>
      </c>
      <c r="E417" s="39"/>
      <c r="F417" s="40"/>
      <c r="G417" s="41">
        <v>312570.52</v>
      </c>
      <c r="H417" s="42">
        <v>4007</v>
      </c>
      <c r="I417" s="43" cm="1">
        <f t="array" ref="I417">G417/H417</f>
        <v>78.0061192912403</v>
      </c>
      <c r="J417" s="44"/>
      <c r="K417" s="40"/>
      <c r="L417" s="35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ht="12.75" customHeight="1">
      <c r="A418" t="s" s="84">
        <v>458</v>
      </c>
      <c r="B418" s="63">
        <v>276</v>
      </c>
      <c r="C418" t="s" s="54">
        <v>397</v>
      </c>
      <c r="D418" t="s" s="48">
        <v>459</v>
      </c>
      <c r="E418" s="49"/>
      <c r="F418" s="50"/>
      <c r="G418" s="51">
        <v>243815</v>
      </c>
      <c r="H418" s="52" cm="1">
        <f t="array" ref="H418">G418/I418</f>
        <v>3125.588123281750</v>
      </c>
      <c r="I418" s="53" cm="1">
        <f t="array" ref="I418">I417</f>
        <v>78.0061192912403</v>
      </c>
      <c r="J418" s="44"/>
      <c r="K418" s="40"/>
      <c r="L418" s="35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ht="12.75" customHeight="1">
      <c r="A419" t="s" s="17">
        <v>458</v>
      </c>
      <c r="B419" s="60">
        <v>373</v>
      </c>
      <c r="C419" t="s" s="55">
        <v>279</v>
      </c>
      <c r="D419" t="s" s="18">
        <v>460</v>
      </c>
      <c r="E419" s="39"/>
      <c r="F419" s="40"/>
      <c r="G419" s="41">
        <v>56992.45</v>
      </c>
      <c r="H419" s="42" cm="1">
        <f t="array" ref="H419">G419/I419</f>
        <v>730.615117350159</v>
      </c>
      <c r="I419" s="43" cm="1">
        <f t="array" ref="I419">I418</f>
        <v>78.0061192912403</v>
      </c>
      <c r="J419" s="44"/>
      <c r="K419" s="40"/>
      <c r="L419" s="35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ht="12.75" customHeight="1">
      <c r="A420" s="45">
        <v>44167</v>
      </c>
      <c r="B420" s="63">
        <v>2842</v>
      </c>
      <c r="C420" t="s" s="54">
        <v>461</v>
      </c>
      <c r="D420" t="s" s="48">
        <v>462</v>
      </c>
      <c r="E420" s="49"/>
      <c r="F420" s="50"/>
      <c r="G420" s="51">
        <v>14335.47</v>
      </c>
      <c r="H420" s="52">
        <v>171</v>
      </c>
      <c r="I420" s="53" cm="1">
        <f t="array" ref="I420">G420/H420</f>
        <v>83.8331578947368</v>
      </c>
      <c r="J420" s="44"/>
      <c r="K420" s="40"/>
      <c r="L420" s="35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ht="12.75" customHeight="1">
      <c r="A421" t="s" s="17">
        <v>463</v>
      </c>
      <c r="B421" s="37"/>
      <c r="C421" t="s" s="55">
        <v>14</v>
      </c>
      <c r="D421" t="s" s="18">
        <v>464</v>
      </c>
      <c r="E421" s="39"/>
      <c r="F421" s="40"/>
      <c r="G421" s="41">
        <v>1427.19</v>
      </c>
      <c r="H421" s="42" cm="1">
        <f t="array" ref="H421">G421/I421</f>
        <v>18.2792807881773</v>
      </c>
      <c r="I421" s="43" cm="1">
        <f t="array" ref="I421">I422</f>
        <v>78.07692307692309</v>
      </c>
      <c r="J421" s="44"/>
      <c r="K421" s="40"/>
      <c r="L421" s="35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ht="12.75" customHeight="1">
      <c r="A422" t="s" s="84">
        <v>465</v>
      </c>
      <c r="B422" s="63">
        <v>1356</v>
      </c>
      <c r="C422" t="s" s="54">
        <v>235</v>
      </c>
      <c r="D422" t="s" s="48">
        <v>442</v>
      </c>
      <c r="E422" s="49"/>
      <c r="F422" s="50"/>
      <c r="G422" s="51">
        <v>4060</v>
      </c>
      <c r="H422" s="52">
        <v>52</v>
      </c>
      <c r="I422" s="53" cm="1">
        <f t="array" ref="I422">G422/H422</f>
        <v>78.07692307692309</v>
      </c>
      <c r="J422" s="44"/>
      <c r="K422" s="40"/>
      <c r="L422" s="35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ht="12.75" customHeight="1">
      <c r="A423" t="s" s="17">
        <v>465</v>
      </c>
      <c r="B423" s="60">
        <v>1355</v>
      </c>
      <c r="C423" t="s" s="55">
        <v>235</v>
      </c>
      <c r="D423" t="s" s="18">
        <v>442</v>
      </c>
      <c r="E423" s="39"/>
      <c r="F423" s="40"/>
      <c r="G423" s="41">
        <v>2653.24</v>
      </c>
      <c r="H423" s="42">
        <v>34</v>
      </c>
      <c r="I423" s="43" cm="1">
        <f t="array" ref="I423">I422</f>
        <v>78.07692307692309</v>
      </c>
      <c r="J423" s="44"/>
      <c r="K423" s="40"/>
      <c r="L423" s="35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ht="12.75" customHeight="1">
      <c r="A424" t="s" s="84">
        <v>466</v>
      </c>
      <c r="B424" s="46"/>
      <c r="C424" t="s" s="54">
        <v>14</v>
      </c>
      <c r="D424" t="s" s="48">
        <v>467</v>
      </c>
      <c r="E424" s="49"/>
      <c r="F424" s="50"/>
      <c r="G424" s="51">
        <v>1349.63</v>
      </c>
      <c r="H424" s="52" cm="1">
        <f t="array" ref="H424">G424/I424</f>
        <v>17.2859014778325</v>
      </c>
      <c r="I424" s="53" cm="1">
        <f t="array" ref="I424">I423</f>
        <v>78.07692307692309</v>
      </c>
      <c r="J424" s="44"/>
      <c r="K424" s="40"/>
      <c r="L424" s="35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ht="12.75" customHeight="1">
      <c r="A425" t="s" s="17">
        <v>468</v>
      </c>
      <c r="B425" s="37"/>
      <c r="C425" t="s" s="55">
        <v>129</v>
      </c>
      <c r="D425" t="s" s="18">
        <v>469</v>
      </c>
      <c r="E425" s="39"/>
      <c r="F425" s="40"/>
      <c r="G425" s="41">
        <v>6900</v>
      </c>
      <c r="H425" s="42" cm="1">
        <f t="array" ref="H425">G425/I425</f>
        <v>88.3743842364532</v>
      </c>
      <c r="I425" s="43" cm="1">
        <f t="array" ref="I425">I424</f>
        <v>78.07692307692309</v>
      </c>
      <c r="J425" s="44"/>
      <c r="K425" s="40"/>
      <c r="L425" s="35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ht="12.75" customHeight="1">
      <c r="A426" s="109">
        <v>43985</v>
      </c>
      <c r="B426" s="46"/>
      <c r="C426" t="s" s="54">
        <v>12</v>
      </c>
      <c r="D426" t="s" s="48">
        <v>470</v>
      </c>
      <c r="E426" s="49"/>
      <c r="F426" s="50"/>
      <c r="G426" s="51">
        <v>219812.8</v>
      </c>
      <c r="H426" s="52">
        <v>2818</v>
      </c>
      <c r="I426" s="53" cm="1">
        <f t="array" ref="I426">G426/H426</f>
        <v>78.003122782115</v>
      </c>
      <c r="J426" s="44"/>
      <c r="K426" s="40"/>
      <c r="L426" s="35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ht="12.75" customHeight="1">
      <c r="A427" s="108">
        <v>44015</v>
      </c>
      <c r="B427" s="37"/>
      <c r="C427" t="s" s="55">
        <v>79</v>
      </c>
      <c r="D427" t="s" s="18">
        <v>471</v>
      </c>
      <c r="E427" s="39"/>
      <c r="F427" s="40"/>
      <c r="G427" s="41">
        <v>6521.47</v>
      </c>
      <c r="H427" s="42" cm="1">
        <f t="array" ref="H427">G427/I427</f>
        <v>83.6052425518441</v>
      </c>
      <c r="I427" s="43" cm="1">
        <f t="array" ref="I427">I426</f>
        <v>78.003122782115</v>
      </c>
      <c r="J427" s="44"/>
      <c r="K427" s="40"/>
      <c r="L427" s="35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ht="12.75" customHeight="1">
      <c r="A428" s="109">
        <v>44015</v>
      </c>
      <c r="B428" s="46"/>
      <c r="C428" t="s" s="54">
        <v>21</v>
      </c>
      <c r="D428" t="s" s="48">
        <v>472</v>
      </c>
      <c r="E428" s="49"/>
      <c r="F428" s="50"/>
      <c r="G428" s="51">
        <v>64325.09</v>
      </c>
      <c r="H428" s="52" cm="1">
        <f t="array" ref="H428">G428/I428</f>
        <v>824.647625706965</v>
      </c>
      <c r="I428" s="53" cm="1">
        <f t="array" ref="I428">I427</f>
        <v>78.003122782115</v>
      </c>
      <c r="J428" s="44"/>
      <c r="K428" s="40"/>
      <c r="L428" s="35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ht="12.75" customHeight="1">
      <c r="A429" s="108">
        <v>44107</v>
      </c>
      <c r="B429" s="37"/>
      <c r="C429" t="s" s="55">
        <v>81</v>
      </c>
      <c r="D429" t="s" s="18">
        <v>473</v>
      </c>
      <c r="E429" s="39"/>
      <c r="F429" s="40"/>
      <c r="G429" s="41">
        <v>312570.52</v>
      </c>
      <c r="H429" s="42" cm="1">
        <f t="array" ref="H429">G429/I429</f>
        <v>4007.153929889430</v>
      </c>
      <c r="I429" s="43" cm="1">
        <f t="array" ref="I429">I428</f>
        <v>78.003122782115</v>
      </c>
      <c r="J429" s="44"/>
      <c r="K429" s="40"/>
      <c r="L429" s="35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ht="12.75" customHeight="1">
      <c r="A430" s="109">
        <v>44107</v>
      </c>
      <c r="B430" s="46"/>
      <c r="C430" t="s" s="54">
        <v>474</v>
      </c>
      <c r="D430" t="s" s="48">
        <v>475</v>
      </c>
      <c r="E430" s="49"/>
      <c r="F430" s="50"/>
      <c r="G430" s="51">
        <v>80000</v>
      </c>
      <c r="H430" s="52">
        <v>1000</v>
      </c>
      <c r="I430" s="53" cm="1">
        <f t="array" ref="I430">G430/H430</f>
        <v>80</v>
      </c>
      <c r="J430" s="44"/>
      <c r="K430" s="40"/>
      <c r="L430" s="35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ht="12.75" customHeight="1">
      <c r="A431" t="s" s="17">
        <v>476</v>
      </c>
      <c r="B431" s="37"/>
      <c r="C431" t="s" s="55">
        <v>21</v>
      </c>
      <c r="D431" t="s" s="18">
        <v>477</v>
      </c>
      <c r="E431" s="39"/>
      <c r="F431" s="40"/>
      <c r="G431" s="41">
        <v>89.29000000000001</v>
      </c>
      <c r="H431" s="42" cm="1">
        <f t="array" ref="H431">G431/I431</f>
        <v>1.06297619047619</v>
      </c>
      <c r="I431" s="43">
        <v>84</v>
      </c>
      <c r="J431" s="44"/>
      <c r="K431" s="40"/>
      <c r="L431" s="35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ht="12.75" customHeight="1">
      <c r="A432" s="109">
        <v>44016</v>
      </c>
      <c r="B432" s="63">
        <v>1651</v>
      </c>
      <c r="C432" t="s" s="54">
        <v>235</v>
      </c>
      <c r="D432" t="s" s="48">
        <v>478</v>
      </c>
      <c r="E432" s="49"/>
      <c r="F432" s="50"/>
      <c r="G432" s="51">
        <v>323718.66</v>
      </c>
      <c r="H432" s="52">
        <v>2690</v>
      </c>
      <c r="I432" s="53" cm="1">
        <f t="array" ref="I432">G432/H432</f>
        <v>120.341509293680</v>
      </c>
      <c r="J432" s="44"/>
      <c r="K432" s="40"/>
      <c r="L432" s="35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ht="12.75" customHeight="1">
      <c r="A433" t="s" s="17">
        <v>479</v>
      </c>
      <c r="B433" s="60">
        <v>626</v>
      </c>
      <c r="C433" t="s" s="55">
        <v>81</v>
      </c>
      <c r="D433" t="s" s="18">
        <v>480</v>
      </c>
      <c r="E433" s="39"/>
      <c r="F433" s="40"/>
      <c r="G433" s="41">
        <v>312570.52</v>
      </c>
      <c r="H433" s="42">
        <v>3722</v>
      </c>
      <c r="I433" s="43" cm="1">
        <f t="array" ref="I433">G433/H433</f>
        <v>83.979183234820</v>
      </c>
      <c r="J433" s="44"/>
      <c r="K433" s="40"/>
      <c r="L433" s="35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ht="12.75" customHeight="1">
      <c r="A434" t="s" s="84">
        <v>481</v>
      </c>
      <c r="B434" s="46"/>
      <c r="C434" t="s" s="54">
        <v>79</v>
      </c>
      <c r="D434" t="s" s="48">
        <v>482</v>
      </c>
      <c r="E434" s="49"/>
      <c r="F434" s="50"/>
      <c r="G434" s="51">
        <v>9387.450000000001</v>
      </c>
      <c r="H434" s="52" cm="1">
        <f t="array" ref="H434">G434/I434</f>
        <v>93.8745</v>
      </c>
      <c r="I434" s="53">
        <v>100</v>
      </c>
      <c r="J434" s="44"/>
      <c r="K434" s="40"/>
      <c r="L434" s="35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ht="12.75" customHeight="1">
      <c r="A435" s="36">
        <v>43956</v>
      </c>
      <c r="B435" t="s" s="17">
        <v>483</v>
      </c>
      <c r="C435" t="s" s="55">
        <v>235</v>
      </c>
      <c r="D435" t="s" s="18">
        <v>484</v>
      </c>
      <c r="E435" s="39"/>
      <c r="F435" s="40"/>
      <c r="G435" s="41">
        <v>2134770</v>
      </c>
      <c r="H435" s="42" cm="1">
        <f t="array" ref="H435">6052+8235+8235</f>
        <v>22522</v>
      </c>
      <c r="I435" s="43" cm="1">
        <f t="array" ref="I435">G435/H435</f>
        <v>94.78598703489919</v>
      </c>
      <c r="J435" s="44"/>
      <c r="K435" s="40"/>
      <c r="L435" s="35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ht="12.75" customHeight="1">
      <c r="A436" s="45">
        <v>43956</v>
      </c>
      <c r="B436" s="63">
        <v>627</v>
      </c>
      <c r="C436" t="s" s="54">
        <v>81</v>
      </c>
      <c r="D436" t="s" s="48">
        <v>485</v>
      </c>
      <c r="E436" s="49"/>
      <c r="F436" s="50"/>
      <c r="G436" s="51">
        <v>312570.52</v>
      </c>
      <c r="H436" s="52">
        <v>2604</v>
      </c>
      <c r="I436" s="53" cm="1">
        <f t="array" ref="I436">G436/H436</f>
        <v>120.034761904762</v>
      </c>
      <c r="J436" s="44"/>
      <c r="K436" s="40"/>
      <c r="L436" s="35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ht="12.75" customHeight="1">
      <c r="A437" t="s" s="17">
        <v>486</v>
      </c>
      <c r="B437" s="37"/>
      <c r="C437" t="s" s="55">
        <v>14</v>
      </c>
      <c r="D437" t="s" s="18">
        <v>487</v>
      </c>
      <c r="E437" s="39"/>
      <c r="F437" s="40"/>
      <c r="G437" s="41">
        <v>1837.51</v>
      </c>
      <c r="H437" s="42" cm="1">
        <f t="array" ref="H437">G437/I437</f>
        <v>14.355546875</v>
      </c>
      <c r="I437" s="43">
        <v>128</v>
      </c>
      <c r="J437" s="44"/>
      <c r="K437" s="40"/>
      <c r="L437" t="s" s="111">
        <v>488</v>
      </c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ht="12.75" customHeight="1">
      <c r="A438" t="s" s="84">
        <v>486</v>
      </c>
      <c r="B438" s="63">
        <v>15158</v>
      </c>
      <c r="C438" t="s" s="54">
        <v>258</v>
      </c>
      <c r="D438" t="s" s="48">
        <v>489</v>
      </c>
      <c r="E438" s="49"/>
      <c r="F438" s="50"/>
      <c r="G438" s="51">
        <v>6494.6</v>
      </c>
      <c r="H438" s="52">
        <v>50</v>
      </c>
      <c r="I438" s="53" cm="1">
        <f t="array" ref="I438">G438/H438</f>
        <v>129.892</v>
      </c>
      <c r="J438" s="44"/>
      <c r="K438" s="40"/>
      <c r="L438" s="35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ht="12.75" customHeight="1">
      <c r="A439" t="s" s="17">
        <v>486</v>
      </c>
      <c r="B439" s="60">
        <v>15160</v>
      </c>
      <c r="C439" t="s" s="55">
        <v>258</v>
      </c>
      <c r="D439" t="s" s="18">
        <v>489</v>
      </c>
      <c r="E439" s="39"/>
      <c r="F439" s="40"/>
      <c r="G439" s="41">
        <v>1585.31</v>
      </c>
      <c r="H439" s="42">
        <v>12</v>
      </c>
      <c r="I439" s="43" cm="1">
        <f t="array" ref="I439">G439/H439</f>
        <v>132.109166666667</v>
      </c>
      <c r="J439" s="44"/>
      <c r="K439" s="40"/>
      <c r="L439" s="35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ht="12.75" customHeight="1">
      <c r="A440" t="s" s="84">
        <v>486</v>
      </c>
      <c r="B440" s="63">
        <v>1894</v>
      </c>
      <c r="C440" t="s" s="54">
        <v>235</v>
      </c>
      <c r="D440" t="s" s="48">
        <v>490</v>
      </c>
      <c r="E440" s="49"/>
      <c r="F440" s="50"/>
      <c r="G440" s="51">
        <v>2170</v>
      </c>
      <c r="H440" s="52">
        <v>17</v>
      </c>
      <c r="I440" s="53" cm="1">
        <f t="array" ref="I440">G440/H440</f>
        <v>127.647058823529</v>
      </c>
      <c r="J440" s="44"/>
      <c r="K440" s="40"/>
      <c r="L440" s="35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ht="12.75" customHeight="1">
      <c r="A441" t="s" s="17">
        <v>486</v>
      </c>
      <c r="B441" s="60">
        <v>1898</v>
      </c>
      <c r="C441" t="s" s="55">
        <v>235</v>
      </c>
      <c r="D441" t="s" s="18">
        <v>491</v>
      </c>
      <c r="E441" s="39"/>
      <c r="F441" s="40"/>
      <c r="G441" s="41">
        <v>1900</v>
      </c>
      <c r="H441" s="42">
        <v>15</v>
      </c>
      <c r="I441" s="43" cm="1">
        <f t="array" ref="I441">G441/H441</f>
        <v>126.666666666667</v>
      </c>
      <c r="J441" s="44"/>
      <c r="K441" s="40"/>
      <c r="L441" s="35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ht="12.75" customHeight="1">
      <c r="A442" t="s" s="84">
        <v>492</v>
      </c>
      <c r="B442" s="46"/>
      <c r="C442" t="s" s="54">
        <v>79</v>
      </c>
      <c r="D442" t="s" s="48">
        <v>493</v>
      </c>
      <c r="E442" s="49"/>
      <c r="F442" s="50"/>
      <c r="G442" s="51">
        <v>9387.450000000001</v>
      </c>
      <c r="H442" s="52" cm="1">
        <f t="array" ref="H442">G442/I442</f>
        <v>73.33945312500001</v>
      </c>
      <c r="I442" s="53" cm="1">
        <f t="array" ref="I442">I437</f>
        <v>128</v>
      </c>
      <c r="J442" s="44"/>
      <c r="K442" s="40"/>
      <c r="L442" s="35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ht="12.75" customHeight="1">
      <c r="A443" t="s" s="17">
        <v>494</v>
      </c>
      <c r="B443" s="60">
        <v>2044</v>
      </c>
      <c r="C443" t="s" s="55">
        <v>235</v>
      </c>
      <c r="D443" t="s" s="18">
        <v>491</v>
      </c>
      <c r="E443" s="39"/>
      <c r="F443" s="40"/>
      <c r="G443" s="41">
        <v>1570</v>
      </c>
      <c r="H443" s="42">
        <v>14</v>
      </c>
      <c r="I443" s="43" cm="1">
        <f t="array" ref="I443">G443/H443</f>
        <v>112.142857142857</v>
      </c>
      <c r="J443" s="44"/>
      <c r="K443" s="40"/>
      <c r="L443" s="35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ht="12.75" customHeight="1">
      <c r="A444" t="s" s="84">
        <v>494</v>
      </c>
      <c r="B444" s="46"/>
      <c r="C444" t="s" s="54">
        <v>14</v>
      </c>
      <c r="D444" t="s" s="48">
        <v>495</v>
      </c>
      <c r="E444" s="49"/>
      <c r="F444" s="50"/>
      <c r="G444" s="51">
        <v>2118.78</v>
      </c>
      <c r="H444" s="52" cm="1">
        <f t="array" ref="H444">G444/I444</f>
        <v>18.8935796178344</v>
      </c>
      <c r="I444" s="53" cm="1">
        <f t="array" ref="I444">I443</f>
        <v>112.142857142857</v>
      </c>
      <c r="J444" s="44"/>
      <c r="K444" s="40"/>
      <c r="L444" s="35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ht="12.75" customHeight="1">
      <c r="A445" t="s" s="17">
        <v>494</v>
      </c>
      <c r="B445" s="37"/>
      <c r="C445" t="s" s="55">
        <v>14</v>
      </c>
      <c r="D445" t="s" s="18">
        <v>496</v>
      </c>
      <c r="E445" s="39"/>
      <c r="F445" s="40"/>
      <c r="G445" s="41">
        <v>1922.72</v>
      </c>
      <c r="H445" s="42" cm="1">
        <f t="array" ref="H445">G445/I445</f>
        <v>17.1452738853503</v>
      </c>
      <c r="I445" s="43" cm="1">
        <f t="array" ref="I445">I444</f>
        <v>112.142857142857</v>
      </c>
      <c r="J445" s="44"/>
      <c r="K445" s="40"/>
      <c r="L445" s="35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ht="12.75" customHeight="1">
      <c r="A446" s="109">
        <v>43867</v>
      </c>
      <c r="B446" s="63">
        <v>8595</v>
      </c>
      <c r="C446" t="s" s="54">
        <v>200</v>
      </c>
      <c r="D446" t="s" s="48">
        <v>497</v>
      </c>
      <c r="E446" s="49"/>
      <c r="F446" s="50"/>
      <c r="G446" s="51">
        <v>529976.84</v>
      </c>
      <c r="H446" s="52">
        <v>4446</v>
      </c>
      <c r="I446" s="53" cm="1">
        <f t="array" ref="I446">I445</f>
        <v>112.142857142857</v>
      </c>
      <c r="J446" s="44"/>
      <c r="K446" s="40"/>
      <c r="L446" s="35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ht="12.75" customHeight="1">
      <c r="A447" s="108">
        <v>43896</v>
      </c>
      <c r="B447" s="60">
        <v>2086</v>
      </c>
      <c r="C447" t="s" s="55">
        <v>235</v>
      </c>
      <c r="D447" t="s" s="18">
        <v>498</v>
      </c>
      <c r="E447" s="39"/>
      <c r="F447" s="40"/>
      <c r="G447" s="41">
        <v>1260</v>
      </c>
      <c r="H447" s="42" cm="1">
        <f t="array" ref="H447">G447/I447</f>
        <v>11.2356687898089</v>
      </c>
      <c r="I447" s="43" cm="1">
        <f t="array" ref="I447">I446</f>
        <v>112.142857142857</v>
      </c>
      <c r="J447" s="44"/>
      <c r="K447" s="40"/>
      <c r="L447" s="35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ht="12.75" customHeight="1">
      <c r="A448" s="109">
        <v>44049</v>
      </c>
      <c r="B448" s="46"/>
      <c r="C448" t="s" s="54">
        <v>79</v>
      </c>
      <c r="D448" t="s" s="48">
        <v>499</v>
      </c>
      <c r="E448" s="49"/>
      <c r="F448" s="50"/>
      <c r="G448" s="51">
        <v>1786.13</v>
      </c>
      <c r="H448" s="52" cm="1">
        <f t="array" ref="H448">G448/I448</f>
        <v>15.9272738853503</v>
      </c>
      <c r="I448" s="53" cm="1">
        <f t="array" ref="I448">I447</f>
        <v>112.142857142857</v>
      </c>
      <c r="J448" s="44"/>
      <c r="K448" s="40"/>
      <c r="L448" s="35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ht="12.75" customHeight="1">
      <c r="A449" s="108">
        <v>44110</v>
      </c>
      <c r="B449" s="37"/>
      <c r="C449" t="s" s="55">
        <v>21</v>
      </c>
      <c r="D449" t="s" s="18">
        <v>500</v>
      </c>
      <c r="E449" s="39"/>
      <c r="F449" s="40"/>
      <c r="G449" s="41">
        <v>12378.07</v>
      </c>
      <c r="H449" s="42" cm="1">
        <f t="array" ref="H449">G449/I449</f>
        <v>110.377694267516</v>
      </c>
      <c r="I449" s="43" cm="1">
        <f t="array" ref="I449">I448</f>
        <v>112.142857142857</v>
      </c>
      <c r="J449" s="44"/>
      <c r="K449" s="40"/>
      <c r="L449" s="35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ht="12.75" customHeight="1">
      <c r="A450" t="s" s="84">
        <v>501</v>
      </c>
      <c r="B450" s="46"/>
      <c r="C450" t="s" s="54">
        <v>258</v>
      </c>
      <c r="D450" t="s" s="48">
        <v>502</v>
      </c>
      <c r="E450" s="49"/>
      <c r="F450" s="50"/>
      <c r="G450" s="51">
        <v>6081.3</v>
      </c>
      <c r="H450" s="52">
        <v>67.5</v>
      </c>
      <c r="I450" s="53" cm="1">
        <f t="array" ref="I450">I449</f>
        <v>112.142857142857</v>
      </c>
      <c r="J450" s="44"/>
      <c r="K450" s="40"/>
      <c r="L450" s="35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ht="12.75" customHeight="1">
      <c r="A451" t="s" s="17">
        <v>501</v>
      </c>
      <c r="B451" s="37"/>
      <c r="C451" t="s" s="55">
        <v>258</v>
      </c>
      <c r="D451" t="s" s="18">
        <v>503</v>
      </c>
      <c r="E451" s="39"/>
      <c r="F451" s="40"/>
      <c r="G451" s="41">
        <v>7319.13</v>
      </c>
      <c r="H451" s="42">
        <v>59</v>
      </c>
      <c r="I451" s="43" cm="1">
        <f t="array" ref="I451">I450</f>
        <v>112.142857142857</v>
      </c>
      <c r="J451" s="44"/>
      <c r="K451" s="40"/>
      <c r="L451" s="35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ht="12.75" customHeight="1">
      <c r="A452" s="45">
        <v>43983</v>
      </c>
      <c r="B452" s="46"/>
      <c r="C452" t="s" s="54">
        <v>45</v>
      </c>
      <c r="D452" t="s" s="48">
        <v>504</v>
      </c>
      <c r="E452" s="49"/>
      <c r="F452" s="50"/>
      <c r="G452" s="51">
        <v>500000</v>
      </c>
      <c r="H452" s="52">
        <v>5000</v>
      </c>
      <c r="I452" s="53" cm="1">
        <f t="array" ref="I452">G452/H452</f>
        <v>100</v>
      </c>
      <c r="J452" s="44"/>
      <c r="K452" s="40"/>
      <c r="L452" s="35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ht="12.75" customHeight="1">
      <c r="A453" t="s" s="17">
        <v>505</v>
      </c>
      <c r="B453" s="37"/>
      <c r="C453" t="s" s="55">
        <v>178</v>
      </c>
      <c r="D453" t="s" s="18">
        <v>506</v>
      </c>
      <c r="E453" s="39"/>
      <c r="F453" s="40"/>
      <c r="G453" s="41">
        <v>9746.719999999999</v>
      </c>
      <c r="H453" s="42">
        <v>78</v>
      </c>
      <c r="I453" s="43" cm="1">
        <f t="array" ref="I453">G453/H453</f>
        <v>124.957948717949</v>
      </c>
      <c r="J453" s="44"/>
      <c r="K453" s="40"/>
      <c r="L453" s="35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ht="12.75" customHeight="1">
      <c r="A454" t="s" s="84">
        <v>505</v>
      </c>
      <c r="B454" s="46"/>
      <c r="C454" t="s" s="54">
        <v>178</v>
      </c>
      <c r="D454" t="s" s="48">
        <v>507</v>
      </c>
      <c r="E454" s="49"/>
      <c r="F454" s="50"/>
      <c r="G454" s="51">
        <v>3029.95</v>
      </c>
      <c r="H454" s="52" cm="1">
        <f t="array" ref="H454">G454/I454</f>
        <v>24.247757194215</v>
      </c>
      <c r="I454" s="53" cm="1">
        <f t="array" ref="I454">I453</f>
        <v>124.957948717949</v>
      </c>
      <c r="J454" s="44"/>
      <c r="K454" s="40"/>
      <c r="L454" s="35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ht="12.75" customHeight="1">
      <c r="A455" t="s" s="17">
        <v>508</v>
      </c>
      <c r="B455" s="37"/>
      <c r="C455" t="s" s="55">
        <v>178</v>
      </c>
      <c r="D455" t="s" s="18">
        <v>509</v>
      </c>
      <c r="E455" s="39"/>
      <c r="F455" s="40"/>
      <c r="G455" s="41">
        <v>29079.64</v>
      </c>
      <c r="H455" s="42" cm="1">
        <f t="array" ref="H455">G455/I455</f>
        <v>232.715407850025</v>
      </c>
      <c r="I455" s="43" cm="1">
        <f t="array" ref="I455">I454</f>
        <v>124.957948717949</v>
      </c>
      <c r="J455" s="44"/>
      <c r="K455" s="40"/>
      <c r="L455" s="35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ht="12.75" customHeight="1">
      <c r="A456" s="109">
        <v>43897</v>
      </c>
      <c r="B456" s="46"/>
      <c r="C456" t="s" s="54">
        <v>510</v>
      </c>
      <c r="D456" t="s" s="48">
        <v>511</v>
      </c>
      <c r="E456" s="49"/>
      <c r="F456" s="50"/>
      <c r="G456" s="51">
        <v>77326.87</v>
      </c>
      <c r="H456" s="52">
        <v>620</v>
      </c>
      <c r="I456" s="53" cm="1">
        <f t="array" ref="I456">G456/H456</f>
        <v>124.720758064516</v>
      </c>
      <c r="J456" s="44"/>
      <c r="K456" s="40"/>
      <c r="L456" s="35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ht="12.75" customHeight="1">
      <c r="A457" s="108">
        <v>43989</v>
      </c>
      <c r="B457" s="37"/>
      <c r="C457" t="s" s="55">
        <v>168</v>
      </c>
      <c r="D457" t="s" s="18">
        <v>511</v>
      </c>
      <c r="E457" s="39"/>
      <c r="F457" s="40"/>
      <c r="G457" s="41">
        <v>1317.32</v>
      </c>
      <c r="H457" s="42" cm="1">
        <f t="array" ref="H457">G457/I457</f>
        <v>10.5621551732276</v>
      </c>
      <c r="I457" s="43" cm="1">
        <f t="array" ref="I457">I456</f>
        <v>124.720758064516</v>
      </c>
      <c r="J457" s="44"/>
      <c r="K457" s="40"/>
      <c r="L457" s="35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ht="12.75" customHeight="1">
      <c r="A458" s="109">
        <v>44050</v>
      </c>
      <c r="B458" s="46"/>
      <c r="C458" t="s" s="54">
        <v>79</v>
      </c>
      <c r="D458" t="s" s="48">
        <v>512</v>
      </c>
      <c r="E458" s="49"/>
      <c r="F458" s="50"/>
      <c r="G458" s="51">
        <v>1793.91</v>
      </c>
      <c r="H458" s="52" cm="1">
        <f t="array" ref="H458">G458/I458</f>
        <v>14.3834116135827</v>
      </c>
      <c r="I458" s="53" cm="1">
        <f t="array" ref="I458">I457</f>
        <v>124.720758064516</v>
      </c>
      <c r="J458" s="44"/>
      <c r="K458" s="40"/>
      <c r="L458" s="35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ht="12.75" customHeight="1">
      <c r="A459" t="s" s="17">
        <v>513</v>
      </c>
      <c r="B459" s="37"/>
      <c r="C459" t="s" s="55">
        <v>21</v>
      </c>
      <c r="D459" t="s" s="18">
        <v>514</v>
      </c>
      <c r="E459" s="39"/>
      <c r="F459" s="40"/>
      <c r="G459" s="41">
        <v>11780.22</v>
      </c>
      <c r="H459" s="42" cm="1">
        <f t="array" ref="H459">G459/I459</f>
        <v>94.4527613751857</v>
      </c>
      <c r="I459" s="43" cm="1">
        <f t="array" ref="I459">I458</f>
        <v>124.720758064516</v>
      </c>
      <c r="J459" s="44"/>
      <c r="K459" s="40"/>
      <c r="L459" s="35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ht="12.75" customHeight="1">
      <c r="A460" t="s" s="84">
        <v>515</v>
      </c>
      <c r="B460" s="46"/>
      <c r="C460" t="s" s="54">
        <v>208</v>
      </c>
      <c r="D460" t="s" s="48">
        <v>516</v>
      </c>
      <c r="E460" s="49"/>
      <c r="F460" s="50"/>
      <c r="G460" s="51">
        <v>459.34</v>
      </c>
      <c r="H460" s="52" cm="1">
        <f t="array" ref="H460">G460/I460</f>
        <v>3.68294746703184</v>
      </c>
      <c r="I460" s="53" cm="1">
        <f t="array" ref="I460">I459</f>
        <v>124.720758064516</v>
      </c>
      <c r="J460" s="44"/>
      <c r="K460" s="40"/>
      <c r="L460" s="35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ht="12.75" customHeight="1">
      <c r="A461" t="s" s="17">
        <v>515</v>
      </c>
      <c r="B461" s="37"/>
      <c r="C461" t="s" s="55">
        <v>208</v>
      </c>
      <c r="D461" t="s" s="18">
        <v>516</v>
      </c>
      <c r="E461" s="39"/>
      <c r="F461" s="40"/>
      <c r="G461" s="41">
        <v>13109.11</v>
      </c>
      <c r="H461" s="42" cm="1">
        <f t="array" ref="H461">G461/I461</f>
        <v>105.107683784434</v>
      </c>
      <c r="I461" s="43" cm="1">
        <f t="array" ref="I461">I460</f>
        <v>124.720758064516</v>
      </c>
      <c r="J461" s="44"/>
      <c r="K461" s="40"/>
      <c r="L461" s="35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ht="12.75" customHeight="1">
      <c r="A462" t="s" s="84">
        <v>517</v>
      </c>
      <c r="B462" s="46"/>
      <c r="C462" t="s" s="54">
        <v>133</v>
      </c>
      <c r="D462" t="s" s="48">
        <v>491</v>
      </c>
      <c r="E462" s="49"/>
      <c r="F462" s="50"/>
      <c r="G462" s="51">
        <v>11260</v>
      </c>
      <c r="H462" s="52">
        <v>87</v>
      </c>
      <c r="I462" s="53" cm="1">
        <f t="array" ref="I462">G462/H462</f>
        <v>129.425287356322</v>
      </c>
      <c r="J462" s="44"/>
      <c r="K462" s="40"/>
      <c r="L462" s="35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ht="12.75" customHeight="1">
      <c r="A463" t="s" s="17">
        <v>515</v>
      </c>
      <c r="B463" s="37"/>
      <c r="C463" t="s" s="55">
        <v>258</v>
      </c>
      <c r="D463" t="s" s="18">
        <v>518</v>
      </c>
      <c r="E463" s="39"/>
      <c r="F463" s="40"/>
      <c r="G463" s="41">
        <v>2000.23</v>
      </c>
      <c r="H463" s="42">
        <v>16</v>
      </c>
      <c r="I463" s="43" cm="1">
        <f t="array" ref="I463">G463/H463</f>
        <v>125.014375</v>
      </c>
      <c r="J463" s="44"/>
      <c r="K463" s="40"/>
      <c r="L463" s="35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ht="12.75" customHeight="1">
      <c r="A464" t="s" s="84">
        <v>519</v>
      </c>
      <c r="B464" s="46"/>
      <c r="C464" t="s" s="54">
        <v>14</v>
      </c>
      <c r="D464" t="s" s="48">
        <v>520</v>
      </c>
      <c r="E464" s="49"/>
      <c r="F464" s="50"/>
      <c r="G464" s="51">
        <v>2063.58</v>
      </c>
      <c r="H464" s="52" cm="1">
        <f t="array" ref="H464">G464/I464</f>
        <v>16.5067417247017</v>
      </c>
      <c r="I464" s="53" cm="1">
        <f t="array" ref="I464">I463</f>
        <v>125.014375</v>
      </c>
      <c r="J464" s="44"/>
      <c r="K464" s="40"/>
      <c r="L464" s="35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ht="12.75" customHeight="1">
      <c r="A465" s="108">
        <v>43898</v>
      </c>
      <c r="B465" s="37"/>
      <c r="C465" t="s" s="55">
        <v>14</v>
      </c>
      <c r="D465" t="s" s="18">
        <v>521</v>
      </c>
      <c r="E465" s="39"/>
      <c r="F465" s="40"/>
      <c r="G465" s="41">
        <v>1972.18</v>
      </c>
      <c r="H465" s="42" cm="1">
        <f t="array" ref="H465">G465/I465</f>
        <v>15.1404391559387</v>
      </c>
      <c r="I465" s="43" cm="1">
        <f t="array" ref="I465">I466</f>
        <v>130.259101449275</v>
      </c>
      <c r="J465" s="44"/>
      <c r="K465" s="40"/>
      <c r="L465" s="35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ht="12.75" customHeight="1">
      <c r="A466" s="109">
        <v>43959</v>
      </c>
      <c r="B466" s="63">
        <v>9960</v>
      </c>
      <c r="C466" t="s" s="54">
        <v>200</v>
      </c>
      <c r="D466" t="s" s="48">
        <v>522</v>
      </c>
      <c r="E466" s="49"/>
      <c r="F466" s="50"/>
      <c r="G466" s="51">
        <v>44939.39</v>
      </c>
      <c r="H466" s="52">
        <v>345</v>
      </c>
      <c r="I466" s="53" cm="1">
        <f t="array" ref="I466">G466/H466</f>
        <v>130.259101449275</v>
      </c>
      <c r="J466" s="44"/>
      <c r="K466" s="40"/>
      <c r="L466" s="35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ht="12.75" customHeight="1">
      <c r="A467" s="108">
        <v>43959</v>
      </c>
      <c r="B467" s="60">
        <v>11437</v>
      </c>
      <c r="C467" t="s" s="55">
        <v>200</v>
      </c>
      <c r="D467" t="s" s="18">
        <v>523</v>
      </c>
      <c r="E467" s="39"/>
      <c r="F467" s="40"/>
      <c r="G467" s="41">
        <v>315855</v>
      </c>
      <c r="H467" s="42">
        <v>2430</v>
      </c>
      <c r="I467" s="43" cm="1">
        <f t="array" ref="I467">G467/H467</f>
        <v>129.981481481481</v>
      </c>
      <c r="J467" s="44"/>
      <c r="K467" s="40"/>
      <c r="L467" s="35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ht="12.75" customHeight="1">
      <c r="A468" s="109">
        <v>43959</v>
      </c>
      <c r="B468" t="s" s="112">
        <v>524</v>
      </c>
      <c r="C468" t="s" s="113">
        <v>235</v>
      </c>
      <c r="D468" t="s" s="114">
        <v>525</v>
      </c>
      <c r="E468" s="115"/>
      <c r="F468" s="98"/>
      <c r="G468" s="51">
        <v>237000</v>
      </c>
      <c r="H468" s="52">
        <v>1825</v>
      </c>
      <c r="I468" s="53" cm="1">
        <f t="array" ref="I468">G468/H468</f>
        <v>129.863013698630</v>
      </c>
      <c r="J468" t="s" s="55">
        <v>526</v>
      </c>
      <c r="K468" s="40"/>
      <c r="L468" s="35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ht="12.75" customHeight="1">
      <c r="A469" s="108">
        <v>44020</v>
      </c>
      <c r="B469" s="60">
        <v>2840</v>
      </c>
      <c r="C469" t="s" s="55">
        <v>235</v>
      </c>
      <c r="D469" t="s" s="18">
        <v>527</v>
      </c>
      <c r="E469" s="39"/>
      <c r="F469" s="40"/>
      <c r="G469" s="41">
        <v>980</v>
      </c>
      <c r="H469" s="42">
        <v>8</v>
      </c>
      <c r="I469" s="43" cm="1">
        <f t="array" ref="I469">G469/H469</f>
        <v>122.5</v>
      </c>
      <c r="J469" s="44"/>
      <c r="K469" s="40"/>
      <c r="L469" s="35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ht="12.75" customHeight="1">
      <c r="A470" s="109">
        <v>44112</v>
      </c>
      <c r="B470" s="46"/>
      <c r="C470" t="s" s="54">
        <v>21</v>
      </c>
      <c r="D470" t="s" s="18">
        <v>528</v>
      </c>
      <c r="E470" s="49"/>
      <c r="F470" s="50"/>
      <c r="G470" s="51">
        <v>11780.22</v>
      </c>
      <c r="H470" s="52" cm="1">
        <f t="array" ref="H470">G470/I470</f>
        <v>90.61707692307689</v>
      </c>
      <c r="I470" s="53">
        <v>130</v>
      </c>
      <c r="J470" s="44"/>
      <c r="K470" s="40"/>
      <c r="L470" s="35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ht="12.75" customHeight="1">
      <c r="A471" s="108">
        <v>44112</v>
      </c>
      <c r="B471" s="37"/>
      <c r="C471" t="s" s="55">
        <v>79</v>
      </c>
      <c r="D471" t="s" s="18">
        <v>529</v>
      </c>
      <c r="E471" s="39"/>
      <c r="F471" s="40"/>
      <c r="G471" s="41">
        <v>4085.57</v>
      </c>
      <c r="H471" s="42" cm="1">
        <f t="array" ref="H471">G471/I471</f>
        <v>31.4274615384615</v>
      </c>
      <c r="I471" s="43" cm="1">
        <f t="array" ref="I471">I470</f>
        <v>130</v>
      </c>
      <c r="J471" s="44"/>
      <c r="K471" s="40"/>
      <c r="L471" s="35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ht="12.75" customHeight="1">
      <c r="A472" s="109">
        <v>44112</v>
      </c>
      <c r="B472" s="46"/>
      <c r="C472" t="s" s="54">
        <v>21</v>
      </c>
      <c r="D472" t="s" s="48">
        <v>530</v>
      </c>
      <c r="E472" s="49"/>
      <c r="F472" s="50"/>
      <c r="G472" s="51">
        <v>2939.56</v>
      </c>
      <c r="H472" s="52">
        <v>23</v>
      </c>
      <c r="I472" s="53" cm="1">
        <f t="array" ref="I472">G472/H472</f>
        <v>127.806956521739</v>
      </c>
      <c r="J472" s="44"/>
      <c r="K472" s="40"/>
      <c r="L472" s="35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t="s" s="87">
        <v>244</v>
      </c>
    </row>
    <row r="473" ht="12.75" customHeight="1">
      <c r="A473" t="s" s="17">
        <v>531</v>
      </c>
      <c r="B473" s="60">
        <v>3966</v>
      </c>
      <c r="C473" t="s" s="55">
        <v>178</v>
      </c>
      <c r="D473" t="s" s="18">
        <v>532</v>
      </c>
      <c r="E473" s="39"/>
      <c r="F473" s="40"/>
      <c r="G473" s="41">
        <v>20327.74</v>
      </c>
      <c r="H473" s="42">
        <v>156</v>
      </c>
      <c r="I473" s="43" cm="1">
        <f t="array" ref="I473">G473/H473</f>
        <v>130.306025641026</v>
      </c>
      <c r="J473" s="44"/>
      <c r="K473" s="40"/>
      <c r="L473" s="35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ht="12.75" customHeight="1">
      <c r="A474" t="s" s="84">
        <v>531</v>
      </c>
      <c r="B474" s="63">
        <v>2964</v>
      </c>
      <c r="C474" t="s" s="54">
        <v>235</v>
      </c>
      <c r="D474" t="s" s="48">
        <v>491</v>
      </c>
      <c r="E474" s="49"/>
      <c r="F474" s="50"/>
      <c r="G474" s="51">
        <v>13700</v>
      </c>
      <c r="H474" s="52">
        <v>105</v>
      </c>
      <c r="I474" s="53" cm="1">
        <f t="array" ref="I474">G474/H474</f>
        <v>130.476190476190</v>
      </c>
      <c r="J474" s="44"/>
      <c r="K474" s="40"/>
      <c r="L474" s="35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ht="12.75" customHeight="1">
      <c r="A475" t="s" s="17">
        <v>533</v>
      </c>
      <c r="B475" t="s" s="17">
        <v>534</v>
      </c>
      <c r="C475" t="s" s="55">
        <v>510</v>
      </c>
      <c r="D475" t="s" s="18">
        <v>535</v>
      </c>
      <c r="E475" s="39"/>
      <c r="F475" s="40"/>
      <c r="G475" s="41">
        <v>500000</v>
      </c>
      <c r="H475" s="42">
        <v>3703</v>
      </c>
      <c r="I475" s="43" cm="1">
        <f t="array" ref="I475">G475/H475</f>
        <v>135.025654874426</v>
      </c>
      <c r="J475" s="44"/>
      <c r="K475" s="40"/>
      <c r="L475" s="35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ht="12.75" customHeight="1">
      <c r="A476" t="s" s="84">
        <v>536</v>
      </c>
      <c r="B476" s="46"/>
      <c r="C476" t="s" s="54">
        <v>14</v>
      </c>
      <c r="D476" t="s" s="48">
        <v>537</v>
      </c>
      <c r="E476" s="49"/>
      <c r="F476" s="50"/>
      <c r="G476" s="51">
        <v>2063.17</v>
      </c>
      <c r="H476" s="52" cm="1">
        <f t="array" ref="H476">G476/I476</f>
        <v>15.2827407407407</v>
      </c>
      <c r="I476" s="53">
        <v>135</v>
      </c>
      <c r="J476" s="44"/>
      <c r="K476" s="40"/>
      <c r="L476" s="35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ht="12.75" customHeight="1">
      <c r="A477" t="s" s="17">
        <v>536</v>
      </c>
      <c r="B477" s="60">
        <v>85637</v>
      </c>
      <c r="C477" t="s" s="55">
        <v>47</v>
      </c>
      <c r="D477" t="s" s="18">
        <v>538</v>
      </c>
      <c r="E477" s="39"/>
      <c r="F477" s="40"/>
      <c r="G477" s="41">
        <v>95129.16</v>
      </c>
      <c r="H477" s="42">
        <v>703</v>
      </c>
      <c r="I477" s="43" cm="1">
        <f t="array" ref="I477">G477/H477</f>
        <v>135.318862019915</v>
      </c>
      <c r="J477" s="44"/>
      <c r="K477" s="40"/>
      <c r="L477" s="35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ht="12.75" customHeight="1">
      <c r="A478" t="s" s="84">
        <v>539</v>
      </c>
      <c r="B478" s="63">
        <v>3835</v>
      </c>
      <c r="C478" t="s" s="54">
        <v>540</v>
      </c>
      <c r="D478" t="s" s="48">
        <v>541</v>
      </c>
      <c r="E478" s="49"/>
      <c r="F478" s="50"/>
      <c r="G478" s="51">
        <v>20370.18</v>
      </c>
      <c r="H478" s="52">
        <v>150</v>
      </c>
      <c r="I478" s="53" cm="1">
        <f t="array" ref="I478">G478/H478</f>
        <v>135.8012</v>
      </c>
      <c r="J478" s="44"/>
      <c r="K478" s="40"/>
      <c r="L478" s="35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ht="12.75" customHeight="1">
      <c r="A479" t="s" s="17">
        <v>542</v>
      </c>
      <c r="B479" s="60">
        <v>10438</v>
      </c>
      <c r="C479" t="s" s="55">
        <v>200</v>
      </c>
      <c r="D479" t="s" s="18">
        <v>541</v>
      </c>
      <c r="E479" s="39"/>
      <c r="F479" s="40"/>
      <c r="G479" s="41">
        <v>108211</v>
      </c>
      <c r="H479" s="42">
        <v>784</v>
      </c>
      <c r="I479" s="43" cm="1">
        <f t="array" ref="I479">G479/H479</f>
        <v>138.024234693878</v>
      </c>
      <c r="J479" s="44"/>
      <c r="K479" s="40"/>
      <c r="L479" s="35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ht="12.75" customHeight="1">
      <c r="A480" t="s" s="84">
        <v>543</v>
      </c>
      <c r="B480" s="63">
        <v>129749</v>
      </c>
      <c r="C480" t="s" s="54">
        <v>168</v>
      </c>
      <c r="D480" t="s" s="48">
        <v>544</v>
      </c>
      <c r="E480" s="49"/>
      <c r="F480" s="50"/>
      <c r="G480" s="51">
        <v>9625.77</v>
      </c>
      <c r="H480" s="52">
        <v>71</v>
      </c>
      <c r="I480" s="53" cm="1">
        <f t="array" ref="I480">G480/H480</f>
        <v>135.574225352113</v>
      </c>
      <c r="J480" s="44"/>
      <c r="K480" s="40"/>
      <c r="L480" s="35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ht="12.75" customHeight="1">
      <c r="A481" t="s" s="17">
        <v>543</v>
      </c>
      <c r="B481" s="60">
        <v>1607300</v>
      </c>
      <c r="C481" t="s" s="55">
        <v>88</v>
      </c>
      <c r="D481" t="s" s="18">
        <v>545</v>
      </c>
      <c r="E481" s="39"/>
      <c r="F481" s="40"/>
      <c r="G481" s="41">
        <v>45570.73</v>
      </c>
      <c r="H481" s="42">
        <v>345</v>
      </c>
      <c r="I481" s="43" cm="1">
        <f t="array" ref="I481">G481/H481</f>
        <v>132.089072463768</v>
      </c>
      <c r="J481" s="44"/>
      <c r="K481" s="40"/>
      <c r="L481" s="35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ht="12.75" customHeight="1">
      <c r="A482" s="109">
        <v>43839</v>
      </c>
      <c r="B482" s="63">
        <v>4105</v>
      </c>
      <c r="C482" t="s" s="54">
        <v>178</v>
      </c>
      <c r="D482" t="s" s="48">
        <v>546</v>
      </c>
      <c r="E482" s="49"/>
      <c r="F482" s="50"/>
      <c r="G482" s="51">
        <v>51515.87</v>
      </c>
      <c r="H482" s="52">
        <v>387</v>
      </c>
      <c r="I482" s="53" cm="1">
        <f t="array" ref="I482">G482/H482</f>
        <v>133.115943152455</v>
      </c>
      <c r="J482" s="44"/>
      <c r="K482" s="40"/>
      <c r="L482" s="35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ht="12.75" customHeight="1">
      <c r="A483" s="108">
        <v>43839</v>
      </c>
      <c r="B483" s="60">
        <v>44195</v>
      </c>
      <c r="C483" t="s" s="55">
        <v>256</v>
      </c>
      <c r="D483" t="s" s="18">
        <v>547</v>
      </c>
      <c r="E483" s="39"/>
      <c r="F483" s="40"/>
      <c r="G483" s="41">
        <v>4468.1</v>
      </c>
      <c r="H483" s="42">
        <v>33</v>
      </c>
      <c r="I483" s="43" cm="1">
        <f t="array" ref="I483">G483/H483</f>
        <v>135.396969696970</v>
      </c>
      <c r="J483" s="44"/>
      <c r="K483" s="40"/>
      <c r="L483" s="35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ht="12.75" customHeight="1">
      <c r="A484" s="109">
        <v>43899</v>
      </c>
      <c r="B484" s="63">
        <v>221</v>
      </c>
      <c r="C484" t="s" s="54">
        <v>510</v>
      </c>
      <c r="D484" t="s" s="48">
        <v>497</v>
      </c>
      <c r="E484" s="49"/>
      <c r="F484" s="50"/>
      <c r="G484" s="51">
        <v>123805.75</v>
      </c>
      <c r="H484" s="52">
        <v>924</v>
      </c>
      <c r="I484" s="53" cm="1">
        <f t="array" ref="I484">G484/H484</f>
        <v>133.988906926407</v>
      </c>
      <c r="J484" s="44"/>
      <c r="K484" s="40"/>
      <c r="L484" s="35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ht="12.75" customHeight="1">
      <c r="A485" s="108">
        <v>43930</v>
      </c>
      <c r="B485" t="s" s="17">
        <v>548</v>
      </c>
      <c r="C485" t="s" s="55">
        <v>510</v>
      </c>
      <c r="D485" t="s" s="18">
        <v>535</v>
      </c>
      <c r="E485" s="39"/>
      <c r="F485" s="40"/>
      <c r="G485" s="41">
        <v>500000</v>
      </c>
      <c r="H485" s="42">
        <v>3676</v>
      </c>
      <c r="I485" s="43" cm="1">
        <f t="array" ref="I485">G485/H485</f>
        <v>136.017410228509</v>
      </c>
      <c r="J485" s="44"/>
      <c r="K485" s="40"/>
      <c r="L485" s="35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ht="12.75" customHeight="1">
      <c r="A486" s="116">
        <v>43899</v>
      </c>
      <c r="B486" t="s" s="117">
        <v>549</v>
      </c>
      <c r="C486" t="s" s="113">
        <v>357</v>
      </c>
      <c r="D486" t="s" s="114">
        <v>550</v>
      </c>
      <c r="E486" s="115"/>
      <c r="F486" s="98"/>
      <c r="G486" s="51">
        <v>2779370</v>
      </c>
      <c r="H486" s="118" cm="1">
        <f t="array" ref="H486">G486/I486</f>
        <v>19168.0689655172</v>
      </c>
      <c r="I486" s="119">
        <v>145</v>
      </c>
      <c r="J486" s="44"/>
      <c r="K486" s="40"/>
      <c r="L486" s="35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ht="12.75" customHeight="1">
      <c r="A487" s="109">
        <v>43930</v>
      </c>
      <c r="B487" s="120"/>
      <c r="C487" t="s" s="55">
        <v>551</v>
      </c>
      <c r="D487" t="s" s="18">
        <v>552</v>
      </c>
      <c r="E487" s="39"/>
      <c r="F487" s="40"/>
      <c r="G487" s="41">
        <v>10000</v>
      </c>
      <c r="H487" s="42" cm="1">
        <f t="array" ref="H487">G487/I487</f>
        <v>68.9655172413793</v>
      </c>
      <c r="I487" s="53">
        <v>145</v>
      </c>
      <c r="J487" s="44"/>
      <c r="K487" s="40"/>
      <c r="L487" s="35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ht="12.75" customHeight="1">
      <c r="A488" s="109">
        <v>44052</v>
      </c>
      <c r="B488" t="s" s="121">
        <v>553</v>
      </c>
      <c r="C488" t="s" s="122">
        <v>357</v>
      </c>
      <c r="D488" t="s" s="123">
        <v>554</v>
      </c>
      <c r="E488" s="49"/>
      <c r="F488" s="50"/>
      <c r="G488" s="51">
        <v>1658440</v>
      </c>
      <c r="H488" s="42" cm="1">
        <f t="array" ref="H488">G488/I488</f>
        <v>11437.5172413793</v>
      </c>
      <c r="I488" s="53">
        <v>145</v>
      </c>
      <c r="J488" s="44"/>
      <c r="K488" s="40"/>
      <c r="L488" s="35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ht="12.75" customHeight="1">
      <c r="A489" s="108">
        <v>44083</v>
      </c>
      <c r="B489" s="37"/>
      <c r="C489" t="s" s="55">
        <v>79</v>
      </c>
      <c r="D489" t="s" s="18">
        <v>555</v>
      </c>
      <c r="E489" s="39"/>
      <c r="F489" s="40"/>
      <c r="G489" s="41">
        <v>4085.57</v>
      </c>
      <c r="H489" s="42" cm="1">
        <f t="array" ref="H489">G489/I489</f>
        <v>30.2634814814815</v>
      </c>
      <c r="I489" s="43">
        <v>135</v>
      </c>
      <c r="J489" s="44"/>
      <c r="K489" s="40"/>
      <c r="L489" s="35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ht="12.75" customHeight="1">
      <c r="A490" s="109">
        <v>44113</v>
      </c>
      <c r="B490" s="46"/>
      <c r="C490" t="s" s="54">
        <v>21</v>
      </c>
      <c r="D490" t="s" s="18">
        <v>556</v>
      </c>
      <c r="E490" s="49"/>
      <c r="F490" s="50"/>
      <c r="G490" s="51">
        <v>11780.22</v>
      </c>
      <c r="H490" s="52" cm="1">
        <f t="array" ref="H490">G490/I490</f>
        <v>87.2608888888889</v>
      </c>
      <c r="I490" s="53">
        <v>135</v>
      </c>
      <c r="J490" s="44"/>
      <c r="K490" s="40"/>
      <c r="L490" s="35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ht="12.75" customHeight="1">
      <c r="A491" t="s" s="17">
        <v>557</v>
      </c>
      <c r="B491" s="60">
        <v>8102</v>
      </c>
      <c r="C491" t="s" s="55">
        <v>258</v>
      </c>
      <c r="D491" t="s" s="18">
        <v>558</v>
      </c>
      <c r="E491" s="39"/>
      <c r="F491" s="40"/>
      <c r="G491" s="41">
        <v>1040</v>
      </c>
      <c r="H491" s="42">
        <v>7</v>
      </c>
      <c r="I491" s="43">
        <v>145</v>
      </c>
      <c r="J491" s="44"/>
      <c r="K491" s="40"/>
      <c r="L491" s="35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ht="12.75" customHeight="1">
      <c r="A492" t="s" s="84">
        <v>559</v>
      </c>
      <c r="B492" s="63">
        <v>3325</v>
      </c>
      <c r="C492" t="s" s="54">
        <v>235</v>
      </c>
      <c r="D492" t="s" s="48">
        <v>560</v>
      </c>
      <c r="E492" s="49"/>
      <c r="F492" s="50"/>
      <c r="G492" s="51">
        <v>10650</v>
      </c>
      <c r="H492" s="52">
        <v>76</v>
      </c>
      <c r="I492" s="53" cm="1">
        <f t="array" ref="I492">G492/H492</f>
        <v>140.131578947368</v>
      </c>
      <c r="J492" s="44"/>
      <c r="K492" s="40"/>
      <c r="L492" s="35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ht="12.75" customHeight="1">
      <c r="A493" t="s" s="17">
        <v>561</v>
      </c>
      <c r="B493" s="60">
        <v>4232</v>
      </c>
      <c r="C493" t="s" s="55">
        <v>178</v>
      </c>
      <c r="D493" t="s" s="18">
        <v>562</v>
      </c>
      <c r="E493" s="39"/>
      <c r="F493" s="40"/>
      <c r="G493" s="41">
        <v>45269.55</v>
      </c>
      <c r="H493" s="42">
        <v>324</v>
      </c>
      <c r="I493" s="43" cm="1">
        <f t="array" ref="I493">G493/H493</f>
        <v>139.720833333333</v>
      </c>
      <c r="J493" s="44"/>
      <c r="K493" s="40"/>
      <c r="L493" s="35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ht="12.75" customHeight="1">
      <c r="A494" t="s" s="84">
        <v>563</v>
      </c>
      <c r="B494" s="63">
        <v>11246</v>
      </c>
      <c r="C494" t="s" s="54">
        <v>200</v>
      </c>
      <c r="D494" t="s" s="48">
        <v>564</v>
      </c>
      <c r="E494" s="49"/>
      <c r="F494" s="50"/>
      <c r="G494" s="51">
        <v>149881</v>
      </c>
      <c r="H494" s="52">
        <v>1033</v>
      </c>
      <c r="I494" s="53" cm="1">
        <f t="array" ref="I494">G494/H494</f>
        <v>145.092933204259</v>
      </c>
      <c r="J494" s="44"/>
      <c r="K494" s="40"/>
      <c r="L494" s="35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ht="12.75" customHeight="1">
      <c r="A495" t="s" s="17">
        <v>563</v>
      </c>
      <c r="B495" s="60">
        <v>131394</v>
      </c>
      <c r="C495" t="s" s="55">
        <v>168</v>
      </c>
      <c r="D495" t="s" s="18">
        <v>565</v>
      </c>
      <c r="E495" s="39"/>
      <c r="F495" s="40"/>
      <c r="G495" s="41">
        <v>2061.08</v>
      </c>
      <c r="H495" s="42">
        <v>14</v>
      </c>
      <c r="I495" s="43" cm="1">
        <f t="array" ref="I495">G495/H495</f>
        <v>147.22</v>
      </c>
      <c r="J495" s="44"/>
      <c r="K495" s="40"/>
      <c r="L495" s="35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ht="12.75" customHeight="1">
      <c r="A496" t="s" s="84">
        <v>566</v>
      </c>
      <c r="B496" s="63">
        <v>4340</v>
      </c>
      <c r="C496" t="s" s="54">
        <v>178</v>
      </c>
      <c r="D496" t="s" s="48">
        <v>567</v>
      </c>
      <c r="E496" s="49"/>
      <c r="F496" s="50"/>
      <c r="G496" s="51">
        <v>31181.69</v>
      </c>
      <c r="H496" s="52">
        <v>208</v>
      </c>
      <c r="I496" s="53" cm="1">
        <f t="array" ref="I496">G496/H496</f>
        <v>149.911971153846</v>
      </c>
      <c r="J496" s="44"/>
      <c r="K496" s="40"/>
      <c r="L496" s="35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ht="12.75" customHeight="1">
      <c r="A497" s="108">
        <v>43992</v>
      </c>
      <c r="B497" s="60">
        <v>4395</v>
      </c>
      <c r="C497" t="s" s="55">
        <v>178</v>
      </c>
      <c r="D497" t="s" s="18">
        <v>568</v>
      </c>
      <c r="E497" s="39"/>
      <c r="F497" s="40"/>
      <c r="G497" s="41">
        <v>42789.05</v>
      </c>
      <c r="H497" s="42">
        <v>294</v>
      </c>
      <c r="I497" s="43" cm="1">
        <f t="array" ref="I497">G497/H497</f>
        <v>145.540986394558</v>
      </c>
      <c r="J497" s="44"/>
      <c r="K497" s="40"/>
      <c r="L497" s="35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ht="12.75" customHeight="1">
      <c r="A498" s="109">
        <v>43992</v>
      </c>
      <c r="B498" s="46"/>
      <c r="C498" t="s" s="54">
        <v>258</v>
      </c>
      <c r="D498" t="s" s="48">
        <v>569</v>
      </c>
      <c r="E498" s="49"/>
      <c r="F498" s="50"/>
      <c r="G498" s="51">
        <v>3770</v>
      </c>
      <c r="H498" s="52">
        <v>25</v>
      </c>
      <c r="I498" s="53" cm="1">
        <f t="array" ref="I498">G498/H498</f>
        <v>150.8</v>
      </c>
      <c r="J498" s="44"/>
      <c r="K498" s="40"/>
      <c r="L498" s="35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ht="12.75" customHeight="1">
      <c r="A499" s="108">
        <v>44022</v>
      </c>
      <c r="B499" s="60">
        <v>84138995</v>
      </c>
      <c r="C499" t="s" s="55">
        <v>79</v>
      </c>
      <c r="D499" t="s" s="18">
        <v>570</v>
      </c>
      <c r="E499" s="39"/>
      <c r="F499" s="40"/>
      <c r="G499" s="41">
        <v>3774.01</v>
      </c>
      <c r="H499" s="42" cm="1">
        <f t="array" ref="H499">G499/I499</f>
        <v>25.1600666666667</v>
      </c>
      <c r="I499" s="43">
        <v>150</v>
      </c>
      <c r="J499" s="44"/>
      <c r="K499" s="40"/>
      <c r="L499" s="35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ht="12.75" customHeight="1">
      <c r="A500" s="109">
        <v>44053</v>
      </c>
      <c r="B500" s="63">
        <v>4425</v>
      </c>
      <c r="C500" t="s" s="54">
        <v>178</v>
      </c>
      <c r="D500" t="s" s="48">
        <v>571</v>
      </c>
      <c r="E500" s="49"/>
      <c r="F500" s="50"/>
      <c r="G500" s="51">
        <v>11804.72</v>
      </c>
      <c r="H500" s="52">
        <v>67</v>
      </c>
      <c r="I500" s="53" cm="1">
        <f t="array" ref="I500">G500/H500</f>
        <v>176.189850746269</v>
      </c>
      <c r="J500" s="44"/>
      <c r="K500" s="40"/>
      <c r="L500" s="35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ht="12.75" customHeight="1">
      <c r="A501" t="s" s="17">
        <v>572</v>
      </c>
      <c r="B501" s="37"/>
      <c r="C501" t="s" s="55">
        <v>258</v>
      </c>
      <c r="D501" t="s" s="18">
        <v>503</v>
      </c>
      <c r="E501" s="39"/>
      <c r="F501" s="40"/>
      <c r="G501" s="41">
        <v>7482.35</v>
      </c>
      <c r="H501" s="42">
        <v>45</v>
      </c>
      <c r="I501" s="43" cm="1">
        <f t="array" ref="I501">G501/H501</f>
        <v>166.274444444444</v>
      </c>
      <c r="J501" s="44"/>
      <c r="K501" s="40"/>
      <c r="L501" s="35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ht="12.75" customHeight="1">
      <c r="A502" t="s" s="84">
        <v>572</v>
      </c>
      <c r="B502" s="63">
        <v>32343</v>
      </c>
      <c r="C502" t="s" s="54">
        <v>258</v>
      </c>
      <c r="D502" t="s" s="48">
        <v>518</v>
      </c>
      <c r="E502" s="49"/>
      <c r="F502" s="50"/>
      <c r="G502" s="51">
        <v>1000.11</v>
      </c>
      <c r="H502" s="52">
        <v>6.5</v>
      </c>
      <c r="I502" s="53" cm="1">
        <f t="array" ref="I502">G502/H502</f>
        <v>153.863076923077</v>
      </c>
      <c r="J502" s="44"/>
      <c r="K502" s="40"/>
      <c r="L502" s="35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ht="12.75" customHeight="1">
      <c r="A503" t="s" s="17">
        <v>572</v>
      </c>
      <c r="B503" s="60">
        <v>956</v>
      </c>
      <c r="C503" t="s" s="55">
        <v>573</v>
      </c>
      <c r="D503" t="s" s="18">
        <v>574</v>
      </c>
      <c r="E503" s="39"/>
      <c r="F503" s="40"/>
      <c r="G503" s="41">
        <v>4899.31</v>
      </c>
      <c r="H503" s="42">
        <v>30</v>
      </c>
      <c r="I503" s="43" cm="1">
        <f t="array" ref="I503">G503/H503</f>
        <v>163.310333333333</v>
      </c>
      <c r="J503" s="44"/>
      <c r="K503" s="40"/>
      <c r="L503" s="92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</row>
    <row r="504" ht="12.75" customHeight="1">
      <c r="A504" t="s" s="84">
        <v>572</v>
      </c>
      <c r="B504" s="46"/>
      <c r="C504" t="s" s="54">
        <v>21</v>
      </c>
      <c r="D504" t="s" s="18">
        <v>575</v>
      </c>
      <c r="E504" s="49"/>
      <c r="F504" s="50"/>
      <c r="G504" s="51">
        <v>16294.04</v>
      </c>
      <c r="H504" s="52" cm="1">
        <f t="array" ref="H504">G504/I504</f>
        <v>95.8472941176471</v>
      </c>
      <c r="I504" s="53">
        <v>170</v>
      </c>
      <c r="J504" s="124"/>
      <c r="K504" s="125"/>
      <c r="L504" s="126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8"/>
    </row>
    <row r="505" ht="12.75" customHeight="1">
      <c r="A505" t="s" s="17">
        <v>576</v>
      </c>
      <c r="B505" s="37"/>
      <c r="C505" t="s" s="55">
        <v>14</v>
      </c>
      <c r="D505" t="s" s="18">
        <v>577</v>
      </c>
      <c r="E505" s="39"/>
      <c r="F505" s="40"/>
      <c r="G505" s="41">
        <v>2129.31</v>
      </c>
      <c r="H505" s="42" cm="1">
        <f t="array" ref="H505">G505/I505</f>
        <v>12.5253529411765</v>
      </c>
      <c r="I505" s="43">
        <v>170</v>
      </c>
      <c r="J505" s="124"/>
      <c r="K505" s="125"/>
      <c r="L505" s="126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8"/>
    </row>
    <row r="506" ht="12.75" customHeight="1">
      <c r="A506" t="s" s="84">
        <v>578</v>
      </c>
      <c r="B506" s="63">
        <v>133138</v>
      </c>
      <c r="C506" t="s" s="54">
        <v>168</v>
      </c>
      <c r="D506" t="s" s="48">
        <v>565</v>
      </c>
      <c r="E506" s="49"/>
      <c r="F506" s="50"/>
      <c r="G506" s="51">
        <v>18749</v>
      </c>
      <c r="H506" s="52">
        <v>105</v>
      </c>
      <c r="I506" s="53" cm="1">
        <f t="array" ref="I506">G506/H506</f>
        <v>178.561904761905</v>
      </c>
      <c r="J506" s="44"/>
      <c r="K506" s="40"/>
      <c r="L506" s="94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6"/>
    </row>
    <row r="507" ht="12.75" customHeight="1">
      <c r="A507" t="s" s="17">
        <v>579</v>
      </c>
      <c r="B507" s="60">
        <v>34725</v>
      </c>
      <c r="C507" t="s" s="55">
        <v>258</v>
      </c>
      <c r="D507" t="s" s="18">
        <v>580</v>
      </c>
      <c r="E507" s="39"/>
      <c r="F507" s="40"/>
      <c r="G507" s="41">
        <v>1359.85</v>
      </c>
      <c r="H507" s="42">
        <v>9.5</v>
      </c>
      <c r="I507" s="43" cm="1">
        <f t="array" ref="I507">G507/H507</f>
        <v>143.142105263158</v>
      </c>
      <c r="J507" s="44"/>
      <c r="K507" s="40"/>
      <c r="L507" s="106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</row>
    <row r="508" ht="12.75" customHeight="1">
      <c r="A508" t="s" s="84">
        <v>581</v>
      </c>
      <c r="B508" s="63">
        <v>1170</v>
      </c>
      <c r="C508" t="s" s="54">
        <v>191</v>
      </c>
      <c r="D508" t="s" s="48">
        <v>582</v>
      </c>
      <c r="E508" s="49"/>
      <c r="F508" s="50"/>
      <c r="G508" s="51">
        <v>1210000</v>
      </c>
      <c r="H508" s="52">
        <v>7114</v>
      </c>
      <c r="I508" s="53" cm="1">
        <f t="array" ref="I508">G508/H508</f>
        <v>170.087152094462</v>
      </c>
      <c r="J508" s="44"/>
      <c r="K508" s="40"/>
      <c r="L508" s="35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ht="12.75" customHeight="1">
      <c r="A509" t="s" s="17">
        <v>581</v>
      </c>
      <c r="B509" s="60">
        <v>3596</v>
      </c>
      <c r="C509" t="s" s="55">
        <v>235</v>
      </c>
      <c r="D509" t="s" s="18">
        <v>583</v>
      </c>
      <c r="E509" s="39"/>
      <c r="F509" s="40"/>
      <c r="G509" s="41">
        <v>28060</v>
      </c>
      <c r="H509" s="42">
        <v>165</v>
      </c>
      <c r="I509" s="43" cm="1">
        <f t="array" ref="I509">G509/H509</f>
        <v>170.060606060606</v>
      </c>
      <c r="J509" s="44"/>
      <c r="K509" s="40"/>
      <c r="L509" s="35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ht="12.75" customHeight="1">
      <c r="A510" t="s" s="84">
        <v>581</v>
      </c>
      <c r="B510" s="63">
        <v>318</v>
      </c>
      <c r="C510" t="s" s="54">
        <v>397</v>
      </c>
      <c r="D510" t="s" s="48">
        <v>584</v>
      </c>
      <c r="E510" s="49"/>
      <c r="F510" s="50"/>
      <c r="G510" s="51">
        <v>81560</v>
      </c>
      <c r="H510" s="52">
        <v>458</v>
      </c>
      <c r="I510" s="53" cm="1">
        <f t="array" ref="I510">G510/H510</f>
        <v>178.078602620087</v>
      </c>
      <c r="J510" s="44"/>
      <c r="K510" s="40"/>
      <c r="L510" s="35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ht="12.75" customHeight="1">
      <c r="A511" t="s" s="17">
        <v>585</v>
      </c>
      <c r="B511" s="60">
        <v>914</v>
      </c>
      <c r="C511" t="s" s="55">
        <v>310</v>
      </c>
      <c r="D511" t="s" s="18">
        <v>586</v>
      </c>
      <c r="E511" s="39"/>
      <c r="F511" s="40"/>
      <c r="G511" s="41">
        <v>1200</v>
      </c>
      <c r="H511" s="42">
        <v>7</v>
      </c>
      <c r="I511" s="43" cm="1">
        <f t="array" ref="I511">G511/H511</f>
        <v>171.428571428571</v>
      </c>
      <c r="J511" s="44"/>
      <c r="K511" s="40"/>
      <c r="L511" s="35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ht="12.75" customHeight="1">
      <c r="A512" t="s" s="84">
        <v>587</v>
      </c>
      <c r="B512" s="63">
        <v>4562</v>
      </c>
      <c r="C512" t="s" s="54">
        <v>178</v>
      </c>
      <c r="D512" t="s" s="48">
        <v>588</v>
      </c>
      <c r="E512" s="49"/>
      <c r="F512" s="50"/>
      <c r="G512" s="51">
        <v>33427.78</v>
      </c>
      <c r="H512" s="52">
        <v>185</v>
      </c>
      <c r="I512" s="53" cm="1">
        <f t="array" ref="I512">G512/H512</f>
        <v>180.690702702703</v>
      </c>
      <c r="J512" s="44"/>
      <c r="K512" s="40"/>
      <c r="L512" s="35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ht="12.75" customHeight="1">
      <c r="A513" t="s" s="17">
        <v>587</v>
      </c>
      <c r="B513" s="37"/>
      <c r="C513" t="s" s="55">
        <v>14</v>
      </c>
      <c r="D513" t="s" s="18">
        <v>577</v>
      </c>
      <c r="E513" s="39"/>
      <c r="F513" s="40"/>
      <c r="G513" s="41">
        <v>2085.82</v>
      </c>
      <c r="H513" s="42" cm="1">
        <f t="array" ref="H513">G513/I513</f>
        <v>11.5878888888889</v>
      </c>
      <c r="I513" s="43">
        <v>180</v>
      </c>
      <c r="J513" s="44"/>
      <c r="K513" s="40"/>
      <c r="L513" s="35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ht="12.75" customHeight="1">
      <c r="A514" t="s" s="84">
        <v>589</v>
      </c>
      <c r="B514" s="46"/>
      <c r="C514" t="s" s="54">
        <v>258</v>
      </c>
      <c r="D514" t="s" s="48">
        <v>590</v>
      </c>
      <c r="E514" s="49"/>
      <c r="F514" s="50"/>
      <c r="G514" s="51">
        <v>2500</v>
      </c>
      <c r="H514" s="52">
        <v>15</v>
      </c>
      <c r="I514" s="53" cm="1">
        <f t="array" ref="I514">G514/H514</f>
        <v>166.666666666667</v>
      </c>
      <c r="J514" s="44"/>
      <c r="K514" s="40"/>
      <c r="L514" s="35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ht="12.75" customHeight="1">
      <c r="A515" t="s" s="17">
        <v>591</v>
      </c>
      <c r="B515" s="60">
        <v>4020</v>
      </c>
      <c r="C515" t="s" s="55">
        <v>258</v>
      </c>
      <c r="D515" t="s" s="18">
        <v>592</v>
      </c>
      <c r="E515" s="39"/>
      <c r="F515" s="40"/>
      <c r="G515" s="41">
        <v>2780.01</v>
      </c>
      <c r="H515" s="42">
        <v>19</v>
      </c>
      <c r="I515" s="43" cm="1">
        <f t="array" ref="I515">G515/H515</f>
        <v>146.316315789474</v>
      </c>
      <c r="J515" s="44"/>
      <c r="K515" s="40"/>
      <c r="L515" s="35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ht="12.75" customHeight="1">
      <c r="A516" t="s" s="84">
        <v>591</v>
      </c>
      <c r="B516" s="63">
        <v>11633</v>
      </c>
      <c r="C516" t="s" s="54">
        <v>200</v>
      </c>
      <c r="D516" t="s" s="48">
        <v>593</v>
      </c>
      <c r="E516" s="49"/>
      <c r="F516" s="50"/>
      <c r="G516" s="51">
        <v>226110.26</v>
      </c>
      <c r="H516" s="52">
        <v>1507</v>
      </c>
      <c r="I516" s="53" cm="1">
        <f t="array" ref="I516">G516/H516</f>
        <v>150.0399867286</v>
      </c>
      <c r="J516" s="44"/>
      <c r="K516" s="40"/>
      <c r="L516" s="35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ht="12.75" customHeight="1">
      <c r="A517" t="s" s="17">
        <v>594</v>
      </c>
      <c r="B517" s="60">
        <v>4643</v>
      </c>
      <c r="C517" t="s" s="55">
        <v>178</v>
      </c>
      <c r="D517" t="s" s="18">
        <v>571</v>
      </c>
      <c r="E517" s="39"/>
      <c r="F517" s="40"/>
      <c r="G517" s="41">
        <v>13220.94</v>
      </c>
      <c r="H517" s="42">
        <v>78</v>
      </c>
      <c r="I517" s="43" cm="1">
        <f t="array" ref="I517">G517/H517</f>
        <v>169.499230769231</v>
      </c>
      <c r="J517" s="44"/>
      <c r="K517" s="40"/>
      <c r="L517" s="35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ht="12.75" customHeight="1">
      <c r="A518" t="s" s="84">
        <v>594</v>
      </c>
      <c r="B518" s="63">
        <v>1107</v>
      </c>
      <c r="C518" t="s" s="54">
        <v>595</v>
      </c>
      <c r="D518" t="s" s="48">
        <v>593</v>
      </c>
      <c r="E518" s="49"/>
      <c r="F518" s="50"/>
      <c r="G518" s="51">
        <v>5993.98</v>
      </c>
      <c r="H518" s="52">
        <v>40</v>
      </c>
      <c r="I518" s="53" cm="1">
        <f t="array" ref="I518">G518/H518</f>
        <v>149.8495</v>
      </c>
      <c r="J518" s="44"/>
      <c r="K518" s="40"/>
      <c r="L518" s="35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ht="12.75" customHeight="1">
      <c r="A519" s="108">
        <v>43872</v>
      </c>
      <c r="B519" s="37"/>
      <c r="C519" t="s" s="55">
        <v>258</v>
      </c>
      <c r="D519" t="s" s="18">
        <v>503</v>
      </c>
      <c r="E519" s="39"/>
      <c r="F519" s="40"/>
      <c r="G519" s="41">
        <v>1200</v>
      </c>
      <c r="H519" s="42">
        <v>8</v>
      </c>
      <c r="I519" s="43" cm="1">
        <f t="array" ref="I519">G519/H519</f>
        <v>150</v>
      </c>
      <c r="J519" s="44"/>
      <c r="K519" s="40"/>
      <c r="L519" s="35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ht="12.75" customHeight="1">
      <c r="A520" s="109">
        <v>43901</v>
      </c>
      <c r="B520" s="63">
        <v>4714</v>
      </c>
      <c r="C520" t="s" s="54">
        <v>178</v>
      </c>
      <c r="D520" t="s" s="48">
        <v>596</v>
      </c>
      <c r="E520" s="49"/>
      <c r="F520" s="50"/>
      <c r="G520" s="51">
        <v>4578.85</v>
      </c>
      <c r="H520" s="52">
        <v>30</v>
      </c>
      <c r="I520" s="53" cm="1">
        <f t="array" ref="I520">G520/H520</f>
        <v>152.628333333333</v>
      </c>
      <c r="J520" s="44"/>
      <c r="K520" s="40"/>
      <c r="L520" s="35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ht="12.75" customHeight="1">
      <c r="A521" s="108">
        <v>43932</v>
      </c>
      <c r="B521" s="60">
        <v>12209</v>
      </c>
      <c r="C521" t="s" s="55">
        <v>258</v>
      </c>
      <c r="D521" t="s" s="18">
        <v>597</v>
      </c>
      <c r="E521" s="39"/>
      <c r="F521" s="40"/>
      <c r="G521" s="41">
        <v>125324.75</v>
      </c>
      <c r="H521" s="42">
        <v>835</v>
      </c>
      <c r="I521" s="43" cm="1">
        <f t="array" ref="I521">G521/H521</f>
        <v>150.089520958084</v>
      </c>
      <c r="J521" s="44"/>
      <c r="K521" s="40"/>
      <c r="L521" s="35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ht="12.75" customHeight="1">
      <c r="A522" s="109">
        <v>43962</v>
      </c>
      <c r="B522" s="63">
        <v>12216</v>
      </c>
      <c r="C522" t="s" s="54">
        <v>258</v>
      </c>
      <c r="D522" t="s" s="48">
        <v>597</v>
      </c>
      <c r="E522" s="49"/>
      <c r="F522" s="50"/>
      <c r="G522" s="51">
        <v>40017.59</v>
      </c>
      <c r="H522" s="52">
        <v>266</v>
      </c>
      <c r="I522" s="53" cm="1">
        <f t="array" ref="I522">G522/H522</f>
        <v>150.442067669173</v>
      </c>
      <c r="J522" s="44"/>
      <c r="K522" s="40"/>
      <c r="L522" s="35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ht="12.75" customHeight="1">
      <c r="A523" s="108">
        <v>43962</v>
      </c>
      <c r="B523" s="60">
        <v>588</v>
      </c>
      <c r="C523" t="s" s="55">
        <v>47</v>
      </c>
      <c r="D523" t="s" s="18">
        <v>598</v>
      </c>
      <c r="E523" s="39"/>
      <c r="F523" s="40"/>
      <c r="G523" s="41">
        <v>132723.43</v>
      </c>
      <c r="H523" s="42">
        <v>830</v>
      </c>
      <c r="I523" s="43" cm="1">
        <f t="array" ref="I523">G523/H523</f>
        <v>159.907746987952</v>
      </c>
      <c r="J523" s="44"/>
      <c r="K523" s="40"/>
      <c r="L523" s="35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ht="12.75" customHeight="1">
      <c r="A524" s="109">
        <v>43993</v>
      </c>
      <c r="B524" s="46"/>
      <c r="C524" t="s" s="54">
        <v>79</v>
      </c>
      <c r="D524" t="s" s="48">
        <v>599</v>
      </c>
      <c r="E524" s="49"/>
      <c r="F524" s="50"/>
      <c r="G524" s="51">
        <v>3774.34</v>
      </c>
      <c r="H524" s="52" cm="1">
        <f t="array" ref="H524">G524/I524</f>
        <v>25.1622666666667</v>
      </c>
      <c r="I524" s="53">
        <v>150</v>
      </c>
      <c r="J524" s="44"/>
      <c r="K524" s="40"/>
      <c r="L524" s="35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ht="12.75" customHeight="1">
      <c r="A525" s="108">
        <v>44023</v>
      </c>
      <c r="B525" s="60">
        <v>4773</v>
      </c>
      <c r="C525" t="s" s="55">
        <v>178</v>
      </c>
      <c r="D525" t="s" s="18">
        <v>600</v>
      </c>
      <c r="E525" s="39"/>
      <c r="F525" s="40"/>
      <c r="G525" s="41">
        <v>66806.149999999994</v>
      </c>
      <c r="H525" s="42">
        <v>450</v>
      </c>
      <c r="I525" s="43" cm="1">
        <f t="array" ref="I525">G525/H525</f>
        <v>148.458111111111</v>
      </c>
      <c r="J525" s="44"/>
      <c r="K525" s="40"/>
      <c r="L525" s="35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ht="12.75" customHeight="1">
      <c r="A526" s="109">
        <v>44085</v>
      </c>
      <c r="B526" s="63">
        <v>599</v>
      </c>
      <c r="C526" t="s" s="54">
        <v>47</v>
      </c>
      <c r="D526" t="s" s="48">
        <v>601</v>
      </c>
      <c r="E526" s="49"/>
      <c r="F526" s="50"/>
      <c r="G526" s="51">
        <v>44184.97</v>
      </c>
      <c r="H526" s="52">
        <v>295</v>
      </c>
      <c r="I526" s="53" cm="1">
        <f t="array" ref="I526">G526/H526</f>
        <v>149.779559322034</v>
      </c>
      <c r="J526" s="44"/>
      <c r="K526" s="40"/>
      <c r="L526" s="35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ht="12.75" customHeight="1">
      <c r="A527" s="108">
        <v>44146</v>
      </c>
      <c r="B527" s="37"/>
      <c r="C527" t="s" s="55">
        <v>258</v>
      </c>
      <c r="D527" t="s" s="18">
        <v>503</v>
      </c>
      <c r="E527" s="39"/>
      <c r="F527" s="40"/>
      <c r="G527" s="41">
        <v>6000</v>
      </c>
      <c r="H527" s="42">
        <v>40</v>
      </c>
      <c r="I527" s="43" cm="1">
        <f t="array" ref="I527">G527/H527</f>
        <v>150</v>
      </c>
      <c r="J527" s="44"/>
      <c r="K527" s="40"/>
      <c r="L527" s="35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ht="12.75" customHeight="1">
      <c r="A528" s="109">
        <v>44115</v>
      </c>
      <c r="B528" s="63">
        <v>3893</v>
      </c>
      <c r="C528" t="s" s="54">
        <v>235</v>
      </c>
      <c r="D528" t="s" s="48">
        <v>602</v>
      </c>
      <c r="E528" s="49"/>
      <c r="F528" s="50"/>
      <c r="G528" s="51">
        <v>78680</v>
      </c>
      <c r="H528" s="52">
        <v>463</v>
      </c>
      <c r="I528" s="53" cm="1">
        <f t="array" ref="I528">G528/H528</f>
        <v>169.935205183585</v>
      </c>
      <c r="J528" s="44"/>
      <c r="K528" s="40"/>
      <c r="L528" s="35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ht="12.75" customHeight="1">
      <c r="A529" s="108">
        <v>44115</v>
      </c>
      <c r="B529" s="37"/>
      <c r="C529" t="s" s="55">
        <v>21</v>
      </c>
      <c r="D529" t="s" s="18">
        <v>603</v>
      </c>
      <c r="E529" s="39"/>
      <c r="F529" s="40"/>
      <c r="G529" s="41">
        <v>16294.04</v>
      </c>
      <c r="H529" s="42" cm="1">
        <f t="array" ref="H529">G529/I529</f>
        <v>108.626933333333</v>
      </c>
      <c r="I529" s="43">
        <v>150</v>
      </c>
      <c r="J529" s="44"/>
      <c r="K529" s="40"/>
      <c r="L529" s="35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ht="12.75" customHeight="1">
      <c r="A530" s="109">
        <v>44176</v>
      </c>
      <c r="B530" s="63">
        <v>3941</v>
      </c>
      <c r="C530" t="s" s="54">
        <v>235</v>
      </c>
      <c r="D530" t="s" s="48">
        <v>491</v>
      </c>
      <c r="E530" s="49"/>
      <c r="F530" s="50"/>
      <c r="G530" s="51">
        <v>10723.97</v>
      </c>
      <c r="H530" s="52">
        <v>63</v>
      </c>
      <c r="I530" s="53" cm="1">
        <f t="array" ref="I530">G530/H530</f>
        <v>170.221746031746</v>
      </c>
      <c r="J530" s="44"/>
      <c r="K530" s="40"/>
      <c r="L530" s="35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ht="12.75" customHeight="1">
      <c r="A531" t="s" s="17">
        <v>604</v>
      </c>
      <c r="B531" s="60">
        <v>1186</v>
      </c>
      <c r="C531" t="s" s="55">
        <v>595</v>
      </c>
      <c r="D531" t="s" s="18">
        <v>605</v>
      </c>
      <c r="E531" s="39"/>
      <c r="F531" s="40"/>
      <c r="G531" s="41">
        <v>4574.24</v>
      </c>
      <c r="H531" s="42">
        <v>28</v>
      </c>
      <c r="I531" s="43" cm="1">
        <f t="array" ref="I531">G531/H531</f>
        <v>163.365714285714</v>
      </c>
      <c r="J531" s="44"/>
      <c r="K531" s="40"/>
      <c r="L531" s="35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ht="12.75" customHeight="1">
      <c r="A532" t="s" s="84">
        <v>604</v>
      </c>
      <c r="B532" s="46"/>
      <c r="C532" t="s" s="54">
        <v>21</v>
      </c>
      <c r="D532" t="s" s="48">
        <v>606</v>
      </c>
      <c r="E532" s="49"/>
      <c r="F532" s="50"/>
      <c r="G532" s="51">
        <v>30068.08</v>
      </c>
      <c r="H532" s="52" cm="1">
        <f t="array" ref="H532">G532/I532</f>
        <v>176.871058823529</v>
      </c>
      <c r="I532" s="53">
        <v>170</v>
      </c>
      <c r="J532" s="44"/>
      <c r="K532" s="40"/>
      <c r="L532" s="35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ht="12.75" customHeight="1">
      <c r="A533" t="s" s="17">
        <v>607</v>
      </c>
      <c r="B533" s="60">
        <v>260</v>
      </c>
      <c r="C533" t="s" s="55">
        <v>510</v>
      </c>
      <c r="D533" t="s" s="18">
        <v>608</v>
      </c>
      <c r="E533" s="39"/>
      <c r="F533" s="40"/>
      <c r="G533" s="41">
        <v>117223.29</v>
      </c>
      <c r="H533" s="42">
        <v>729</v>
      </c>
      <c r="I533" s="43" cm="1">
        <f t="array" ref="I533">G533/H533</f>
        <v>160.800123456790</v>
      </c>
      <c r="J533" s="44"/>
      <c r="K533" s="40"/>
      <c r="L533" s="35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ht="12.75" customHeight="1">
      <c r="A534" t="s" s="84">
        <v>607</v>
      </c>
      <c r="B534" s="63">
        <v>135634</v>
      </c>
      <c r="C534" t="s" s="55">
        <v>168</v>
      </c>
      <c r="D534" t="s" s="48">
        <v>565</v>
      </c>
      <c r="E534" s="49"/>
      <c r="F534" s="50"/>
      <c r="G534" s="51">
        <v>2735.83</v>
      </c>
      <c r="H534" s="52">
        <v>17</v>
      </c>
      <c r="I534" s="53" cm="1">
        <f t="array" ref="I534">G534/H534</f>
        <v>160.931176470588</v>
      </c>
      <c r="J534" s="44"/>
      <c r="K534" s="40"/>
      <c r="L534" s="35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ht="12.75" customHeight="1">
      <c r="A535" t="s" s="17">
        <v>609</v>
      </c>
      <c r="B535" s="37"/>
      <c r="C535" t="s" s="55">
        <v>21</v>
      </c>
      <c r="D535" t="s" s="18">
        <v>610</v>
      </c>
      <c r="E535" s="39"/>
      <c r="F535" s="40"/>
      <c r="G535" s="41">
        <v>746.91</v>
      </c>
      <c r="H535" s="42" cm="1">
        <f t="array" ref="H535">G535/I535</f>
        <v>4.6681875</v>
      </c>
      <c r="I535" s="43">
        <v>160</v>
      </c>
      <c r="J535" s="44"/>
      <c r="K535" s="40"/>
      <c r="L535" s="35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ht="12.75" customHeight="1">
      <c r="A536" t="s" s="84">
        <v>611</v>
      </c>
      <c r="B536" s="46"/>
      <c r="C536" t="s" s="54">
        <v>258</v>
      </c>
      <c r="D536" t="s" s="48">
        <v>503</v>
      </c>
      <c r="E536" s="49"/>
      <c r="F536" s="50"/>
      <c r="G536" s="51">
        <v>11500</v>
      </c>
      <c r="H536" s="52">
        <v>71</v>
      </c>
      <c r="I536" s="53" cm="1">
        <f t="array" ref="I536">G536/H536</f>
        <v>161.971830985915</v>
      </c>
      <c r="J536" s="44"/>
      <c r="K536" s="40"/>
      <c r="L536" s="35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ht="12.75" customHeight="1">
      <c r="A537" t="s" s="17">
        <v>612</v>
      </c>
      <c r="B537" s="60">
        <v>9696</v>
      </c>
      <c r="C537" t="s" s="55">
        <v>256</v>
      </c>
      <c r="D537" t="s" s="18">
        <v>491</v>
      </c>
      <c r="E537" s="39"/>
      <c r="F537" s="40"/>
      <c r="G537" s="41">
        <v>22887.19</v>
      </c>
      <c r="H537" s="42">
        <v>147</v>
      </c>
      <c r="I537" s="43" cm="1">
        <f t="array" ref="I537">G537/H537</f>
        <v>155.695170068027</v>
      </c>
      <c r="J537" s="44"/>
      <c r="K537" s="40"/>
      <c r="L537" s="35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ht="12.75" customHeight="1">
      <c r="A538" t="s" s="84">
        <v>612</v>
      </c>
      <c r="B538" s="63">
        <v>628</v>
      </c>
      <c r="C538" t="s" s="54">
        <v>47</v>
      </c>
      <c r="D538" t="s" s="48">
        <v>613</v>
      </c>
      <c r="E538" s="49"/>
      <c r="F538" s="50"/>
      <c r="G538" s="51">
        <v>12640.95</v>
      </c>
      <c r="H538" s="52">
        <v>81</v>
      </c>
      <c r="I538" s="53" cm="1">
        <f t="array" ref="I538">G538/H538</f>
        <v>156.061111111111</v>
      </c>
      <c r="J538" s="44"/>
      <c r="K538" s="40"/>
      <c r="L538" s="35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ht="12.75" customHeight="1">
      <c r="A539" s="108">
        <v>43933</v>
      </c>
      <c r="B539" s="37"/>
      <c r="C539" t="s" s="55">
        <v>79</v>
      </c>
      <c r="D539" t="s" s="18">
        <v>614</v>
      </c>
      <c r="E539" s="39"/>
      <c r="F539" s="40"/>
      <c r="G539" s="41">
        <v>4164.51</v>
      </c>
      <c r="H539" s="42" cm="1">
        <f t="array" ref="H539">G539/I539</f>
        <v>27.7634</v>
      </c>
      <c r="I539" s="43">
        <v>150</v>
      </c>
      <c r="J539" s="44"/>
      <c r="K539" s="40"/>
      <c r="L539" s="35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ht="12.75" customHeight="1">
      <c r="A540" s="109">
        <v>44086</v>
      </c>
      <c r="B540" s="63">
        <v>36152</v>
      </c>
      <c r="C540" t="s" s="54">
        <v>258</v>
      </c>
      <c r="D540" t="s" s="48">
        <v>615</v>
      </c>
      <c r="E540" s="49"/>
      <c r="F540" s="50"/>
      <c r="G540" s="51">
        <v>1508.01</v>
      </c>
      <c r="H540" s="52">
        <v>10</v>
      </c>
      <c r="I540" s="53" cm="1">
        <f t="array" ref="I540">G540/H540</f>
        <v>150.801</v>
      </c>
      <c r="J540" s="44"/>
      <c r="K540" s="40"/>
      <c r="L540" s="35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ht="12.75" customHeight="1">
      <c r="A541" s="108">
        <v>44116</v>
      </c>
      <c r="B541" s="37"/>
      <c r="C541" t="s" s="55">
        <v>21</v>
      </c>
      <c r="D541" t="s" s="18">
        <v>616</v>
      </c>
      <c r="E541" s="39"/>
      <c r="F541" s="40"/>
      <c r="G541" s="41">
        <v>16294.04</v>
      </c>
      <c r="H541" s="42" cm="1">
        <f t="array" ref="H541">G541/I541</f>
        <v>108.626933333333</v>
      </c>
      <c r="I541" s="43">
        <v>150</v>
      </c>
      <c r="J541" s="44"/>
      <c r="K541" s="40"/>
      <c r="L541" s="35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ht="12.75" customHeight="1">
      <c r="A542" s="109">
        <v>44147</v>
      </c>
      <c r="B542" s="46"/>
      <c r="C542" t="s" s="54">
        <v>14</v>
      </c>
      <c r="D542" t="s" s="48">
        <v>617</v>
      </c>
      <c r="E542" s="49"/>
      <c r="F542" s="50"/>
      <c r="G542" s="51">
        <v>2827.17</v>
      </c>
      <c r="H542" s="52" cm="1">
        <f t="array" ref="H542">G542/I542</f>
        <v>18.8478</v>
      </c>
      <c r="I542" s="53">
        <v>150</v>
      </c>
      <c r="J542" s="44"/>
      <c r="K542" s="40"/>
      <c r="L542" s="35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ht="12.75" customHeight="1">
      <c r="A543" t="s" s="17">
        <v>618</v>
      </c>
      <c r="B543" s="60">
        <v>4407</v>
      </c>
      <c r="C543" t="s" s="55">
        <v>178</v>
      </c>
      <c r="D543" t="s" s="18">
        <v>619</v>
      </c>
      <c r="E543" s="39"/>
      <c r="F543" s="40"/>
      <c r="G543" s="41">
        <v>13989.91</v>
      </c>
      <c r="H543" s="42">
        <v>94</v>
      </c>
      <c r="I543" s="43" cm="1">
        <f t="array" ref="I543">G543/H543</f>
        <v>148.828829787234</v>
      </c>
      <c r="J543" s="44"/>
      <c r="K543" s="40"/>
      <c r="L543" s="35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ht="12.75" customHeight="1">
      <c r="A544" t="s" s="84">
        <v>620</v>
      </c>
      <c r="B544" s="63">
        <v>118</v>
      </c>
      <c r="C544" t="s" s="54">
        <v>258</v>
      </c>
      <c r="D544" t="s" s="48">
        <v>621</v>
      </c>
      <c r="E544" s="49"/>
      <c r="F544" s="50"/>
      <c r="G544" s="51">
        <v>1936.52</v>
      </c>
      <c r="H544" s="52">
        <v>13</v>
      </c>
      <c r="I544" s="53" cm="1">
        <f t="array" ref="I544">G544/H544</f>
        <v>148.963076923077</v>
      </c>
      <c r="J544" s="44"/>
      <c r="K544" s="40"/>
      <c r="L544" s="35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ht="12.75" customHeight="1">
      <c r="A545" t="s" s="17">
        <v>620</v>
      </c>
      <c r="B545" s="37"/>
      <c r="C545" t="s" s="55">
        <v>14</v>
      </c>
      <c r="D545" t="s" s="18">
        <v>622</v>
      </c>
      <c r="E545" s="39"/>
      <c r="F545" s="40"/>
      <c r="G545" s="41">
        <v>2739.39</v>
      </c>
      <c r="H545" s="42" cm="1">
        <f t="array" ref="H545">G545/I545</f>
        <v>18.2626</v>
      </c>
      <c r="I545" s="43">
        <v>150</v>
      </c>
      <c r="J545" s="44"/>
      <c r="K545" s="40"/>
      <c r="L545" s="35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ht="12.75" customHeight="1">
      <c r="A546" t="s" s="84">
        <v>623</v>
      </c>
      <c r="B546" s="46"/>
      <c r="C546" t="s" s="54">
        <v>256</v>
      </c>
      <c r="D546" t="s" s="48">
        <v>602</v>
      </c>
      <c r="E546" s="49"/>
      <c r="F546" s="50"/>
      <c r="G546" s="51">
        <v>15972.15</v>
      </c>
      <c r="H546" s="52">
        <v>106</v>
      </c>
      <c r="I546" s="53">
        <v>150</v>
      </c>
      <c r="J546" s="44"/>
      <c r="K546" s="40"/>
      <c r="L546" s="35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ht="12.75" customHeight="1">
      <c r="A547" s="108">
        <v>44287</v>
      </c>
      <c r="B547" s="60">
        <v>47148</v>
      </c>
      <c r="C547" t="s" s="55">
        <v>256</v>
      </c>
      <c r="D547" t="s" s="18">
        <v>624</v>
      </c>
      <c r="E547" s="39"/>
      <c r="F547" s="40"/>
      <c r="G547" s="41">
        <v>5879.43</v>
      </c>
      <c r="H547" s="42" cm="1">
        <f t="array" ref="H547">G547/I547</f>
        <v>39.1962</v>
      </c>
      <c r="I547" s="43">
        <v>150</v>
      </c>
      <c r="J547" s="44"/>
      <c r="K547" s="40"/>
      <c r="L547" s="35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ht="12.75" customHeight="1">
      <c r="A548" s="109">
        <v>44287</v>
      </c>
      <c r="B548" s="63">
        <v>5428</v>
      </c>
      <c r="C548" t="s" s="54">
        <v>178</v>
      </c>
      <c r="D548" t="s" s="48">
        <v>625</v>
      </c>
      <c r="E548" s="49"/>
      <c r="F548" s="50"/>
      <c r="G548" s="51">
        <v>35029.03</v>
      </c>
      <c r="H548" s="52" cm="1">
        <f t="array" ref="H548">G548/I548</f>
        <v>224.545064102564</v>
      </c>
      <c r="I548" s="53" cm="1">
        <f t="array" ref="I548">G555/H555</f>
        <v>156</v>
      </c>
      <c r="J548" s="44"/>
      <c r="K548" s="40"/>
      <c r="L548" s="35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ht="12.75" customHeight="1">
      <c r="A549" s="108">
        <v>44287</v>
      </c>
      <c r="B549" s="37"/>
      <c r="C549" t="s" s="55">
        <v>79</v>
      </c>
      <c r="D549" t="s" s="18">
        <v>626</v>
      </c>
      <c r="E549" s="39"/>
      <c r="F549" s="40"/>
      <c r="G549" s="41">
        <v>4172.45</v>
      </c>
      <c r="H549" s="42" cm="1">
        <f t="array" ref="H549">H555/I549</f>
        <v>5.97996068376069</v>
      </c>
      <c r="I549" s="43">
        <v>150</v>
      </c>
      <c r="J549" s="44"/>
      <c r="K549" s="40"/>
      <c r="L549" s="35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ht="12.75" customHeight="1">
      <c r="A550" t="s" s="84">
        <v>627</v>
      </c>
      <c r="B550" s="63">
        <v>88629</v>
      </c>
      <c r="C550" t="s" s="54">
        <v>47</v>
      </c>
      <c r="D550" t="s" s="48">
        <v>628</v>
      </c>
      <c r="E550" s="49"/>
      <c r="F550" s="50"/>
      <c r="G550" s="51">
        <v>171033.25</v>
      </c>
      <c r="H550" s="52">
        <v>1096</v>
      </c>
      <c r="I550" s="53" cm="1">
        <f t="array" ref="I550">G550/H550</f>
        <v>156.052235401460</v>
      </c>
      <c r="J550" s="44"/>
      <c r="K550" s="40"/>
      <c r="L550" s="35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ht="12.75" customHeight="1">
      <c r="A551" t="s" s="17">
        <v>627</v>
      </c>
      <c r="B551" s="37"/>
      <c r="C551" t="s" s="55">
        <v>21</v>
      </c>
      <c r="D551" t="s" s="18">
        <v>629</v>
      </c>
      <c r="E551" s="39"/>
      <c r="F551" s="40"/>
      <c r="G551" s="41">
        <v>14607.42</v>
      </c>
      <c r="H551" s="42" cm="1">
        <f t="array" ref="H551">G551/I551</f>
        <v>93.6373076923077</v>
      </c>
      <c r="I551" s="43">
        <v>156</v>
      </c>
      <c r="J551" s="44"/>
      <c r="K551" s="40"/>
      <c r="L551" s="35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ht="12.75" customHeight="1">
      <c r="A552" s="46"/>
      <c r="B552" s="46"/>
      <c r="C552" s="47"/>
      <c r="D552" s="110"/>
      <c r="E552" s="49"/>
      <c r="F552" s="50"/>
      <c r="G552" s="51"/>
      <c r="H552" s="52"/>
      <c r="I552" s="53"/>
      <c r="J552" s="44"/>
      <c r="K552" s="40"/>
      <c r="L552" s="35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ht="12.75" customHeight="1">
      <c r="A553" t="s" s="17">
        <v>630</v>
      </c>
      <c r="B553" s="37"/>
      <c r="C553" t="s" s="55">
        <v>14</v>
      </c>
      <c r="D553" t="s" s="18">
        <v>631</v>
      </c>
      <c r="E553" s="39"/>
      <c r="F553" s="40"/>
      <c r="G553" s="41">
        <v>2594.26</v>
      </c>
      <c r="H553" s="42" cm="1">
        <f t="array" ref="H553">G553/I553</f>
        <v>16.6298717948718</v>
      </c>
      <c r="I553" s="43">
        <v>156</v>
      </c>
      <c r="J553" s="44"/>
      <c r="K553" s="40"/>
      <c r="L553" s="35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ht="12.75" customHeight="1">
      <c r="A554" t="s" s="84">
        <v>632</v>
      </c>
      <c r="B554" s="63">
        <v>5667</v>
      </c>
      <c r="C554" t="s" s="54">
        <v>178</v>
      </c>
      <c r="D554" t="s" s="48">
        <v>633</v>
      </c>
      <c r="E554" s="49"/>
      <c r="F554" s="50"/>
      <c r="G554" s="51">
        <v>119615.72</v>
      </c>
      <c r="H554" s="52" cm="1">
        <f t="array" ref="H554">G554/I554</f>
        <v>766.767435897436</v>
      </c>
      <c r="I554" s="53">
        <v>156</v>
      </c>
      <c r="J554" s="44"/>
      <c r="K554" s="40"/>
      <c r="L554" s="35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ht="12.75" customHeight="1">
      <c r="A555" t="s" s="17">
        <v>632</v>
      </c>
      <c r="B555" s="60">
        <v>4933</v>
      </c>
      <c r="C555" t="s" s="55">
        <v>391</v>
      </c>
      <c r="D555" t="s" s="18">
        <v>634</v>
      </c>
      <c r="E555" s="39"/>
      <c r="F555" s="40"/>
      <c r="G555" s="41">
        <v>139931.08</v>
      </c>
      <c r="H555" s="42" cm="1">
        <f t="array" ref="H555">G555/I555</f>
        <v>896.9941025641029</v>
      </c>
      <c r="I555" s="43">
        <v>156</v>
      </c>
      <c r="J555" s="44"/>
      <c r="K555" s="40"/>
      <c r="L555" s="35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ht="12.75" customHeight="1">
      <c r="A556" t="s" s="84">
        <v>635</v>
      </c>
      <c r="B556" s="63">
        <v>13435</v>
      </c>
      <c r="C556" t="s" s="54">
        <v>200</v>
      </c>
      <c r="D556" t="s" s="48">
        <v>636</v>
      </c>
      <c r="E556" s="49"/>
      <c r="F556" s="50"/>
      <c r="G556" s="51">
        <v>99017.600000000006</v>
      </c>
      <c r="H556" s="52">
        <v>635</v>
      </c>
      <c r="I556" s="53" cm="1">
        <f t="array" ref="I556">G556/H556</f>
        <v>155.933228346457</v>
      </c>
      <c r="J556" s="44"/>
      <c r="K556" s="40"/>
      <c r="L556" s="35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ht="12.75" customHeight="1">
      <c r="A557" t="s" s="17">
        <v>637</v>
      </c>
      <c r="B557" s="60">
        <v>13455</v>
      </c>
      <c r="C557" t="s" s="55">
        <v>200</v>
      </c>
      <c r="D557" t="s" s="18">
        <v>638</v>
      </c>
      <c r="E557" s="39"/>
      <c r="F557" s="40"/>
      <c r="G557" s="41">
        <v>131275.57</v>
      </c>
      <c r="H557" s="42" cm="1">
        <f t="array" ref="H557">G557/I557</f>
        <v>863.655065789474</v>
      </c>
      <c r="I557" s="43">
        <v>152</v>
      </c>
      <c r="J557" s="44"/>
      <c r="K557" s="40"/>
      <c r="L557" s="35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ht="12.75" customHeight="1">
      <c r="A558" t="s" s="84">
        <v>637</v>
      </c>
      <c r="B558" s="63">
        <v>804</v>
      </c>
      <c r="C558" t="s" s="54">
        <v>258</v>
      </c>
      <c r="D558" t="s" s="48">
        <v>639</v>
      </c>
      <c r="E558" s="49"/>
      <c r="F558" s="50"/>
      <c r="G558" s="51">
        <v>1542750</v>
      </c>
      <c r="H558" s="52">
        <v>9953</v>
      </c>
      <c r="I558" s="53" cm="1">
        <f t="array" ref="I558">G558/H558</f>
        <v>155.003516527680</v>
      </c>
      <c r="J558" s="44"/>
      <c r="K558" s="40"/>
      <c r="L558" s="35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ht="12.75" customHeight="1">
      <c r="A559" t="s" s="17">
        <v>637</v>
      </c>
      <c r="B559" s="60">
        <v>415</v>
      </c>
      <c r="C559" t="s" s="55">
        <v>258</v>
      </c>
      <c r="D559" t="s" s="18">
        <v>640</v>
      </c>
      <c r="E559" s="39"/>
      <c r="F559" s="40"/>
      <c r="G559" s="41">
        <v>520455</v>
      </c>
      <c r="H559" s="42">
        <v>6500</v>
      </c>
      <c r="I559" s="43" cm="1">
        <f t="array" ref="I559">G559/H559</f>
        <v>80.06999999999999</v>
      </c>
      <c r="J559" s="44"/>
      <c r="K559" s="40"/>
      <c r="L559" s="35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ht="12.75" customHeight="1">
      <c r="A560" s="109">
        <v>44198</v>
      </c>
      <c r="B560" s="63">
        <v>4984</v>
      </c>
      <c r="C560" t="s" s="54">
        <v>235</v>
      </c>
      <c r="D560" t="s" s="48">
        <v>641</v>
      </c>
      <c r="E560" s="49"/>
      <c r="F560" s="50"/>
      <c r="G560" s="51">
        <v>55928.71</v>
      </c>
      <c r="H560" s="52">
        <v>366</v>
      </c>
      <c r="I560" s="53" cm="1">
        <f t="array" ref="I560">G560/H560</f>
        <v>152.810683060109</v>
      </c>
      <c r="J560" s="44"/>
      <c r="K560" s="40"/>
      <c r="L560" s="35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ht="12.75" customHeight="1">
      <c r="A561" s="108">
        <v>44229</v>
      </c>
      <c r="B561" s="60">
        <v>13537</v>
      </c>
      <c r="C561" t="s" s="55">
        <v>200</v>
      </c>
      <c r="D561" t="s" s="18">
        <v>641</v>
      </c>
      <c r="E561" s="39"/>
      <c r="F561" s="40"/>
      <c r="G561" s="41">
        <v>21648.77</v>
      </c>
      <c r="H561" s="42">
        <v>140</v>
      </c>
      <c r="I561" s="43" cm="1">
        <f t="array" ref="I561">G561/H561</f>
        <v>154.634071428571</v>
      </c>
      <c r="J561" s="44"/>
      <c r="K561" s="40"/>
      <c r="L561" s="35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ht="12.75" customHeight="1">
      <c r="A562" s="109">
        <v>44229</v>
      </c>
      <c r="B562" s="63">
        <v>13538</v>
      </c>
      <c r="C562" t="s" s="54">
        <v>200</v>
      </c>
      <c r="D562" t="s" s="48">
        <v>641</v>
      </c>
      <c r="E562" s="49"/>
      <c r="F562" s="50"/>
      <c r="G562" s="51">
        <v>13161.06</v>
      </c>
      <c r="H562" s="52">
        <v>86</v>
      </c>
      <c r="I562" s="53" cm="1">
        <f t="array" ref="I562">G562/H562</f>
        <v>153.035581395349</v>
      </c>
      <c r="J562" s="44"/>
      <c r="K562" s="40"/>
      <c r="L562" s="35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ht="12.75" customHeight="1">
      <c r="A563" s="108">
        <v>44257</v>
      </c>
      <c r="B563" s="37"/>
      <c r="C563" t="s" s="55">
        <v>79</v>
      </c>
      <c r="D563" t="s" s="18">
        <v>642</v>
      </c>
      <c r="E563" s="39"/>
      <c r="F563" s="40"/>
      <c r="G563" s="41">
        <v>5219.36</v>
      </c>
      <c r="H563" s="42" cm="1">
        <f t="array" ref="H563">G563/I563</f>
        <v>34.7957333333333</v>
      </c>
      <c r="I563" s="43">
        <v>150</v>
      </c>
      <c r="J563" s="44"/>
      <c r="K563" s="40"/>
      <c r="L563" s="35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ht="12.75" customHeight="1">
      <c r="A564" t="s" s="84">
        <v>643</v>
      </c>
      <c r="B564" s="46"/>
      <c r="C564" t="s" s="54">
        <v>21</v>
      </c>
      <c r="D564" t="s" s="48">
        <v>644</v>
      </c>
      <c r="E564" s="49"/>
      <c r="F564" s="50"/>
      <c r="G564" s="51">
        <v>14607.42</v>
      </c>
      <c r="H564" s="52" cm="1">
        <f t="array" ref="H564">G564/I564</f>
        <v>97.3828</v>
      </c>
      <c r="I564" s="53">
        <v>150</v>
      </c>
      <c r="J564" s="44"/>
      <c r="K564" s="40"/>
      <c r="L564" s="35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ht="12.75" customHeight="1">
      <c r="A565" t="s" s="17">
        <v>645</v>
      </c>
      <c r="B565" s="60">
        <v>71</v>
      </c>
      <c r="C565" t="s" s="55">
        <v>258</v>
      </c>
      <c r="D565" t="s" s="18">
        <v>646</v>
      </c>
      <c r="E565" s="39"/>
      <c r="F565" s="40"/>
      <c r="G565" s="41">
        <v>9360</v>
      </c>
      <c r="H565" s="42">
        <v>62</v>
      </c>
      <c r="I565" s="43" cm="1">
        <f t="array" ref="I565">G565/H565</f>
        <v>150.967741935484</v>
      </c>
      <c r="J565" s="44"/>
      <c r="K565" s="40"/>
      <c r="L565" s="35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ht="12.75" customHeight="1">
      <c r="A566" t="s" s="84">
        <v>647</v>
      </c>
      <c r="B566" s="46"/>
      <c r="C566" t="s" s="54">
        <v>648</v>
      </c>
      <c r="D566" t="s" s="48">
        <v>541</v>
      </c>
      <c r="E566" s="49"/>
      <c r="F566" s="50"/>
      <c r="G566" s="51">
        <v>7270</v>
      </c>
      <c r="H566" s="52" cm="1">
        <f t="array" ref="H566">G566/I566</f>
        <v>48.4666666666667</v>
      </c>
      <c r="I566" s="53">
        <v>150</v>
      </c>
      <c r="J566" s="44"/>
      <c r="K566" s="40"/>
      <c r="L566" s="35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ht="12.75" customHeight="1">
      <c r="A567" t="s" s="17">
        <v>649</v>
      </c>
      <c r="B567" s="37"/>
      <c r="C567" t="s" s="55">
        <v>165</v>
      </c>
      <c r="D567" t="s" s="18">
        <v>650</v>
      </c>
      <c r="E567" s="39"/>
      <c r="F567" s="40"/>
      <c r="G567" s="41">
        <v>29740.3</v>
      </c>
      <c r="H567" s="42">
        <v>198</v>
      </c>
      <c r="I567" s="43" cm="1">
        <f t="array" ref="I567">G567/H567</f>
        <v>150.203535353535</v>
      </c>
      <c r="J567" s="44"/>
      <c r="K567" s="40"/>
      <c r="L567" s="35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ht="12.75" customHeight="1">
      <c r="A568" t="s" s="84">
        <v>651</v>
      </c>
      <c r="B568" s="46"/>
      <c r="C568" t="s" s="54">
        <v>14</v>
      </c>
      <c r="D568" t="s" s="48">
        <v>652</v>
      </c>
      <c r="E568" s="49"/>
      <c r="F568" s="50"/>
      <c r="G568" s="51">
        <v>2719.68</v>
      </c>
      <c r="H568" s="52" cm="1">
        <f t="array" ref="H568">G568/I568</f>
        <v>18.1312</v>
      </c>
      <c r="I568" s="53">
        <v>150</v>
      </c>
      <c r="J568" s="44"/>
      <c r="K568" s="40"/>
      <c r="L568" s="35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ht="12.75" customHeight="1">
      <c r="A569" t="s" s="17">
        <v>653</v>
      </c>
      <c r="B569" t="s" s="17">
        <v>654</v>
      </c>
      <c r="C569" t="s" s="55">
        <v>178</v>
      </c>
      <c r="D569" t="s" s="18">
        <v>655</v>
      </c>
      <c r="E569" s="39"/>
      <c r="F569" s="40"/>
      <c r="G569" s="41">
        <v>47602.41</v>
      </c>
      <c r="H569" s="42">
        <v>317</v>
      </c>
      <c r="I569" s="43" cm="1">
        <f t="array" ref="I569">G569/H569</f>
        <v>150.165331230284</v>
      </c>
      <c r="J569" s="44"/>
      <c r="K569" s="40"/>
      <c r="L569" s="35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ht="12.75" customHeight="1">
      <c r="A570" t="s" s="84">
        <v>653</v>
      </c>
      <c r="B570" s="63">
        <v>13917</v>
      </c>
      <c r="C570" t="s" s="54">
        <v>200</v>
      </c>
      <c r="D570" t="s" s="48">
        <v>491</v>
      </c>
      <c r="E570" s="49"/>
      <c r="F570" s="50"/>
      <c r="G570" s="51">
        <v>139112.43</v>
      </c>
      <c r="H570" s="52">
        <v>927</v>
      </c>
      <c r="I570" s="53" cm="1">
        <f t="array" ref="I570">G570/H570</f>
        <v>150.067346278317</v>
      </c>
      <c r="J570" s="44"/>
      <c r="K570" s="40"/>
      <c r="L570" s="35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ht="12.75" customHeight="1">
      <c r="A571" t="s" s="17">
        <v>653</v>
      </c>
      <c r="B571" s="60">
        <v>771</v>
      </c>
      <c r="C571" t="s" s="55">
        <v>47</v>
      </c>
      <c r="D571" t="s" s="18">
        <v>491</v>
      </c>
      <c r="E571" s="39"/>
      <c r="F571" s="40"/>
      <c r="G571" s="41">
        <v>44922.7</v>
      </c>
      <c r="H571" s="42">
        <v>300</v>
      </c>
      <c r="I571" s="43" cm="1">
        <f t="array" ref="I571">G571/H571</f>
        <v>149.742333333333</v>
      </c>
      <c r="J571" s="44"/>
      <c r="K571" s="40"/>
      <c r="L571" s="35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ht="12.75" customHeight="1">
      <c r="A572" t="s" s="84">
        <v>653</v>
      </c>
      <c r="B572" s="63">
        <v>1049</v>
      </c>
      <c r="C572" t="s" s="54">
        <v>258</v>
      </c>
      <c r="D572" t="s" s="48">
        <v>656</v>
      </c>
      <c r="E572" s="49"/>
      <c r="F572" s="50"/>
      <c r="G572" s="51">
        <v>1039.04</v>
      </c>
      <c r="H572" s="52">
        <v>7</v>
      </c>
      <c r="I572" s="53" cm="1">
        <f t="array" ref="I572">G572/H572</f>
        <v>148.434285714286</v>
      </c>
      <c r="J572" s="44"/>
      <c r="K572" s="40"/>
      <c r="L572" s="35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ht="12.75" customHeight="1">
      <c r="A573" t="s" s="17">
        <v>653</v>
      </c>
      <c r="B573" s="37"/>
      <c r="C573" t="s" s="55">
        <v>12</v>
      </c>
      <c r="D573" t="s" s="18">
        <v>657</v>
      </c>
      <c r="E573" s="39"/>
      <c r="F573" s="40"/>
      <c r="G573" s="41">
        <v>196128</v>
      </c>
      <c r="H573" s="42" cm="1">
        <f t="array" ref="H573">G573/I573</f>
        <v>1307.52</v>
      </c>
      <c r="I573" s="43">
        <v>150</v>
      </c>
      <c r="J573" s="44"/>
      <c r="K573" s="40"/>
      <c r="L573" s="35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ht="12.75" customHeight="1">
      <c r="A574" t="s" s="84">
        <v>658</v>
      </c>
      <c r="B574" s="46"/>
      <c r="C574" t="s" s="54">
        <v>178</v>
      </c>
      <c r="D574" t="s" s="48">
        <v>659</v>
      </c>
      <c r="E574" s="49"/>
      <c r="F574" s="50"/>
      <c r="G574" s="51">
        <v>66384.53</v>
      </c>
      <c r="H574" s="52" cm="1">
        <f t="array" ref="H574">G574/I574</f>
        <v>442.563533333333</v>
      </c>
      <c r="I574" s="53">
        <v>150</v>
      </c>
      <c r="J574" s="44"/>
      <c r="K574" s="40"/>
      <c r="L574" s="35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ht="12.75" customHeight="1">
      <c r="A575" t="s" s="17">
        <v>660</v>
      </c>
      <c r="B575" s="37"/>
      <c r="C575" t="s" s="55">
        <v>129</v>
      </c>
      <c r="D575" t="s" s="18">
        <v>661</v>
      </c>
      <c r="E575" s="39"/>
      <c r="F575" s="40"/>
      <c r="G575" s="41">
        <v>35000</v>
      </c>
      <c r="H575" s="42" cm="1">
        <f t="array" ref="H575">G575/I575</f>
        <v>233.333333333333</v>
      </c>
      <c r="I575" s="43">
        <v>150</v>
      </c>
      <c r="J575" s="44"/>
      <c r="K575" s="40"/>
      <c r="L575" s="35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ht="12.75" customHeight="1">
      <c r="A576" s="109">
        <v>44289</v>
      </c>
      <c r="B576" s="46"/>
      <c r="C576" t="s" s="54">
        <v>79</v>
      </c>
      <c r="D576" t="s" s="48">
        <v>662</v>
      </c>
      <c r="E576" s="49"/>
      <c r="F576" s="50"/>
      <c r="G576" s="51">
        <v>5220.19</v>
      </c>
      <c r="H576" s="52" cm="1">
        <f t="array" ref="H576">G576/I576</f>
        <v>34.8012666666667</v>
      </c>
      <c r="I576" s="53">
        <v>150</v>
      </c>
      <c r="J576" s="44"/>
      <c r="K576" s="40"/>
      <c r="L576" s="35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ht="12.75" customHeight="1">
      <c r="A577" s="108">
        <v>44289</v>
      </c>
      <c r="B577" s="37"/>
      <c r="C577" t="s" s="55">
        <v>256</v>
      </c>
      <c r="D577" t="s" s="18">
        <v>602</v>
      </c>
      <c r="E577" s="39"/>
      <c r="F577" s="40"/>
      <c r="G577" s="41">
        <v>6990</v>
      </c>
      <c r="H577" s="42">
        <v>48</v>
      </c>
      <c r="I577" s="43" cm="1">
        <f t="array" ref="I577">G577/H577</f>
        <v>145.625</v>
      </c>
      <c r="J577" s="44"/>
      <c r="K577" s="40"/>
      <c r="L577" s="35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ht="12.75" customHeight="1">
      <c r="A578" s="109">
        <v>44319</v>
      </c>
      <c r="B578" s="46"/>
      <c r="C578" t="s" s="54">
        <v>47</v>
      </c>
      <c r="D578" t="s" s="48">
        <v>663</v>
      </c>
      <c r="E578" s="49"/>
      <c r="F578" s="50"/>
      <c r="G578" s="51">
        <v>3743.55</v>
      </c>
      <c r="H578" s="52">
        <v>25</v>
      </c>
      <c r="I578" s="53" cm="1">
        <f t="array" ref="I578">G578/H578</f>
        <v>149.742</v>
      </c>
      <c r="J578" s="44"/>
      <c r="K578" s="40"/>
      <c r="L578" s="35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ht="12.75" customHeight="1">
      <c r="A579" s="108">
        <v>44319</v>
      </c>
      <c r="B579" s="37"/>
      <c r="C579" t="s" s="55">
        <v>279</v>
      </c>
      <c r="D579" t="s" s="18">
        <v>664</v>
      </c>
      <c r="E579" s="39"/>
      <c r="F579" s="40"/>
      <c r="G579" s="41">
        <v>136518.61</v>
      </c>
      <c r="H579" s="42">
        <v>920</v>
      </c>
      <c r="I579" s="43" cm="1">
        <f t="array" ref="I579">G579/H579</f>
        <v>148.389793478261</v>
      </c>
      <c r="J579" s="44"/>
      <c r="K579" s="40"/>
      <c r="L579" s="35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ht="12.75" customHeight="1">
      <c r="A580" s="109">
        <v>44350</v>
      </c>
      <c r="B580" s="46"/>
      <c r="C580" t="s" s="54">
        <v>178</v>
      </c>
      <c r="D580" t="s" s="48">
        <v>571</v>
      </c>
      <c r="E580" s="49"/>
      <c r="F580" s="50"/>
      <c r="G580" s="51">
        <v>13220.94</v>
      </c>
      <c r="H580" s="52">
        <v>88</v>
      </c>
      <c r="I580" s="53" cm="1">
        <f t="array" ref="I580">G580/H580</f>
        <v>150.237954545455</v>
      </c>
      <c r="J580" s="44"/>
      <c r="K580" s="40"/>
      <c r="L580" s="35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 ht="12.75" customHeight="1">
      <c r="A581" s="108">
        <v>44472</v>
      </c>
      <c r="B581" s="37"/>
      <c r="C581" t="s" s="55">
        <v>21</v>
      </c>
      <c r="D581" t="s" s="18">
        <v>665</v>
      </c>
      <c r="E581" s="39"/>
      <c r="F581" s="40"/>
      <c r="G581" s="41">
        <v>14607.42</v>
      </c>
      <c r="H581" s="42" cm="1">
        <f t="array" ref="H581">G581/I581</f>
        <v>104.338714285714</v>
      </c>
      <c r="I581" s="43">
        <v>140</v>
      </c>
      <c r="J581" s="44"/>
      <c r="K581" s="40"/>
      <c r="L581" s="35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 ht="12.75" customHeight="1">
      <c r="A582" s="109">
        <v>44533</v>
      </c>
      <c r="B582" s="46"/>
      <c r="C582" t="s" s="54">
        <v>256</v>
      </c>
      <c r="D582" t="s" s="48">
        <v>442</v>
      </c>
      <c r="E582" s="49"/>
      <c r="F582" s="50"/>
      <c r="G582" s="51">
        <v>25605.2</v>
      </c>
      <c r="H582" s="52">
        <v>180</v>
      </c>
      <c r="I582" s="53" cm="1">
        <f t="array" ref="I582">G582/H582</f>
        <v>142.251111111111</v>
      </c>
      <c r="J582" s="44"/>
      <c r="K582" s="40"/>
      <c r="L582" s="35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 ht="12.75" customHeight="1">
      <c r="A583" t="s" s="17">
        <v>666</v>
      </c>
      <c r="B583" s="37"/>
      <c r="C583" t="s" s="55">
        <v>235</v>
      </c>
      <c r="D583" t="s" s="18">
        <v>442</v>
      </c>
      <c r="E583" s="39"/>
      <c r="F583" s="40"/>
      <c r="G583" s="41">
        <v>223600</v>
      </c>
      <c r="H583" s="42">
        <v>1542</v>
      </c>
      <c r="I583" s="43" cm="1">
        <f t="array" ref="I583">G583/H583</f>
        <v>145.006485084306</v>
      </c>
      <c r="J583" s="44"/>
      <c r="K583" s="40"/>
      <c r="L583" s="35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 ht="12.75" customHeight="1">
      <c r="A584" t="s" s="84">
        <v>667</v>
      </c>
      <c r="B584" s="46"/>
      <c r="C584" t="s" s="54">
        <v>668</v>
      </c>
      <c r="D584" t="s" s="48">
        <v>669</v>
      </c>
      <c r="E584" s="49"/>
      <c r="F584" s="50"/>
      <c r="G584" s="51">
        <v>3428.04</v>
      </c>
      <c r="H584" s="52">
        <v>24</v>
      </c>
      <c r="I584" s="53" cm="1">
        <f t="array" ref="I584">G584/H584</f>
        <v>142.835</v>
      </c>
      <c r="J584" s="44"/>
      <c r="K584" s="40"/>
      <c r="L584" s="35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ht="12.75" customHeight="1">
      <c r="A585" t="s" s="17">
        <v>670</v>
      </c>
      <c r="B585" s="37"/>
      <c r="C585" t="s" s="55">
        <v>14</v>
      </c>
      <c r="D585" t="s" s="18">
        <v>671</v>
      </c>
      <c r="E585" s="39"/>
      <c r="F585" s="40"/>
      <c r="G585" s="41">
        <v>2573.08</v>
      </c>
      <c r="H585" s="42" cm="1">
        <f t="array" ref="H585">G585/I585</f>
        <v>18.3791428571429</v>
      </c>
      <c r="I585" s="43">
        <v>140</v>
      </c>
      <c r="J585" s="44"/>
      <c r="K585" s="40"/>
      <c r="L585" s="35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 ht="12.75" customHeight="1">
      <c r="A586" t="s" s="84">
        <v>672</v>
      </c>
      <c r="B586" s="63">
        <v>1445</v>
      </c>
      <c r="C586" t="s" s="54">
        <v>200</v>
      </c>
      <c r="D586" t="s" s="48">
        <v>673</v>
      </c>
      <c r="E586" s="49"/>
      <c r="F586" s="50"/>
      <c r="G586" s="51">
        <v>115798.66</v>
      </c>
      <c r="H586" s="52">
        <v>800</v>
      </c>
      <c r="I586" s="53" cm="1">
        <f t="array" ref="I586">G586/H586</f>
        <v>144.748325</v>
      </c>
      <c r="J586" s="44"/>
      <c r="K586" s="40"/>
      <c r="L586" s="35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 ht="12.75" customHeight="1">
      <c r="A587" t="s" s="17">
        <v>672</v>
      </c>
      <c r="B587" s="60">
        <v>482</v>
      </c>
      <c r="C587" t="s" s="55">
        <v>279</v>
      </c>
      <c r="D587" t="s" s="18">
        <v>674</v>
      </c>
      <c r="E587" s="39"/>
      <c r="F587" s="40"/>
      <c r="G587" s="41">
        <v>146643.23</v>
      </c>
      <c r="H587" s="42">
        <v>1011</v>
      </c>
      <c r="I587" s="43" cm="1">
        <f t="array" ref="I587">G587/H587</f>
        <v>145.047705242334</v>
      </c>
      <c r="J587" s="44"/>
      <c r="K587" s="40"/>
      <c r="L587" s="35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 ht="12.75" customHeight="1">
      <c r="A588" t="s" s="84">
        <v>675</v>
      </c>
      <c r="B588" s="63">
        <v>6236</v>
      </c>
      <c r="C588" t="s" s="54">
        <v>178</v>
      </c>
      <c r="D588" t="s" s="48">
        <v>676</v>
      </c>
      <c r="E588" s="49"/>
      <c r="F588" s="50"/>
      <c r="G588" s="51">
        <v>7806.47</v>
      </c>
      <c r="H588" s="52">
        <v>55</v>
      </c>
      <c r="I588" s="53" cm="1">
        <f t="array" ref="I588">G588/H588</f>
        <v>141.935818181818</v>
      </c>
      <c r="J588" s="44"/>
      <c r="K588" s="40"/>
      <c r="L588" s="35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ht="12.75" customHeight="1">
      <c r="A589" s="108">
        <v>44443</v>
      </c>
      <c r="B589" s="37"/>
      <c r="C589" t="s" s="55">
        <v>129</v>
      </c>
      <c r="D589" t="s" s="18">
        <v>677</v>
      </c>
      <c r="E589" s="39"/>
      <c r="F589" s="40"/>
      <c r="G589" s="41">
        <v>8500</v>
      </c>
      <c r="H589" s="42">
        <v>71</v>
      </c>
      <c r="I589" s="43" cm="1">
        <f t="array" ref="I589">G589/H589</f>
        <v>119.718309859155</v>
      </c>
      <c r="J589" s="44"/>
      <c r="K589" s="40"/>
      <c r="L589" s="35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 ht="12.75" customHeight="1">
      <c r="A590" s="109">
        <v>44443</v>
      </c>
      <c r="B590" s="46"/>
      <c r="C590" t="s" s="54">
        <v>79</v>
      </c>
      <c r="D590" t="s" s="48">
        <v>678</v>
      </c>
      <c r="E590" s="49"/>
      <c r="F590" s="50"/>
      <c r="G590" s="51">
        <v>6961.91</v>
      </c>
      <c r="H590" s="52" cm="1">
        <f t="array" ref="H590">G590/I590</f>
        <v>49.7279285714286</v>
      </c>
      <c r="I590" s="53">
        <v>140</v>
      </c>
      <c r="J590" s="44"/>
      <c r="K590" s="40"/>
      <c r="L590" s="35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 ht="12.75" customHeight="1">
      <c r="A591" s="108">
        <v>44473</v>
      </c>
      <c r="B591" s="60">
        <v>6374</v>
      </c>
      <c r="C591" t="s" s="55">
        <v>178</v>
      </c>
      <c r="D591" t="s" s="18">
        <v>679</v>
      </c>
      <c r="E591" s="39"/>
      <c r="F591" s="40"/>
      <c r="G591" s="41">
        <v>31805.31</v>
      </c>
      <c r="H591" s="42">
        <v>227</v>
      </c>
      <c r="I591" s="43" cm="1">
        <f t="array" ref="I591">G591/H591</f>
        <v>140.111497797357</v>
      </c>
      <c r="J591" s="44"/>
      <c r="K591" s="40"/>
      <c r="L591" s="35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 ht="12.75" customHeight="1">
      <c r="A592" t="s" s="84">
        <v>680</v>
      </c>
      <c r="B592" s="63">
        <v>6402</v>
      </c>
      <c r="C592" t="s" s="54">
        <v>178</v>
      </c>
      <c r="D592" t="s" s="48">
        <v>625</v>
      </c>
      <c r="E592" s="49"/>
      <c r="F592" s="50"/>
      <c r="G592" s="51">
        <v>7806.47</v>
      </c>
      <c r="H592" s="52">
        <v>56</v>
      </c>
      <c r="I592" s="53" cm="1">
        <f t="array" ref="I592">G592/H592</f>
        <v>139.40125</v>
      </c>
      <c r="J592" s="44"/>
      <c r="K592" s="40"/>
      <c r="L592" s="35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 ht="12.75" customHeight="1">
      <c r="A593" t="s" s="17">
        <v>680</v>
      </c>
      <c r="B593" s="60">
        <v>6403</v>
      </c>
      <c r="C593" t="s" s="55">
        <v>178</v>
      </c>
      <c r="D593" t="s" s="18">
        <v>625</v>
      </c>
      <c r="E593" s="39"/>
      <c r="F593" s="40"/>
      <c r="G593" s="41">
        <v>11709.7</v>
      </c>
      <c r="H593" s="42">
        <v>84</v>
      </c>
      <c r="I593" s="43" cm="1">
        <f t="array" ref="I593">G593/H593</f>
        <v>139.401190476190</v>
      </c>
      <c r="J593" s="44"/>
      <c r="K593" s="40"/>
      <c r="L593" s="92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</row>
    <row r="594" ht="12.75" customHeight="1">
      <c r="A594" t="s" s="112">
        <v>681</v>
      </c>
      <c r="B594" s="129"/>
      <c r="C594" t="s" s="113">
        <v>21</v>
      </c>
      <c r="D594" t="s" s="114">
        <v>682</v>
      </c>
      <c r="E594" s="115"/>
      <c r="F594" s="98"/>
      <c r="G594" s="130">
        <v>14607.42</v>
      </c>
      <c r="H594" s="118" cm="1">
        <f t="array" ref="H594">G594/I594</f>
        <v>104.338714285714</v>
      </c>
      <c r="I594" s="119">
        <v>140</v>
      </c>
      <c r="J594" s="44"/>
      <c r="K594" s="40"/>
      <c r="L594" s="94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6"/>
    </row>
    <row r="595" ht="12.75" customHeight="1">
      <c r="A595" t="s" s="131">
        <v>683</v>
      </c>
      <c r="B595" s="132"/>
      <c r="C595" t="s" s="122">
        <v>357</v>
      </c>
      <c r="D595" t="s" s="123">
        <v>684</v>
      </c>
      <c r="E595" s="133"/>
      <c r="F595" s="134"/>
      <c r="G595" s="135">
        <v>293700</v>
      </c>
      <c r="H595" s="52">
        <v>2097</v>
      </c>
      <c r="I595" s="53" cm="1">
        <f t="array" ref="I595">G595/H595</f>
        <v>140.057224606581</v>
      </c>
      <c r="J595" s="44"/>
      <c r="K595" s="40"/>
      <c r="L595" s="106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</row>
    <row r="596" ht="12.75" customHeight="1">
      <c r="A596" t="s" s="136">
        <v>685</v>
      </c>
      <c r="B596" t="s" s="136">
        <v>686</v>
      </c>
      <c r="C596" t="s" s="137">
        <v>178</v>
      </c>
      <c r="D596" t="s" s="138">
        <v>602</v>
      </c>
      <c r="E596" s="49"/>
      <c r="F596" s="50"/>
      <c r="G596" s="51">
        <v>186362.41</v>
      </c>
      <c r="H596" s="52" cm="1">
        <f t="array" ref="H596">G596/I596</f>
        <v>1242.416066666670</v>
      </c>
      <c r="I596" s="139">
        <v>150</v>
      </c>
      <c r="J596" s="44"/>
      <c r="K596" s="40"/>
      <c r="L596" s="35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ht="12.75" customHeight="1">
      <c r="A597" t="s" s="17">
        <v>685</v>
      </c>
      <c r="B597" s="60">
        <v>2274</v>
      </c>
      <c r="C597" t="s" s="55">
        <v>258</v>
      </c>
      <c r="D597" t="s" s="18">
        <v>687</v>
      </c>
      <c r="E597" s="39"/>
      <c r="F597" s="40"/>
      <c r="G597" s="41">
        <v>2012.63</v>
      </c>
      <c r="H597" s="42">
        <v>12</v>
      </c>
      <c r="I597" s="43" cm="1">
        <f t="array" ref="I597">G597/H597</f>
        <v>167.719166666667</v>
      </c>
      <c r="J597" s="44"/>
      <c r="K597" s="40"/>
      <c r="L597" s="35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 ht="12.75" customHeight="1">
      <c r="A598" t="s" s="17">
        <v>688</v>
      </c>
      <c r="B598" s="37"/>
      <c r="C598" t="s" s="55">
        <v>14</v>
      </c>
      <c r="D598" t="s" s="18">
        <v>689</v>
      </c>
      <c r="E598" s="39"/>
      <c r="F598" s="40"/>
      <c r="G598" s="41">
        <v>3174.95</v>
      </c>
      <c r="H598" s="42" cm="1">
        <f t="array" ref="H598">G598/I598</f>
        <v>22.6782142857143</v>
      </c>
      <c r="I598" s="43">
        <v>140</v>
      </c>
      <c r="J598" s="44"/>
      <c r="K598" s="40"/>
      <c r="L598" s="35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 ht="12.75" customHeight="1">
      <c r="A599" t="s" s="136">
        <v>690</v>
      </c>
      <c r="B599" s="140">
        <v>907</v>
      </c>
      <c r="C599" t="s" s="137">
        <v>47</v>
      </c>
      <c r="D599" t="s" s="138">
        <v>691</v>
      </c>
      <c r="E599" s="49"/>
      <c r="F599" s="50"/>
      <c r="G599" s="51">
        <v>10157.53</v>
      </c>
      <c r="H599" s="52">
        <v>67</v>
      </c>
      <c r="I599" s="139" cm="1">
        <f t="array" ref="I599">G599/H599</f>
        <v>151.604925373134</v>
      </c>
      <c r="J599" s="44"/>
      <c r="K599" s="40"/>
      <c r="L599" s="35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 ht="12.75" customHeight="1">
      <c r="A600" t="s" s="17">
        <v>690</v>
      </c>
      <c r="B600" s="60">
        <v>17952</v>
      </c>
      <c r="C600" t="s" s="55">
        <v>692</v>
      </c>
      <c r="D600" t="s" s="18">
        <v>693</v>
      </c>
      <c r="E600" s="39"/>
      <c r="F600" s="40"/>
      <c r="G600" s="41">
        <v>2736.69</v>
      </c>
      <c r="H600" s="42">
        <v>18</v>
      </c>
      <c r="I600" s="43" cm="1">
        <f t="array" ref="I600">G600/H600</f>
        <v>152.038333333333</v>
      </c>
      <c r="J600" s="44"/>
      <c r="K600" s="40"/>
      <c r="L600" s="35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 ht="12.75" customHeight="1">
      <c r="A601" t="s" s="84">
        <v>694</v>
      </c>
      <c r="B601" s="63">
        <v>14381</v>
      </c>
      <c r="C601" t="s" s="54">
        <v>692</v>
      </c>
      <c r="D601" t="s" s="48">
        <v>693</v>
      </c>
      <c r="E601" s="49"/>
      <c r="F601" s="50"/>
      <c r="G601" s="51">
        <v>3040.75</v>
      </c>
      <c r="H601" s="52">
        <v>21</v>
      </c>
      <c r="I601" s="53" cm="1">
        <f t="array" ref="I601">G601/H601</f>
        <v>144.797619047619</v>
      </c>
      <c r="J601" s="44"/>
      <c r="K601" s="40"/>
      <c r="L601" s="35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 ht="12.75" customHeight="1">
      <c r="A602" s="141">
        <v>44474</v>
      </c>
      <c r="B602" s="37"/>
      <c r="C602" t="s" s="55">
        <v>79</v>
      </c>
      <c r="D602" t="s" s="18">
        <v>695</v>
      </c>
      <c r="E602" s="39"/>
      <c r="F602" s="40"/>
      <c r="G602" s="41">
        <v>6969.02</v>
      </c>
      <c r="H602" s="42" cm="1">
        <f t="array" ref="H602">G602/I602</f>
        <v>46.4601333333333</v>
      </c>
      <c r="I602" s="43">
        <v>150</v>
      </c>
      <c r="J602" t="s" s="55">
        <v>696</v>
      </c>
      <c r="K602" s="40"/>
      <c r="L602" s="35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 ht="12.75" customHeight="1">
      <c r="A603" s="142">
        <v>44535</v>
      </c>
      <c r="B603" s="63">
        <v>6691</v>
      </c>
      <c r="C603" t="s" s="54">
        <v>178</v>
      </c>
      <c r="D603" t="s" s="48">
        <v>625</v>
      </c>
      <c r="E603" s="49"/>
      <c r="F603" s="50"/>
      <c r="G603" s="51">
        <v>34328.44</v>
      </c>
      <c r="H603" s="52">
        <v>215</v>
      </c>
      <c r="I603" s="53" cm="1">
        <f t="array" ref="I603">G603/H603</f>
        <v>159.667162790698</v>
      </c>
      <c r="J603" s="44"/>
      <c r="K603" s="40"/>
      <c r="L603" s="35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 ht="12.75" customHeight="1">
      <c r="A604" t="s" s="84">
        <v>697</v>
      </c>
      <c r="B604" s="46"/>
      <c r="C604" t="s" s="54">
        <v>14</v>
      </c>
      <c r="D604" t="s" s="48">
        <v>698</v>
      </c>
      <c r="E604" s="49"/>
      <c r="F604" s="50"/>
      <c r="G604" s="51">
        <v>2406.25</v>
      </c>
      <c r="H604" s="52" cm="1">
        <f t="array" ref="H604">G604/I604</f>
        <v>16.0416666666667</v>
      </c>
      <c r="I604" s="53">
        <v>150</v>
      </c>
      <c r="J604" s="44"/>
      <c r="K604" s="40"/>
      <c r="L604" s="35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 ht="12.75" customHeight="1">
      <c r="A605" s="143">
        <v>44202</v>
      </c>
      <c r="B605" s="60">
        <v>6846</v>
      </c>
      <c r="C605" t="s" s="55">
        <v>178</v>
      </c>
      <c r="D605" t="s" s="18">
        <v>699</v>
      </c>
      <c r="E605" s="39"/>
      <c r="F605" s="40"/>
      <c r="G605" s="41">
        <v>23204.07</v>
      </c>
      <c r="H605" s="42">
        <v>145</v>
      </c>
      <c r="I605" s="43" cm="1">
        <f t="array" ref="I605">G605/H605</f>
        <v>160.028068965517</v>
      </c>
      <c r="J605" s="44"/>
      <c r="K605" s="40"/>
      <c r="L605" s="35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ht="12.75" customHeight="1">
      <c r="A606" s="143">
        <v>44233</v>
      </c>
      <c r="B606" s="60">
        <v>26873</v>
      </c>
      <c r="C606" t="s" s="55">
        <v>346</v>
      </c>
      <c r="D606" t="s" s="18">
        <v>700</v>
      </c>
      <c r="E606" s="39"/>
      <c r="F606" s="40"/>
      <c r="G606" s="41">
        <v>335.39</v>
      </c>
      <c r="H606" s="42">
        <v>2.25</v>
      </c>
      <c r="I606" s="43" cm="1">
        <f t="array" ref="I606">G606/H606</f>
        <v>149.062222222222</v>
      </c>
      <c r="J606" s="44"/>
      <c r="K606" s="40"/>
      <c r="L606" s="35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 ht="12.75" customHeight="1">
      <c r="A607" s="142">
        <v>44414</v>
      </c>
      <c r="B607" s="46"/>
      <c r="C607" t="s" s="54">
        <v>79</v>
      </c>
      <c r="D607" t="s" s="48">
        <v>701</v>
      </c>
      <c r="E607" s="49"/>
      <c r="F607" s="50"/>
      <c r="G607" s="51">
        <v>2921.44</v>
      </c>
      <c r="H607" s="52" cm="1">
        <f t="array" ref="H607">G607/I607</f>
        <v>19.4762666666667</v>
      </c>
      <c r="I607" s="53">
        <v>150</v>
      </c>
      <c r="J607" s="44"/>
      <c r="K607" s="40"/>
      <c r="L607" s="35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 ht="12.75" customHeight="1">
      <c r="A608" t="s" s="17">
        <v>702</v>
      </c>
      <c r="B608" s="37"/>
      <c r="C608" t="s" s="55">
        <v>14</v>
      </c>
      <c r="D608" t="s" s="18">
        <v>703</v>
      </c>
      <c r="E608" s="39"/>
      <c r="F608" s="40"/>
      <c r="G608" s="41">
        <v>2552.85</v>
      </c>
      <c r="H608" s="42" cm="1">
        <f t="array" ref="H608">G608/I608</f>
        <v>17.019</v>
      </c>
      <c r="I608" s="43">
        <v>150</v>
      </c>
      <c r="J608" s="44"/>
      <c r="K608" s="40"/>
      <c r="L608" s="35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 ht="12.75" customHeight="1">
      <c r="A609" s="142">
        <v>44323</v>
      </c>
      <c r="B609" s="63">
        <v>5848</v>
      </c>
      <c r="C609" t="s" s="54">
        <v>704</v>
      </c>
      <c r="D609" t="s" s="48">
        <v>705</v>
      </c>
      <c r="E609" s="49"/>
      <c r="F609" s="50"/>
      <c r="G609" s="51">
        <v>4000.02</v>
      </c>
      <c r="H609" s="52">
        <v>24</v>
      </c>
      <c r="I609" s="53" cm="1">
        <f t="array" ref="I609">G609/H609</f>
        <v>166.6675</v>
      </c>
      <c r="J609" s="44"/>
      <c r="K609" s="40"/>
      <c r="L609" s="35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 ht="12.75" customHeight="1">
      <c r="A610" s="141">
        <v>44384</v>
      </c>
      <c r="B610" s="60">
        <v>13759</v>
      </c>
      <c r="C610" t="s" s="55">
        <v>706</v>
      </c>
      <c r="D610" t="s" s="18">
        <v>707</v>
      </c>
      <c r="E610" s="39"/>
      <c r="F610" s="40"/>
      <c r="G610" s="41">
        <v>390</v>
      </c>
      <c r="H610" s="42">
        <v>2.3</v>
      </c>
      <c r="I610" s="43" cm="1">
        <f t="array" ref="I610">G610/H610</f>
        <v>169.565217391304</v>
      </c>
      <c r="J610" s="44"/>
      <c r="K610" s="40"/>
      <c r="L610" s="35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 ht="12.75" customHeight="1">
      <c r="A611" s="141">
        <v>44384</v>
      </c>
      <c r="B611" s="37"/>
      <c r="C611" t="s" s="55">
        <v>79</v>
      </c>
      <c r="D611" t="s" s="18">
        <v>708</v>
      </c>
      <c r="E611" s="39"/>
      <c r="F611" s="40"/>
      <c r="G611" s="41">
        <v>2929.41</v>
      </c>
      <c r="H611" s="42">
        <v>2.3</v>
      </c>
      <c r="I611" s="43">
        <v>169.57</v>
      </c>
      <c r="J611" s="44"/>
      <c r="K611" s="40"/>
      <c r="L611" s="35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ht="12.75" customHeight="1">
      <c r="A612" s="141">
        <v>44415</v>
      </c>
      <c r="B612" s="60">
        <v>16499</v>
      </c>
      <c r="C612" t="s" s="55">
        <v>200</v>
      </c>
      <c r="D612" t="s" s="18">
        <v>709</v>
      </c>
      <c r="E612" s="39"/>
      <c r="F612" s="40"/>
      <c r="G612" s="41">
        <v>6121.72</v>
      </c>
      <c r="H612" s="42">
        <v>36</v>
      </c>
      <c r="I612" s="43" cm="1">
        <f t="array" ref="I612">G612/H612</f>
        <v>170.047777777778</v>
      </c>
      <c r="J612" s="44"/>
      <c r="K612" s="40"/>
      <c r="L612" s="35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 ht="12.75" customHeight="1">
      <c r="A613" t="s" s="84">
        <v>710</v>
      </c>
      <c r="B613" s="46"/>
      <c r="C613" t="s" s="54">
        <v>706</v>
      </c>
      <c r="D613" t="s" s="48">
        <v>711</v>
      </c>
      <c r="E613" s="49"/>
      <c r="F613" s="50"/>
      <c r="G613" s="51">
        <v>390</v>
      </c>
      <c r="H613" s="52">
        <v>2.3</v>
      </c>
      <c r="I613" s="53" cm="1">
        <f t="array" ref="I613">G613/H613</f>
        <v>169.565217391304</v>
      </c>
      <c r="J613" s="44"/>
      <c r="K613" s="40"/>
      <c r="L613" s="35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 ht="12.75" customHeight="1">
      <c r="A614" t="s" s="84">
        <v>712</v>
      </c>
      <c r="B614" s="63">
        <v>7226</v>
      </c>
      <c r="C614" t="s" s="54">
        <v>178</v>
      </c>
      <c r="D614" t="s" s="48">
        <v>713</v>
      </c>
      <c r="E614" s="49"/>
      <c r="F614" s="50"/>
      <c r="G614" s="51">
        <v>13353.01</v>
      </c>
      <c r="H614" s="52">
        <v>75</v>
      </c>
      <c r="I614" s="53" cm="1">
        <f t="array" ref="I614">G614/H614</f>
        <v>178.040133333333</v>
      </c>
      <c r="J614" s="44"/>
      <c r="K614" s="40"/>
      <c r="L614" s="35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 ht="12.75" customHeight="1">
      <c r="A615" s="144">
        <v>44414</v>
      </c>
      <c r="B615" s="37"/>
      <c r="C615" t="s" s="55">
        <v>79</v>
      </c>
      <c r="D615" t="s" s="18">
        <v>714</v>
      </c>
      <c r="E615" s="39"/>
      <c r="F615" s="40"/>
      <c r="G615" s="41">
        <v>3377.25</v>
      </c>
      <c r="H615" s="42">
        <v>19</v>
      </c>
      <c r="I615" s="43" cm="1">
        <f t="array" ref="I615">G615/H615</f>
        <v>177.75</v>
      </c>
      <c r="J615" s="44"/>
      <c r="K615" s="40"/>
      <c r="L615" s="35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 ht="12.75" customHeight="1">
      <c r="A616" s="145">
        <v>44421</v>
      </c>
      <c r="B616" s="63">
        <v>4335</v>
      </c>
      <c r="C616" t="s" s="54">
        <v>129</v>
      </c>
      <c r="D616" t="s" s="48">
        <v>715</v>
      </c>
      <c r="E616" s="49"/>
      <c r="F616" s="50"/>
      <c r="G616" s="51">
        <v>7150</v>
      </c>
      <c r="H616" s="52">
        <v>40</v>
      </c>
      <c r="I616" s="53" cm="1">
        <f t="array" ref="I616">G616/H616</f>
        <v>178.75</v>
      </c>
      <c r="J616" s="44"/>
      <c r="K616" s="40"/>
      <c r="L616" s="35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 ht="12.75" customHeight="1">
      <c r="A617" s="146">
        <v>44417</v>
      </c>
      <c r="B617" s="60">
        <v>793</v>
      </c>
      <c r="C617" t="s" s="55">
        <v>178</v>
      </c>
      <c r="D617" t="s" s="18">
        <v>625</v>
      </c>
      <c r="E617" s="39"/>
      <c r="F617" s="40"/>
      <c r="G617" s="41">
        <v>8607.139999999999</v>
      </c>
      <c r="H617" s="42">
        <v>48</v>
      </c>
      <c r="I617" s="53" cm="1">
        <f t="array" ref="I617">G617/H617</f>
        <v>179.315416666667</v>
      </c>
      <c r="J617" s="44"/>
      <c r="K617" s="40"/>
      <c r="L617" s="35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 ht="12.75" customHeight="1">
      <c r="A618" s="145">
        <v>44427</v>
      </c>
      <c r="B618" s="63">
        <v>10551</v>
      </c>
      <c r="C618" t="s" s="54">
        <v>256</v>
      </c>
      <c r="D618" t="s" s="48">
        <v>602</v>
      </c>
      <c r="E618" s="49"/>
      <c r="F618" s="50"/>
      <c r="G618" s="51">
        <v>10958</v>
      </c>
      <c r="H618" s="52">
        <v>61</v>
      </c>
      <c r="I618" s="53" cm="1">
        <f t="array" ref="I618">G618/H618</f>
        <v>179.639344262295</v>
      </c>
      <c r="J618" s="44"/>
      <c r="K618" s="40"/>
      <c r="L618" s="35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 ht="12.75" customHeight="1">
      <c r="A619" s="144">
        <v>44431</v>
      </c>
      <c r="B619" s="60">
        <v>1882658</v>
      </c>
      <c r="C619" t="s" s="55">
        <v>88</v>
      </c>
      <c r="D619" t="s" s="18">
        <v>716</v>
      </c>
      <c r="E619" s="39"/>
      <c r="F619" s="40"/>
      <c r="G619" s="41">
        <v>48914.44</v>
      </c>
      <c r="H619" s="42" cm="1">
        <f t="array" ref="H619">G619/I619</f>
        <v>271.746888888889</v>
      </c>
      <c r="I619" s="53">
        <v>180</v>
      </c>
      <c r="J619" s="44"/>
      <c r="K619" s="40"/>
      <c r="L619" s="35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 ht="12.75" customHeight="1">
      <c r="A620" s="145">
        <v>44431</v>
      </c>
      <c r="B620" s="46"/>
      <c r="C620" t="s" s="54">
        <v>14</v>
      </c>
      <c r="D620" t="s" s="48">
        <v>717</v>
      </c>
      <c r="E620" s="49"/>
      <c r="F620" s="50"/>
      <c r="G620" s="51">
        <v>2369.6</v>
      </c>
      <c r="H620" s="52" cm="1">
        <f t="array" ref="H620">G620/I620</f>
        <v>13.1644444444444</v>
      </c>
      <c r="I620" s="53">
        <v>180</v>
      </c>
      <c r="J620" s="44"/>
      <c r="K620" s="40"/>
      <c r="L620" s="35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 ht="12.75" customHeight="1">
      <c r="A621" s="146">
        <v>44434</v>
      </c>
      <c r="B621" s="60">
        <v>7553</v>
      </c>
      <c r="C621" t="s" s="55">
        <v>178</v>
      </c>
      <c r="D621" t="s" s="18">
        <v>718</v>
      </c>
      <c r="E621" s="39"/>
      <c r="F621" s="40"/>
      <c r="G621" s="41">
        <v>10508.71</v>
      </c>
      <c r="H621" s="42">
        <v>58.5</v>
      </c>
      <c r="I621" s="53" cm="1">
        <f t="array" ref="I621">G621/H621</f>
        <v>179.636068376068</v>
      </c>
      <c r="J621" s="44"/>
      <c r="K621" s="40"/>
      <c r="L621" s="35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 ht="12.75" customHeight="1">
      <c r="A622" s="145">
        <v>44440</v>
      </c>
      <c r="B622" s="63">
        <v>7604</v>
      </c>
      <c r="C622" t="s" s="54">
        <v>178</v>
      </c>
      <c r="D622" t="s" s="48">
        <v>719</v>
      </c>
      <c r="E622" s="49"/>
      <c r="F622" s="50"/>
      <c r="G622" s="51">
        <v>8807.26</v>
      </c>
      <c r="H622" s="52">
        <v>48</v>
      </c>
      <c r="I622" s="53" cm="1">
        <f t="array" ref="I622">G622/H622</f>
        <v>183.484583333333</v>
      </c>
      <c r="J622" s="44"/>
      <c r="K622" s="40"/>
      <c r="L622" s="35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ht="12.75" customHeight="1">
      <c r="A623" s="146">
        <v>44442</v>
      </c>
      <c r="B623" s="60">
        <v>522</v>
      </c>
      <c r="C623" t="s" s="55">
        <v>279</v>
      </c>
      <c r="D623" t="s" s="18">
        <v>720</v>
      </c>
      <c r="E623" s="39"/>
      <c r="F623" s="40"/>
      <c r="G623" s="41">
        <v>213214.46</v>
      </c>
      <c r="H623" s="42">
        <v>1184</v>
      </c>
      <c r="I623" s="53" cm="1">
        <f t="array" ref="I623">G623/H623</f>
        <v>180.079780405405</v>
      </c>
      <c r="J623" s="44"/>
      <c r="K623" s="40"/>
      <c r="L623" s="35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ht="12.75" customHeight="1">
      <c r="A624" s="145">
        <v>44449</v>
      </c>
      <c r="B624" s="46"/>
      <c r="C624" t="s" s="54">
        <v>21</v>
      </c>
      <c r="D624" t="s" s="48">
        <v>721</v>
      </c>
      <c r="E624" s="49"/>
      <c r="F624" s="50"/>
      <c r="G624" s="51">
        <v>14607.42</v>
      </c>
      <c r="H624" s="52" cm="1">
        <f t="array" ref="H624">G624/I624</f>
        <v>81.1523333333333</v>
      </c>
      <c r="I624" s="53">
        <v>180</v>
      </c>
      <c r="J624" s="44"/>
      <c r="K624" s="40"/>
      <c r="L624" s="35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t="s" s="87">
        <v>244</v>
      </c>
    </row>
    <row r="625" ht="12.75" customHeight="1">
      <c r="A625" s="146">
        <v>44452</v>
      </c>
      <c r="B625" s="37"/>
      <c r="C625" t="s" s="55">
        <v>279</v>
      </c>
      <c r="D625" t="s" s="18">
        <v>722</v>
      </c>
      <c r="E625" s="39"/>
      <c r="F625" s="40"/>
      <c r="G625" s="41">
        <v>321720.21</v>
      </c>
      <c r="H625" s="42">
        <v>1807</v>
      </c>
      <c r="I625" s="53" cm="1">
        <f t="array" ref="I625">G625/H625</f>
        <v>178.041068068622</v>
      </c>
      <c r="J625" s="44"/>
      <c r="K625" s="40"/>
      <c r="L625" s="35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 ht="12.75" customHeight="1">
      <c r="A626" s="145">
        <v>44461</v>
      </c>
      <c r="B626" s="63">
        <v>688</v>
      </c>
      <c r="C626" t="s" s="54">
        <v>81</v>
      </c>
      <c r="D626" t="s" s="48">
        <v>723</v>
      </c>
      <c r="E626" s="49"/>
      <c r="F626" s="50"/>
      <c r="G626" s="51">
        <v>605000</v>
      </c>
      <c r="H626" s="52">
        <v>3324</v>
      </c>
      <c r="I626" s="53" cm="1">
        <f t="array" ref="I626">G626/H626</f>
        <v>182.009626955475</v>
      </c>
      <c r="J626" s="44"/>
      <c r="K626" s="40"/>
      <c r="L626" s="35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ht="12.75" customHeight="1">
      <c r="A627" s="146">
        <v>44462</v>
      </c>
      <c r="B627" s="37"/>
      <c r="C627" t="s" s="55">
        <v>14</v>
      </c>
      <c r="D627" t="s" s="18">
        <v>724</v>
      </c>
      <c r="E627" s="39"/>
      <c r="F627" s="40"/>
      <c r="G627" s="41">
        <v>2862.51</v>
      </c>
      <c r="H627" s="42" cm="1">
        <f t="array" ref="H627">G627/I627</f>
        <v>15.9028333333333</v>
      </c>
      <c r="I627" s="53">
        <v>180</v>
      </c>
      <c r="J627" s="44"/>
      <c r="K627" s="40"/>
      <c r="L627" s="35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 ht="12.75" customHeight="1">
      <c r="A628" s="145">
        <v>44473</v>
      </c>
      <c r="B628" s="63">
        <v>52951</v>
      </c>
      <c r="C628" t="s" s="54">
        <v>256</v>
      </c>
      <c r="D628" t="s" s="48">
        <v>725</v>
      </c>
      <c r="E628" s="49"/>
      <c r="F628" s="50"/>
      <c r="G628" s="51">
        <v>3880.9</v>
      </c>
      <c r="H628" s="52">
        <v>20</v>
      </c>
      <c r="I628" s="53" cm="1">
        <f t="array" ref="I628">G628/H628</f>
        <v>194.045</v>
      </c>
      <c r="J628" s="44"/>
      <c r="K628" s="40"/>
      <c r="L628" s="35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 ht="12.75" customHeight="1">
      <c r="A629" s="146">
        <v>44473</v>
      </c>
      <c r="B629" s="60">
        <v>52343</v>
      </c>
      <c r="C629" t="s" s="55">
        <v>256</v>
      </c>
      <c r="D629" t="s" s="18">
        <v>726</v>
      </c>
      <c r="E629" s="39"/>
      <c r="F629" s="40"/>
      <c r="G629" s="41">
        <v>3800.28</v>
      </c>
      <c r="H629" s="42">
        <v>19</v>
      </c>
      <c r="I629" s="53" cm="1">
        <f t="array" ref="I629">G629/H629</f>
        <v>200.014736842105</v>
      </c>
      <c r="J629" s="44"/>
      <c r="K629" s="40"/>
      <c r="L629" s="35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 ht="12.75" customHeight="1">
      <c r="A630" s="145">
        <v>44473</v>
      </c>
      <c r="B630" s="63">
        <v>52128</v>
      </c>
      <c r="C630" t="s" s="54">
        <v>256</v>
      </c>
      <c r="D630" t="s" s="48">
        <v>727</v>
      </c>
      <c r="E630" s="49"/>
      <c r="F630" s="50"/>
      <c r="G630" s="51">
        <v>13369.42</v>
      </c>
      <c r="H630" s="52">
        <v>73</v>
      </c>
      <c r="I630" s="53" cm="1">
        <f t="array" ref="I630">G630/H630</f>
        <v>183.142739726027</v>
      </c>
      <c r="J630" s="44"/>
      <c r="K630" s="40"/>
      <c r="L630" s="92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</row>
    <row r="631" ht="12.75" customHeight="1">
      <c r="A631" s="146">
        <v>44473</v>
      </c>
      <c r="B631" s="60">
        <v>796</v>
      </c>
      <c r="C631" t="s" s="55">
        <v>551</v>
      </c>
      <c r="D631" t="s" s="18">
        <v>728</v>
      </c>
      <c r="E631" s="39"/>
      <c r="F631" s="40"/>
      <c r="G631" s="41" cm="1">
        <f t="array" ref="G631">1242350+260893.5</f>
        <v>1503243.5</v>
      </c>
      <c r="H631" s="42">
        <v>8126</v>
      </c>
      <c r="I631" s="43" cm="1">
        <f t="array" ref="I631">G631/H631</f>
        <v>184.991816391829</v>
      </c>
      <c r="J631" s="44"/>
      <c r="K631" s="40"/>
      <c r="L631" s="94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6"/>
    </row>
    <row r="632" ht="12.75" customHeight="1">
      <c r="A632" s="145">
        <v>44481</v>
      </c>
      <c r="B632" s="46"/>
      <c r="C632" t="s" s="54">
        <v>21</v>
      </c>
      <c r="D632" t="s" s="48">
        <v>729</v>
      </c>
      <c r="E632" s="49"/>
      <c r="F632" s="50"/>
      <c r="G632" s="51">
        <v>15348.76</v>
      </c>
      <c r="H632" s="52" cm="1">
        <f t="array" ref="H632">G632/I632</f>
        <v>83.8730054644809</v>
      </c>
      <c r="I632" s="53">
        <v>183</v>
      </c>
      <c r="J632" s="102"/>
      <c r="K632" s="50"/>
      <c r="L632" s="103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5"/>
    </row>
    <row r="633" ht="12.75" customHeight="1">
      <c r="A633" s="146">
        <v>44484</v>
      </c>
      <c r="B633" s="37"/>
      <c r="C633" t="s" s="55">
        <v>47</v>
      </c>
      <c r="D633" t="s" s="18">
        <v>730</v>
      </c>
      <c r="E633" s="39"/>
      <c r="F633" s="40"/>
      <c r="G633" s="41">
        <v>149960</v>
      </c>
      <c r="H633" s="42">
        <v>813</v>
      </c>
      <c r="I633" s="43" cm="1">
        <f t="array" ref="I633">G633/H633</f>
        <v>184.452644526445</v>
      </c>
      <c r="J633" s="44"/>
      <c r="K633" s="40"/>
      <c r="L633" s="94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6"/>
    </row>
    <row r="634" ht="12.75" customHeight="1">
      <c r="A634" s="145">
        <v>44491</v>
      </c>
      <c r="B634" s="46"/>
      <c r="C634" t="s" s="54">
        <v>14</v>
      </c>
      <c r="D634" t="s" s="48">
        <v>731</v>
      </c>
      <c r="E634" s="49"/>
      <c r="F634" s="50"/>
      <c r="G634" s="51">
        <v>2605.96</v>
      </c>
      <c r="H634" s="52" cm="1">
        <f t="array" ref="H634">G634/I634</f>
        <v>14.0862702702703</v>
      </c>
      <c r="I634" s="53">
        <v>185</v>
      </c>
      <c r="J634" s="102"/>
      <c r="K634" s="50"/>
      <c r="L634" s="103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5"/>
    </row>
    <row r="635" ht="12.75" customHeight="1">
      <c r="A635" s="146">
        <v>44501</v>
      </c>
      <c r="B635" s="60">
        <v>18874</v>
      </c>
      <c r="C635" t="s" s="55">
        <v>200</v>
      </c>
      <c r="D635" t="s" s="18">
        <v>732</v>
      </c>
      <c r="E635" s="39"/>
      <c r="F635" s="40"/>
      <c r="G635" s="41">
        <v>9257.059999999999</v>
      </c>
      <c r="H635" s="42">
        <v>48</v>
      </c>
      <c r="I635" s="43" cm="1">
        <f t="array" ref="I635">G635/H635</f>
        <v>192.855416666667</v>
      </c>
      <c r="J635" s="44"/>
      <c r="K635" s="40"/>
      <c r="L635" s="94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6"/>
    </row>
    <row r="636" ht="12.75" customHeight="1">
      <c r="A636" s="145">
        <v>44510</v>
      </c>
      <c r="B636" s="46"/>
      <c r="C636" t="s" s="54">
        <v>21</v>
      </c>
      <c r="D636" t="s" s="48">
        <v>733</v>
      </c>
      <c r="E636" s="49"/>
      <c r="F636" s="50"/>
      <c r="G636" s="51">
        <v>15348.76</v>
      </c>
      <c r="H636" s="52" cm="1">
        <f t="array" ref="H636">G636/I636</f>
        <v>75.6096551724138</v>
      </c>
      <c r="I636" s="53">
        <v>203</v>
      </c>
      <c r="J636" s="102"/>
      <c r="K636" s="50"/>
      <c r="L636" s="103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5"/>
    </row>
    <row r="637" ht="12.75" customHeight="1">
      <c r="A637" s="146">
        <v>44523</v>
      </c>
      <c r="B637" s="60">
        <v>3000</v>
      </c>
      <c r="C637" t="s" s="55">
        <v>258</v>
      </c>
      <c r="D637" t="s" s="18">
        <v>734</v>
      </c>
      <c r="E637" s="39"/>
      <c r="F637" s="40"/>
      <c r="G637" s="41">
        <v>43700</v>
      </c>
      <c r="H637" s="42">
        <v>218</v>
      </c>
      <c r="I637" s="43" cm="1">
        <f t="array" ref="I637">G637/H637</f>
        <v>200.458715596330</v>
      </c>
      <c r="J637" s="44"/>
      <c r="K637" s="40"/>
      <c r="L637" s="94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6"/>
    </row>
    <row r="638" ht="12.75" customHeight="1">
      <c r="A638" s="145">
        <v>44523</v>
      </c>
      <c r="B638" s="46"/>
      <c r="C638" t="s" s="54">
        <v>14</v>
      </c>
      <c r="D638" t="s" s="48">
        <v>735</v>
      </c>
      <c r="E638" s="49"/>
      <c r="F638" s="50"/>
      <c r="G638" s="51">
        <v>2312.75</v>
      </c>
      <c r="H638" s="52" cm="1">
        <f t="array" ref="H638">G638/I638</f>
        <v>11.56375</v>
      </c>
      <c r="I638" s="53">
        <v>200</v>
      </c>
      <c r="J638" s="102"/>
      <c r="K638" s="50"/>
      <c r="L638" s="103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5"/>
    </row>
    <row r="639" ht="12.75" customHeight="1">
      <c r="A639" s="147">
        <v>44531</v>
      </c>
      <c r="B639" s="38"/>
      <c r="C639" t="s" s="55">
        <v>736</v>
      </c>
      <c r="D639" t="s" s="18">
        <v>737</v>
      </c>
      <c r="E639" s="39"/>
      <c r="F639" s="40"/>
      <c r="G639" s="41">
        <v>1500000</v>
      </c>
      <c r="H639" s="42"/>
      <c r="I639" s="43"/>
      <c r="J639" s="44"/>
      <c r="K639" s="40"/>
      <c r="L639" s="148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 ht="12.75" customHeight="1">
      <c r="A640" s="150">
        <v>44546</v>
      </c>
      <c r="B640" s="47"/>
      <c r="C640" t="s" s="54">
        <v>738</v>
      </c>
      <c r="D640" t="s" s="48">
        <v>739</v>
      </c>
      <c r="E640" s="49"/>
      <c r="F640" s="50"/>
      <c r="G640" s="51">
        <v>2096853</v>
      </c>
      <c r="H640" s="52">
        <v>10500</v>
      </c>
      <c r="I640" s="53" cm="1">
        <f t="array" ref="I640">G640/H640</f>
        <v>199.700285714286</v>
      </c>
      <c r="J640" s="102"/>
      <c r="K640" s="50"/>
      <c r="L640" s="103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5"/>
    </row>
    <row r="641" ht="12.75" customHeight="1">
      <c r="A641" s="147">
        <v>44546</v>
      </c>
      <c r="B641" s="38"/>
      <c r="C641" t="s" s="55">
        <v>738</v>
      </c>
      <c r="D641" t="s" s="18">
        <v>740</v>
      </c>
      <c r="E641" s="39"/>
      <c r="F641" s="40"/>
      <c r="G641" s="41">
        <v>2862767</v>
      </c>
      <c r="H641" s="42">
        <v>14300</v>
      </c>
      <c r="I641" s="43" cm="1">
        <f t="array" ref="I641">G641/H641</f>
        <v>200.193496503497</v>
      </c>
      <c r="J641" s="44"/>
      <c r="K641" s="40"/>
      <c r="L641" s="106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</row>
    <row r="642" ht="12.75" customHeight="1">
      <c r="A642" s="145">
        <v>44547</v>
      </c>
      <c r="B642" s="63">
        <v>8528</v>
      </c>
      <c r="C642" t="s" s="54">
        <v>178</v>
      </c>
      <c r="D642" t="s" s="48">
        <v>741</v>
      </c>
      <c r="E642" s="49"/>
      <c r="F642" s="50"/>
      <c r="G642" s="51">
        <v>30625.34</v>
      </c>
      <c r="H642" s="52">
        <v>153</v>
      </c>
      <c r="I642" s="53" cm="1">
        <f t="array" ref="I642">G642/H642</f>
        <v>200.165620915033</v>
      </c>
      <c r="J642" s="44"/>
      <c r="K642" s="40"/>
      <c r="L642" s="35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 ht="12.75" customHeight="1">
      <c r="A643" s="144">
        <v>44547</v>
      </c>
      <c r="B643" s="60">
        <v>8545</v>
      </c>
      <c r="C643" t="s" s="55">
        <v>178</v>
      </c>
      <c r="D643" t="s" s="18">
        <v>742</v>
      </c>
      <c r="E643" s="39"/>
      <c r="F643" s="40"/>
      <c r="G643" s="41">
        <v>102144.62</v>
      </c>
      <c r="H643" s="42" cm="1">
        <f t="array" ref="H643">G643/I643</f>
        <v>510.7231</v>
      </c>
      <c r="I643" s="43">
        <v>200</v>
      </c>
      <c r="J643" s="44"/>
      <c r="K643" s="40"/>
      <c r="L643" s="92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</row>
    <row r="644" ht="12.75" customHeight="1">
      <c r="A644" s="145">
        <v>44925</v>
      </c>
      <c r="B644" s="46"/>
      <c r="C644" t="s" s="54">
        <v>21</v>
      </c>
      <c r="D644" t="s" s="48">
        <v>743</v>
      </c>
      <c r="E644" s="49"/>
      <c r="F644" s="50"/>
      <c r="G644" s="51">
        <v>48383.8</v>
      </c>
      <c r="H644" s="52" cm="1">
        <f t="array" ref="H644">G644/I644</f>
        <v>241.919</v>
      </c>
      <c r="I644" s="53">
        <v>200</v>
      </c>
      <c r="J644" s="102"/>
      <c r="K644" s="50"/>
      <c r="L644" s="103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5"/>
    </row>
    <row r="645" ht="12.75" customHeight="1">
      <c r="A645" s="144">
        <v>44566</v>
      </c>
      <c r="B645" s="37"/>
      <c r="C645" t="s" s="55">
        <v>79</v>
      </c>
      <c r="D645" t="s" s="18">
        <v>744</v>
      </c>
      <c r="E645" s="39"/>
      <c r="F645" s="40"/>
      <c r="G645" s="41">
        <v>2682.67</v>
      </c>
      <c r="H645" s="42" cm="1">
        <f t="array" ref="H645">G645/I645</f>
        <v>13.41335</v>
      </c>
      <c r="I645" s="43" cm="1">
        <f t="array" ref="I645">200</f>
        <v>200</v>
      </c>
      <c r="J645" s="44"/>
      <c r="K645" s="40"/>
      <c r="L645" s="148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 ht="12.75" customHeight="1">
      <c r="A646" s="151">
        <v>44577</v>
      </c>
      <c r="B646" s="63">
        <v>4638</v>
      </c>
      <c r="C646" t="s" s="54">
        <v>129</v>
      </c>
      <c r="D646" t="s" s="48">
        <v>745</v>
      </c>
      <c r="E646" s="49"/>
      <c r="F646" s="50"/>
      <c r="G646" s="51">
        <v>12500</v>
      </c>
      <c r="H646" s="52" cm="1">
        <f t="array" ref="H646">G646/I646</f>
        <v>61.2745098039216</v>
      </c>
      <c r="I646" s="53">
        <v>204</v>
      </c>
      <c r="J646" s="102"/>
      <c r="K646" s="50"/>
      <c r="L646" s="103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5"/>
    </row>
    <row r="647" ht="12.75" customHeight="1">
      <c r="A647" s="144">
        <v>44581</v>
      </c>
      <c r="B647" s="60">
        <v>4636</v>
      </c>
      <c r="C647" t="s" s="55">
        <v>129</v>
      </c>
      <c r="D647" t="s" s="18">
        <v>746</v>
      </c>
      <c r="E647" s="39"/>
      <c r="F647" s="40"/>
      <c r="G647" s="41">
        <v>9800</v>
      </c>
      <c r="H647" s="42" cm="1">
        <f t="array" ref="H647">G647/I647</f>
        <v>48.0392156862745</v>
      </c>
      <c r="I647" s="43">
        <v>204</v>
      </c>
      <c r="J647" s="44"/>
      <c r="K647" s="40"/>
      <c r="L647" s="148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 ht="12.75" customHeight="1">
      <c r="A648" s="151">
        <v>44582</v>
      </c>
      <c r="B648" s="46"/>
      <c r="C648" t="s" s="54">
        <v>14</v>
      </c>
      <c r="D648" t="s" s="48">
        <v>747</v>
      </c>
      <c r="E648" s="49"/>
      <c r="F648" s="50"/>
      <c r="G648" s="51">
        <v>3082.41</v>
      </c>
      <c r="H648" s="52" cm="1">
        <f t="array" ref="H648">G648/I648</f>
        <v>15.1098529411765</v>
      </c>
      <c r="I648" s="53">
        <v>204</v>
      </c>
      <c r="J648" s="102"/>
      <c r="K648" s="50"/>
      <c r="L648" s="103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5"/>
    </row>
    <row r="649" ht="12.75" customHeight="1">
      <c r="A649" s="144">
        <v>44592</v>
      </c>
      <c r="B649" s="60">
        <v>20676</v>
      </c>
      <c r="C649" t="s" s="55">
        <v>200</v>
      </c>
      <c r="D649" t="s" s="18">
        <v>748</v>
      </c>
      <c r="E649" s="39"/>
      <c r="F649" s="40"/>
      <c r="G649" s="41">
        <v>6059.09</v>
      </c>
      <c r="H649" s="42" cm="1">
        <f t="array" ref="H649">G649/I649</f>
        <v>28.7160663507109</v>
      </c>
      <c r="I649" s="43">
        <v>211</v>
      </c>
      <c r="J649" s="44"/>
      <c r="K649" s="40"/>
      <c r="L649" s="148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 ht="12.75" customHeight="1">
      <c r="A650" s="151">
        <v>44594</v>
      </c>
      <c r="B650" s="63">
        <v>4694</v>
      </c>
      <c r="C650" t="s" s="54">
        <v>129</v>
      </c>
      <c r="D650" t="s" s="48">
        <v>749</v>
      </c>
      <c r="E650" s="49"/>
      <c r="F650" s="50"/>
      <c r="G650" s="51">
        <v>14000.01</v>
      </c>
      <c r="H650" s="52" cm="1">
        <f t="array" ref="H650">G650/I650</f>
        <v>66.66671428571431</v>
      </c>
      <c r="I650" s="53">
        <v>210</v>
      </c>
      <c r="J650" s="102"/>
      <c r="K650" s="50"/>
      <c r="L650" s="103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5"/>
    </row>
    <row r="651" ht="12.75" customHeight="1">
      <c r="A651" s="144">
        <v>44596</v>
      </c>
      <c r="B651" s="37"/>
      <c r="C651" t="s" s="55">
        <v>79</v>
      </c>
      <c r="D651" t="s" s="18">
        <v>750</v>
      </c>
      <c r="E651" s="39"/>
      <c r="F651" s="40"/>
      <c r="G651" s="41">
        <v>6773.76</v>
      </c>
      <c r="H651" s="42" cm="1">
        <f t="array" ref="H651">G651/I651</f>
        <v>32.256</v>
      </c>
      <c r="I651" s="43">
        <v>210</v>
      </c>
      <c r="J651" s="44"/>
      <c r="K651" s="40"/>
      <c r="L651" s="148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 ht="12.75" customHeight="1">
      <c r="A652" s="151">
        <v>44603</v>
      </c>
      <c r="B652" s="46"/>
      <c r="C652" t="s" s="54">
        <v>21</v>
      </c>
      <c r="D652" t="s" s="48">
        <v>751</v>
      </c>
      <c r="E652" s="49"/>
      <c r="F652" s="50"/>
      <c r="G652" s="51">
        <v>22020.74</v>
      </c>
      <c r="H652" s="52" cm="1">
        <f t="array" ref="H652">G652/I652</f>
        <v>104.860666666667</v>
      </c>
      <c r="I652" s="53">
        <v>210</v>
      </c>
      <c r="J652" s="102"/>
      <c r="K652" s="50"/>
      <c r="L652" s="103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5"/>
    </row>
    <row r="653" ht="12.75" customHeight="1">
      <c r="A653" s="146">
        <v>44615</v>
      </c>
      <c r="B653" s="37"/>
      <c r="C653" t="s" s="55">
        <v>14</v>
      </c>
      <c r="D653" t="s" s="18">
        <v>751</v>
      </c>
      <c r="E653" s="39"/>
      <c r="F653" s="40"/>
      <c r="G653" s="41">
        <v>4181.92</v>
      </c>
      <c r="H653" s="42" cm="1">
        <f t="array" ref="H653">G653/I653</f>
        <v>19.9139047619048</v>
      </c>
      <c r="I653" s="43">
        <v>210</v>
      </c>
      <c r="J653" s="44"/>
      <c r="K653" s="40"/>
      <c r="L653" s="148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 ht="12.75" customHeight="1">
      <c r="A654" s="151">
        <v>44614</v>
      </c>
      <c r="B654" s="46"/>
      <c r="C654" t="s" s="54">
        <v>12</v>
      </c>
      <c r="D654" t="s" s="48">
        <v>752</v>
      </c>
      <c r="E654" s="49"/>
      <c r="F654" s="50"/>
      <c r="G654" s="51">
        <v>284383.5</v>
      </c>
      <c r="H654" s="52" cm="1">
        <f t="array" ref="H654">G654/I654</f>
        <v>1354.207142857140</v>
      </c>
      <c r="I654" s="53">
        <v>210</v>
      </c>
      <c r="J654" s="102"/>
      <c r="K654" s="50"/>
      <c r="L654" s="103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5"/>
    </row>
    <row r="655" ht="12.75" customHeight="1">
      <c r="A655" s="144">
        <v>44622</v>
      </c>
      <c r="B655" s="60">
        <v>9011</v>
      </c>
      <c r="C655" t="s" s="55">
        <v>178</v>
      </c>
      <c r="D655" t="s" s="18">
        <v>571</v>
      </c>
      <c r="E655" s="39"/>
      <c r="F655" s="40"/>
      <c r="G655" s="41">
        <v>16913.96</v>
      </c>
      <c r="H655" s="42" cm="1">
        <f t="array" ref="H655">G655/I655</f>
        <v>84.5698</v>
      </c>
      <c r="I655" s="43">
        <v>200</v>
      </c>
      <c r="J655" s="44"/>
      <c r="K655" s="40"/>
      <c r="L655" s="148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 ht="12.75" customHeight="1">
      <c r="A656" s="151">
        <v>44627</v>
      </c>
      <c r="B656" s="46"/>
      <c r="C656" t="s" s="54">
        <v>79</v>
      </c>
      <c r="D656" t="s" s="48">
        <v>753</v>
      </c>
      <c r="E656" s="49"/>
      <c r="F656" s="50"/>
      <c r="G656" s="51">
        <v>6774.72</v>
      </c>
      <c r="H656" s="52" cm="1">
        <f t="array" ref="H656">G656/I656</f>
        <v>33.8736</v>
      </c>
      <c r="I656" s="53">
        <v>200</v>
      </c>
      <c r="J656" s="102"/>
      <c r="K656" s="50"/>
      <c r="L656" s="103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5"/>
    </row>
    <row r="657" ht="12.75" customHeight="1">
      <c r="A657" s="144">
        <v>44630</v>
      </c>
      <c r="B657" s="37"/>
      <c r="C657" t="s" s="55">
        <v>21</v>
      </c>
      <c r="D657" t="s" s="18">
        <v>754</v>
      </c>
      <c r="E657" s="39"/>
      <c r="F657" s="40"/>
      <c r="G657" s="41">
        <v>22020.74</v>
      </c>
      <c r="H657" s="42" cm="1">
        <f t="array" ref="H657">G657/I657</f>
        <v>110.1037</v>
      </c>
      <c r="I657" s="43">
        <v>200</v>
      </c>
      <c r="J657" s="44"/>
      <c r="K657" s="40"/>
      <c r="L657" s="148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 ht="12.75" customHeight="1">
      <c r="A658" s="151">
        <v>44638</v>
      </c>
      <c r="B658" s="63">
        <v>4759</v>
      </c>
      <c r="C658" t="s" s="54">
        <v>129</v>
      </c>
      <c r="D658" t="s" s="48">
        <v>755</v>
      </c>
      <c r="E658" s="49"/>
      <c r="F658" s="50"/>
      <c r="G658" s="51">
        <v>14000.01</v>
      </c>
      <c r="H658" s="52" cm="1">
        <f t="array" ref="H658">G658/I658</f>
        <v>70.00005</v>
      </c>
      <c r="I658" s="53">
        <v>200</v>
      </c>
      <c r="J658" s="102"/>
      <c r="K658" s="50"/>
      <c r="L658" s="103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5"/>
    </row>
    <row r="659" ht="12.75" customHeight="1">
      <c r="A659" s="144">
        <v>44638</v>
      </c>
      <c r="B659" s="60">
        <v>4764</v>
      </c>
      <c r="C659" t="s" s="55">
        <v>129</v>
      </c>
      <c r="D659" t="s" s="18">
        <v>756</v>
      </c>
      <c r="E659" s="39"/>
      <c r="F659" s="40"/>
      <c r="G659" s="41">
        <v>29000</v>
      </c>
      <c r="H659" s="42" cm="1">
        <f t="array" ref="H659">G659/I659</f>
        <v>145</v>
      </c>
      <c r="I659" s="43">
        <v>200</v>
      </c>
      <c r="J659" s="44"/>
      <c r="K659" s="40"/>
      <c r="L659" s="148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 ht="12.75" customHeight="1">
      <c r="A660" s="151">
        <v>44643</v>
      </c>
      <c r="B660" s="46"/>
      <c r="C660" t="s" s="54">
        <v>14</v>
      </c>
      <c r="D660" t="s" s="48">
        <v>754</v>
      </c>
      <c r="E660" s="49"/>
      <c r="F660" s="50"/>
      <c r="G660" s="51">
        <v>6014.43</v>
      </c>
      <c r="H660" s="52" cm="1">
        <f t="array" ref="H660">G660/I660</f>
        <v>30.07215</v>
      </c>
      <c r="I660" s="53">
        <v>200</v>
      </c>
      <c r="J660" s="102"/>
      <c r="K660" s="50"/>
      <c r="L660" s="103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5"/>
    </row>
    <row r="661" ht="12.75" customHeight="1">
      <c r="A661" s="144">
        <v>44650</v>
      </c>
      <c r="B661" s="60">
        <v>881</v>
      </c>
      <c r="C661" t="s" s="55">
        <v>551</v>
      </c>
      <c r="D661" t="s" s="18">
        <v>757</v>
      </c>
      <c r="E661" s="39"/>
      <c r="F661" s="40"/>
      <c r="G661" s="41">
        <v>251680</v>
      </c>
      <c r="H661" s="42">
        <v>1258</v>
      </c>
      <c r="I661" s="43" cm="1">
        <f t="array" ref="I661">G661/H661</f>
        <v>200.063593004769</v>
      </c>
      <c r="J661" s="44"/>
      <c r="K661" s="40"/>
      <c r="L661" s="148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 ht="12.75" customHeight="1">
      <c r="A662" s="151">
        <v>44657</v>
      </c>
      <c r="B662" s="63">
        <v>4142902</v>
      </c>
      <c r="C662" t="s" s="54">
        <v>79</v>
      </c>
      <c r="D662" t="s" s="48">
        <v>758</v>
      </c>
      <c r="E662" s="49"/>
      <c r="F662" s="50"/>
      <c r="G662" s="51">
        <v>9290.799999999999</v>
      </c>
      <c r="H662" s="52" cm="1">
        <f t="array" ref="H662">G662/I662</f>
        <v>46.454</v>
      </c>
      <c r="I662" s="53">
        <v>200</v>
      </c>
      <c r="J662" s="102"/>
      <c r="K662" s="50"/>
      <c r="L662" s="103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5"/>
    </row>
    <row r="663" ht="12.75" customHeight="1">
      <c r="A663" s="144">
        <v>44662</v>
      </c>
      <c r="B663" s="37"/>
      <c r="C663" t="s" s="55">
        <v>21</v>
      </c>
      <c r="D663" t="s" s="18">
        <v>759</v>
      </c>
      <c r="E663" s="39"/>
      <c r="F663" s="40"/>
      <c r="G663" s="41">
        <v>20945.8</v>
      </c>
      <c r="H663" s="42" cm="1">
        <f t="array" ref="H663">G663/I663</f>
        <v>104.729</v>
      </c>
      <c r="I663" s="43">
        <v>200</v>
      </c>
      <c r="J663" s="44"/>
      <c r="K663" s="40"/>
      <c r="L663" s="148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 ht="12.75" customHeight="1">
      <c r="A664" s="151">
        <v>44673</v>
      </c>
      <c r="B664" s="46"/>
      <c r="C664" t="s" s="54">
        <v>14</v>
      </c>
      <c r="D664" t="s" s="48">
        <v>760</v>
      </c>
      <c r="E664" s="49"/>
      <c r="F664" s="50"/>
      <c r="G664" s="51">
        <v>3778.77</v>
      </c>
      <c r="H664" s="52" cm="1">
        <f t="array" ref="H664">G664/I664</f>
        <v>18.89385</v>
      </c>
      <c r="I664" s="53">
        <v>200</v>
      </c>
      <c r="J664" s="102"/>
      <c r="K664" s="50"/>
      <c r="L664" s="103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5"/>
    </row>
    <row r="665" ht="12.75" customHeight="1">
      <c r="A665" s="144">
        <v>44686</v>
      </c>
      <c r="B665" s="60">
        <v>9502</v>
      </c>
      <c r="C665" t="s" s="55">
        <v>178</v>
      </c>
      <c r="D665" t="s" s="18">
        <v>761</v>
      </c>
      <c r="E665" s="39"/>
      <c r="F665" s="40"/>
      <c r="G665" s="41">
        <v>45037.36</v>
      </c>
      <c r="H665" s="42">
        <v>225</v>
      </c>
      <c r="I665" s="43" cm="1">
        <f t="array" ref="I665">G665/H665</f>
        <v>200.166044444444</v>
      </c>
      <c r="J665" s="44"/>
      <c r="K665" s="40"/>
      <c r="L665" s="148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 ht="12.75" customHeight="1">
      <c r="A666" s="145">
        <v>44686</v>
      </c>
      <c r="B666" s="63">
        <v>9229</v>
      </c>
      <c r="C666" t="s" s="54">
        <v>178</v>
      </c>
      <c r="D666" t="s" s="48">
        <v>762</v>
      </c>
      <c r="E666" s="49"/>
      <c r="F666" s="50"/>
      <c r="G666" s="51">
        <v>67656.05</v>
      </c>
      <c r="H666" s="52">
        <v>338</v>
      </c>
      <c r="I666" s="53" cm="1">
        <f t="array" ref="I666">G666/H666</f>
        <v>200.165828402367</v>
      </c>
      <c r="J666" s="102"/>
      <c r="K666" s="50"/>
      <c r="L666" s="103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5"/>
    </row>
    <row r="667" ht="12.75" customHeight="1">
      <c r="A667" s="144">
        <v>44690</v>
      </c>
      <c r="B667" s="37"/>
      <c r="C667" t="s" s="55">
        <v>79</v>
      </c>
      <c r="D667" t="s" s="18">
        <v>763</v>
      </c>
      <c r="E667" s="39"/>
      <c r="F667" s="40"/>
      <c r="G667" s="41">
        <v>9298.74</v>
      </c>
      <c r="H667" s="42" cm="1">
        <f t="array" ref="H667">G667/I667</f>
        <v>46.4551820568892</v>
      </c>
      <c r="I667" s="43" cm="1">
        <f t="array" ref="I667">I666</f>
        <v>200.165828402367</v>
      </c>
      <c r="J667" s="44"/>
      <c r="K667" s="40"/>
      <c r="L667" s="148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 ht="12.75" customHeight="1">
      <c r="A668" s="151">
        <v>44691</v>
      </c>
      <c r="B668" s="46"/>
      <c r="C668" t="s" s="54">
        <v>21</v>
      </c>
      <c r="D668" t="s" s="48">
        <v>764</v>
      </c>
      <c r="E668" s="49"/>
      <c r="F668" s="50"/>
      <c r="G668" s="51">
        <v>20945.8</v>
      </c>
      <c r="H668" s="52" cm="1">
        <f t="array" ref="H668">G668/I668</f>
        <v>104.642236725319</v>
      </c>
      <c r="I668" s="53" cm="1">
        <f t="array" ref="I668">I666</f>
        <v>200.165828402367</v>
      </c>
      <c r="J668" s="102"/>
      <c r="K668" s="50"/>
      <c r="L668" s="103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5"/>
    </row>
    <row r="669" ht="12.75" customHeight="1">
      <c r="A669" s="144">
        <v>44694</v>
      </c>
      <c r="B669" s="37"/>
      <c r="C669" t="s" s="55">
        <v>258</v>
      </c>
      <c r="D669" t="s" s="18">
        <v>765</v>
      </c>
      <c r="E669" s="39"/>
      <c r="F669" s="40"/>
      <c r="G669" s="41">
        <v>2703.42</v>
      </c>
      <c r="H669" s="42">
        <v>9</v>
      </c>
      <c r="I669" s="43" cm="1">
        <f t="array" ref="I669">G669/H669</f>
        <v>300.38</v>
      </c>
      <c r="J669" s="44"/>
      <c r="K669" s="40"/>
      <c r="L669" s="148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 ht="12.75" customHeight="1">
      <c r="A670" s="151">
        <v>44704</v>
      </c>
      <c r="B670" s="46"/>
      <c r="C670" t="s" s="54">
        <v>14</v>
      </c>
      <c r="D670" t="s" s="48">
        <v>764</v>
      </c>
      <c r="E670" s="49"/>
      <c r="F670" s="50"/>
      <c r="G670" s="51">
        <v>5357.27</v>
      </c>
      <c r="H670" s="52" cm="1">
        <f t="array" ref="H670">G670/I670</f>
        <v>26.7641587116008</v>
      </c>
      <c r="I670" s="53" cm="1">
        <f t="array" ref="I670">I666</f>
        <v>200.165828402367</v>
      </c>
      <c r="J670" s="102"/>
      <c r="K670" s="50"/>
      <c r="L670" s="103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5"/>
    </row>
    <row r="671" ht="12.75" customHeight="1">
      <c r="A671" s="144">
        <v>44718</v>
      </c>
      <c r="B671" s="37"/>
      <c r="C671" t="s" s="55">
        <v>79</v>
      </c>
      <c r="D671" t="s" s="18">
        <v>766</v>
      </c>
      <c r="E671" s="39"/>
      <c r="F671" s="40"/>
      <c r="G671" s="41">
        <v>5001.2</v>
      </c>
      <c r="H671" s="42" cm="1">
        <f t="array" ref="H671">G671/I671</f>
        <v>24.9852836516468</v>
      </c>
      <c r="I671" s="43" cm="1">
        <f t="array" ref="I671">I666</f>
        <v>200.165828402367</v>
      </c>
      <c r="J671" s="44"/>
      <c r="K671" s="40"/>
      <c r="L671" s="148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 ht="12.75" customHeight="1">
      <c r="A672" s="151">
        <v>44720</v>
      </c>
      <c r="B672" s="63">
        <v>9742</v>
      </c>
      <c r="C672" t="s" s="54">
        <v>178</v>
      </c>
      <c r="D672" t="s" s="48">
        <v>767</v>
      </c>
      <c r="E672" s="49"/>
      <c r="F672" s="50"/>
      <c r="G672" s="51">
        <v>39557.08</v>
      </c>
      <c r="H672" s="52">
        <v>181</v>
      </c>
      <c r="I672" s="53" cm="1">
        <f t="array" ref="I672">G672/H672</f>
        <v>218.547403314917</v>
      </c>
      <c r="J672" s="102"/>
      <c r="K672" s="50"/>
      <c r="L672" s="103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5"/>
    </row>
    <row r="673" ht="12.75" customHeight="1">
      <c r="A673" s="144">
        <v>44722</v>
      </c>
      <c r="B673" s="37"/>
      <c r="C673" t="s" s="55">
        <v>21</v>
      </c>
      <c r="D673" t="s" s="18">
        <v>768</v>
      </c>
      <c r="E673" s="39"/>
      <c r="F673" s="40"/>
      <c r="G673" s="41">
        <v>20945.8</v>
      </c>
      <c r="H673" s="42" cm="1">
        <f t="array" ref="H673">G673/I673</f>
        <v>95.84099230782461</v>
      </c>
      <c r="I673" s="43" cm="1">
        <f t="array" ref="I673">I672</f>
        <v>218.547403314917</v>
      </c>
      <c r="J673" s="44"/>
      <c r="K673" s="40"/>
      <c r="L673" s="148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 ht="12.75" customHeight="1">
      <c r="A674" s="151">
        <v>44725</v>
      </c>
      <c r="B674" s="46"/>
      <c r="C674" t="s" s="54">
        <v>21</v>
      </c>
      <c r="D674" t="s" s="48">
        <v>768</v>
      </c>
      <c r="E674" s="49"/>
      <c r="F674" s="50"/>
      <c r="G674" s="51">
        <v>20945.8</v>
      </c>
      <c r="H674" s="52" cm="1">
        <f t="array" ref="H674">G674/I674</f>
        <v>104.729</v>
      </c>
      <c r="I674" s="53">
        <v>200</v>
      </c>
      <c r="J674" s="102"/>
      <c r="K674" s="50"/>
      <c r="L674" s="103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5"/>
    </row>
    <row r="675" ht="12.75" customHeight="1">
      <c r="A675" s="144">
        <v>44733</v>
      </c>
      <c r="B675" s="37"/>
      <c r="C675" t="s" s="55">
        <v>178</v>
      </c>
      <c r="D675" t="s" s="18">
        <v>769</v>
      </c>
      <c r="E675" s="39"/>
      <c r="F675" s="40"/>
      <c r="G675" s="41">
        <v>39557.08</v>
      </c>
      <c r="H675" s="42">
        <v>181</v>
      </c>
      <c r="I675" s="43" cm="1">
        <f t="array" ref="I675">G675/H675</f>
        <v>218.547403314917</v>
      </c>
      <c r="J675" s="44"/>
      <c r="K675" s="40"/>
      <c r="L675" s="148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 ht="12.75" customHeight="1">
      <c r="A676" s="151">
        <v>44735</v>
      </c>
      <c r="B676" s="46"/>
      <c r="C676" t="s" s="54">
        <v>14</v>
      </c>
      <c r="D676" t="s" s="48">
        <v>768</v>
      </c>
      <c r="E676" s="49"/>
      <c r="F676" s="50"/>
      <c r="G676" s="51">
        <v>4597.76</v>
      </c>
      <c r="H676" s="52" cm="1">
        <f t="array" ref="H676">G676/I676</f>
        <v>21.0378157336184</v>
      </c>
      <c r="I676" s="53" cm="1">
        <f t="array" ref="I676">I675</f>
        <v>218.547403314917</v>
      </c>
      <c r="J676" s="102"/>
      <c r="K676" s="50"/>
      <c r="L676" s="103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5"/>
    </row>
    <row r="677" ht="12.75" customHeight="1">
      <c r="A677" s="144">
        <v>44742</v>
      </c>
      <c r="B677" s="60">
        <v>9907</v>
      </c>
      <c r="C677" t="s" s="55">
        <v>178</v>
      </c>
      <c r="D677" t="s" s="18">
        <v>770</v>
      </c>
      <c r="E677" s="39"/>
      <c r="F677" s="40"/>
      <c r="G677" s="41">
        <v>2766.93</v>
      </c>
      <c r="H677" s="42">
        <v>12</v>
      </c>
      <c r="I677" s="43" cm="1">
        <f t="array" ref="I677">G677/H677</f>
        <v>230.5775</v>
      </c>
      <c r="J677" s="44"/>
      <c r="K677" s="40"/>
      <c r="L677" s="148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 ht="12.75" customHeight="1">
      <c r="A678" s="151">
        <v>44748</v>
      </c>
      <c r="B678" s="46"/>
      <c r="C678" t="s" s="54">
        <v>79</v>
      </c>
      <c r="D678" t="s" s="48">
        <v>771</v>
      </c>
      <c r="E678" s="49"/>
      <c r="F678" s="50"/>
      <c r="G678" s="51">
        <v>5012.51</v>
      </c>
      <c r="H678" s="52" cm="1">
        <f t="array" ref="H678">G678/I678</f>
        <v>22.7841363636364</v>
      </c>
      <c r="I678" s="53">
        <v>220</v>
      </c>
      <c r="J678" s="102"/>
      <c r="K678" s="50"/>
      <c r="L678" s="103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5"/>
    </row>
    <row r="679" ht="12.75" customHeight="1">
      <c r="A679" s="144">
        <v>44756</v>
      </c>
      <c r="B679" s="37"/>
      <c r="C679" t="s" s="55">
        <v>279</v>
      </c>
      <c r="D679" t="s" s="18">
        <v>772</v>
      </c>
      <c r="E679" s="39"/>
      <c r="F679" s="40"/>
      <c r="G679" s="41">
        <v>783310</v>
      </c>
      <c r="H679" s="42" cm="1">
        <f t="array" ref="H679">G679/I679</f>
        <v>3560.5</v>
      </c>
      <c r="I679" s="43" cm="1">
        <f t="array" ref="I679">I678</f>
        <v>220</v>
      </c>
      <c r="J679" s="44"/>
      <c r="K679" s="40"/>
      <c r="L679" s="148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 ht="12.75" customHeight="1">
      <c r="A680" s="151">
        <v>44760</v>
      </c>
      <c r="B680" s="46"/>
      <c r="C680" t="s" s="54">
        <v>21</v>
      </c>
      <c r="D680" t="s" s="48">
        <v>773</v>
      </c>
      <c r="E680" s="49"/>
      <c r="F680" s="50"/>
      <c r="G680" s="51">
        <v>21413.75</v>
      </c>
      <c r="H680" s="52" cm="1">
        <f t="array" ref="H680">G680/I680</f>
        <v>97.33522727272729</v>
      </c>
      <c r="I680" s="53" cm="1">
        <f t="array" ref="I680">I678</f>
        <v>220</v>
      </c>
      <c r="J680" s="102"/>
      <c r="K680" s="50"/>
      <c r="L680" s="103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5"/>
    </row>
    <row r="681" ht="12.75" customHeight="1">
      <c r="A681" s="144">
        <v>44763</v>
      </c>
      <c r="B681" s="60">
        <v>10081</v>
      </c>
      <c r="C681" t="s" s="55">
        <v>178</v>
      </c>
      <c r="D681" t="s" s="18">
        <v>774</v>
      </c>
      <c r="E681" s="39"/>
      <c r="F681" s="40"/>
      <c r="G681" s="41">
        <v>35825.07</v>
      </c>
      <c r="H681" s="42">
        <v>120</v>
      </c>
      <c r="I681" s="43" cm="1">
        <f t="array" ref="I681">G681/H681</f>
        <v>298.54225</v>
      </c>
      <c r="J681" s="44"/>
      <c r="K681" s="40"/>
      <c r="L681" s="148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 ht="12.75" customHeight="1">
      <c r="A682" s="151">
        <v>44764</v>
      </c>
      <c r="B682" s="46"/>
      <c r="C682" t="s" s="54">
        <v>14</v>
      </c>
      <c r="D682" t="s" s="48">
        <v>773</v>
      </c>
      <c r="E682" s="49"/>
      <c r="F682" s="50"/>
      <c r="G682" s="51">
        <v>5048.08</v>
      </c>
      <c r="H682" s="52" cm="1">
        <f t="array" ref="H682">G682/I682</f>
        <v>22.9458181818182</v>
      </c>
      <c r="I682" s="53" cm="1">
        <f t="array" ref="I682">I680</f>
        <v>220</v>
      </c>
      <c r="J682" s="102"/>
      <c r="K682" s="50"/>
      <c r="L682" s="103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5"/>
    </row>
    <row r="683" ht="12.75" customHeight="1">
      <c r="A683" s="144">
        <v>44781</v>
      </c>
      <c r="B683" s="37"/>
      <c r="C683" t="s" s="55">
        <v>79</v>
      </c>
      <c r="D683" t="s" s="18">
        <v>775</v>
      </c>
      <c r="E683" s="39"/>
      <c r="F683" s="40"/>
      <c r="G683" s="41">
        <v>5687.51</v>
      </c>
      <c r="H683" s="42" cm="1">
        <f t="array" ref="H683">G683/I683</f>
        <v>25.8523181818182</v>
      </c>
      <c r="I683" s="43">
        <v>220</v>
      </c>
      <c r="J683" s="44"/>
      <c r="K683" s="40"/>
      <c r="L683" s="148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 ht="12.75" customHeight="1">
      <c r="A684" s="151">
        <v>44783</v>
      </c>
      <c r="B684" s="46"/>
      <c r="C684" t="s" s="54">
        <v>21</v>
      </c>
      <c r="D684" t="s" s="48">
        <v>776</v>
      </c>
      <c r="E684" s="49"/>
      <c r="F684" s="50"/>
      <c r="G684" s="51">
        <v>21413.75</v>
      </c>
      <c r="H684" s="52" cm="1">
        <f t="array" ref="H684">G684/I684</f>
        <v>97.33522727272729</v>
      </c>
      <c r="I684" s="53" cm="1">
        <f t="array" ref="I684">I683</f>
        <v>220</v>
      </c>
      <c r="J684" s="102"/>
      <c r="K684" s="50"/>
      <c r="L684" s="103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5"/>
    </row>
    <row r="685" ht="12.75" customHeight="1">
      <c r="A685" s="144">
        <v>44796</v>
      </c>
      <c r="B685" s="37"/>
      <c r="C685" t="s" s="55">
        <v>14</v>
      </c>
      <c r="D685" t="s" s="18">
        <v>777</v>
      </c>
      <c r="E685" s="39"/>
      <c r="F685" s="40"/>
      <c r="G685" s="41">
        <v>4824.77</v>
      </c>
      <c r="H685" s="42" cm="1">
        <f t="array" ref="H685">G685/I685</f>
        <v>16.6371379310345</v>
      </c>
      <c r="I685" s="43">
        <v>290</v>
      </c>
      <c r="J685" s="44"/>
      <c r="K685" s="40"/>
      <c r="L685" s="148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 ht="12.75" customHeight="1">
      <c r="A686" s="151">
        <v>44797</v>
      </c>
      <c r="B686" s="46"/>
      <c r="C686" t="s" s="54">
        <v>88</v>
      </c>
      <c r="D686" t="s" s="48">
        <v>778</v>
      </c>
      <c r="E686" s="49"/>
      <c r="F686" s="50"/>
      <c r="G686" s="51">
        <v>46324.95</v>
      </c>
      <c r="H686" s="52" cm="1">
        <f t="array" ref="H686">G686/I686</f>
        <v>159.741206896552</v>
      </c>
      <c r="I686" s="53">
        <v>290</v>
      </c>
      <c r="J686" s="102"/>
      <c r="K686" s="50"/>
      <c r="L686" s="103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5"/>
    </row>
    <row r="687" ht="12.75" customHeight="1">
      <c r="A687" s="144">
        <v>44798</v>
      </c>
      <c r="B687" s="60">
        <v>1993</v>
      </c>
      <c r="C687" t="s" s="55">
        <v>47</v>
      </c>
      <c r="D687" t="s" s="18">
        <v>779</v>
      </c>
      <c r="E687" s="39"/>
      <c r="F687" s="40"/>
      <c r="G687" s="41">
        <v>26494.12</v>
      </c>
      <c r="H687" s="42">
        <v>91</v>
      </c>
      <c r="I687" s="43" cm="1">
        <f t="array" ref="I687">G687/H687</f>
        <v>291.144175824176</v>
      </c>
      <c r="J687" s="44"/>
      <c r="K687" s="40"/>
      <c r="L687" s="148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 ht="12.75" customHeight="1">
      <c r="A688" s="151">
        <v>44811</v>
      </c>
      <c r="B688" s="46"/>
      <c r="C688" t="s" s="54">
        <v>79</v>
      </c>
      <c r="D688" t="s" s="48">
        <v>780</v>
      </c>
      <c r="E688" s="49"/>
      <c r="F688" s="50"/>
      <c r="G688" s="51">
        <v>5687.51</v>
      </c>
      <c r="H688" s="52" cm="1">
        <f t="array" ref="H688">G688/I688</f>
        <v>19.6121034482759</v>
      </c>
      <c r="I688" s="53">
        <v>290</v>
      </c>
      <c r="J688" s="102"/>
      <c r="K688" s="50"/>
      <c r="L688" s="103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5"/>
    </row>
    <row r="689" ht="12.75" customHeight="1">
      <c r="A689" s="144">
        <v>44811</v>
      </c>
      <c r="B689" s="60">
        <v>605</v>
      </c>
      <c r="C689" t="s" s="55">
        <v>279</v>
      </c>
      <c r="D689" t="s" s="18">
        <v>781</v>
      </c>
      <c r="E689" s="39"/>
      <c r="F689" s="40"/>
      <c r="G689" s="41">
        <v>159527.37</v>
      </c>
      <c r="H689" s="42">
        <v>550</v>
      </c>
      <c r="I689" s="43" cm="1">
        <f t="array" ref="I689">G689/H689</f>
        <v>290.049763636364</v>
      </c>
      <c r="J689" s="44"/>
      <c r="K689" s="40"/>
      <c r="L689" s="148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 ht="12.75" customHeight="1">
      <c r="A690" s="151">
        <v>44814</v>
      </c>
      <c r="B690" s="46"/>
      <c r="C690" t="s" s="54">
        <v>258</v>
      </c>
      <c r="D690" t="s" s="48">
        <v>502</v>
      </c>
      <c r="E690" s="49"/>
      <c r="F690" s="50"/>
      <c r="G690" s="51">
        <v>10672.08</v>
      </c>
      <c r="H690" s="52">
        <v>37</v>
      </c>
      <c r="I690" s="53" cm="1">
        <f t="array" ref="I690">G690/H690</f>
        <v>288.434594594595</v>
      </c>
      <c r="J690" s="102"/>
      <c r="K690" s="50"/>
      <c r="L690" s="103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5"/>
    </row>
    <row r="691" ht="12.75" customHeight="1">
      <c r="A691" s="144">
        <v>44816</v>
      </c>
      <c r="B691" s="37"/>
      <c r="C691" t="s" s="55">
        <v>21</v>
      </c>
      <c r="D691" t="s" s="18">
        <v>782</v>
      </c>
      <c r="E691" s="39"/>
      <c r="F691" s="40"/>
      <c r="G691" s="41">
        <v>21413.75</v>
      </c>
      <c r="H691" s="42" cm="1">
        <f t="array" ref="H691">G691/I691</f>
        <v>73.8405172413793</v>
      </c>
      <c r="I691" s="43">
        <v>290</v>
      </c>
      <c r="J691" s="44"/>
      <c r="K691" s="40"/>
      <c r="L691" s="148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 ht="12.75" customHeight="1">
      <c r="A692" s="151">
        <v>44817</v>
      </c>
      <c r="B692" s="63">
        <v>10478</v>
      </c>
      <c r="C692" t="s" s="54">
        <v>178</v>
      </c>
      <c r="D692" t="s" s="48">
        <v>783</v>
      </c>
      <c r="E692" s="49"/>
      <c r="F692" s="50"/>
      <c r="G692" s="51">
        <v>33171.47</v>
      </c>
      <c r="H692" s="52">
        <v>114</v>
      </c>
      <c r="I692" s="53" cm="1">
        <f t="array" ref="I692">G692/H692</f>
        <v>290.977807017544</v>
      </c>
      <c r="J692" s="102"/>
      <c r="K692" s="50"/>
      <c r="L692" s="103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5"/>
    </row>
    <row r="693" ht="12.75" customHeight="1">
      <c r="A693" s="144">
        <v>44827</v>
      </c>
      <c r="B693" s="37"/>
      <c r="C693" t="s" s="55">
        <v>14</v>
      </c>
      <c r="D693" t="s" s="18">
        <v>784</v>
      </c>
      <c r="E693" s="39"/>
      <c r="F693" s="40"/>
      <c r="G693" s="41">
        <v>5444.98</v>
      </c>
      <c r="H693" s="42" cm="1">
        <f t="array" ref="H693">G693/I693</f>
        <v>18.7757931034483</v>
      </c>
      <c r="I693" s="43">
        <v>290</v>
      </c>
      <c r="J693" s="44"/>
      <c r="K693" s="40"/>
      <c r="L693" s="148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 ht="12.75" customHeight="1">
      <c r="A694" s="151">
        <v>44839</v>
      </c>
      <c r="B694" s="46"/>
      <c r="C694" t="s" s="54">
        <v>79</v>
      </c>
      <c r="D694" t="s" s="48">
        <v>785</v>
      </c>
      <c r="E694" s="49"/>
      <c r="F694" s="50"/>
      <c r="G694" s="51">
        <v>5427.59</v>
      </c>
      <c r="H694" s="52" cm="1">
        <f t="array" ref="H694">G694/I694</f>
        <v>18.7158275862069</v>
      </c>
      <c r="I694" s="53">
        <v>290</v>
      </c>
      <c r="J694" s="102"/>
      <c r="K694" s="50"/>
      <c r="L694" s="103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5"/>
    </row>
    <row r="695" ht="12.75" customHeight="1">
      <c r="A695" s="144">
        <v>44845</v>
      </c>
      <c r="B695" s="37"/>
      <c r="C695" t="s" s="55">
        <v>21</v>
      </c>
      <c r="D695" t="s" s="18">
        <v>786</v>
      </c>
      <c r="E695" s="39"/>
      <c r="F695" s="40"/>
      <c r="G695" s="41">
        <v>21413.75</v>
      </c>
      <c r="H695" s="42" cm="1">
        <f t="array" ref="H695">G695/I695</f>
        <v>73.8405172413793</v>
      </c>
      <c r="I695" s="43">
        <v>290</v>
      </c>
      <c r="J695" s="44"/>
      <c r="K695" s="40"/>
      <c r="L695" s="148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 ht="12.75" customHeight="1">
      <c r="A696" s="151">
        <v>44846</v>
      </c>
      <c r="B696" s="47"/>
      <c r="C696" t="s" s="84">
        <v>787</v>
      </c>
      <c r="D696" t="s" s="48">
        <v>788</v>
      </c>
      <c r="E696" s="53"/>
      <c r="F696" s="152"/>
      <c r="G696" s="51">
        <v>30600000</v>
      </c>
      <c r="H696" s="52">
        <v>106250</v>
      </c>
      <c r="I696" s="53" cm="1">
        <f t="array" ref="I696">G696/H696</f>
        <v>288</v>
      </c>
      <c r="J696" s="102"/>
      <c r="K696" s="50"/>
      <c r="L696" s="103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5"/>
    </row>
    <row r="697" ht="12.75" customHeight="1">
      <c r="A697" s="144">
        <v>44846</v>
      </c>
      <c r="B697" s="60">
        <v>10737</v>
      </c>
      <c r="C697" t="s" s="55">
        <v>178</v>
      </c>
      <c r="D697" t="s" s="18">
        <v>789</v>
      </c>
      <c r="E697" s="39"/>
      <c r="F697" s="40"/>
      <c r="G697" s="41">
        <v>2690</v>
      </c>
      <c r="H697" s="42">
        <v>9</v>
      </c>
      <c r="I697" s="43" cm="1">
        <f t="array" ref="I697">G697/H697</f>
        <v>298.888888888889</v>
      </c>
      <c r="J697" s="44"/>
      <c r="K697" s="40"/>
      <c r="L697" s="148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 ht="12.75" customHeight="1">
      <c r="A698" s="151">
        <v>44851</v>
      </c>
      <c r="B698" s="63">
        <v>611</v>
      </c>
      <c r="C698" t="s" s="54">
        <v>279</v>
      </c>
      <c r="D698" t="s" s="48">
        <v>790</v>
      </c>
      <c r="E698" s="49"/>
      <c r="F698" s="50"/>
      <c r="G698" s="51">
        <v>654280.3199999999</v>
      </c>
      <c r="H698" s="52">
        <v>2256</v>
      </c>
      <c r="I698" s="53" cm="1">
        <f t="array" ref="I698">G698/H698</f>
        <v>290.017872340426</v>
      </c>
      <c r="J698" s="102"/>
      <c r="K698" s="50"/>
      <c r="L698" s="103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5"/>
    </row>
    <row r="699" ht="12.75" customHeight="1">
      <c r="A699" s="144">
        <v>44858</v>
      </c>
      <c r="B699" s="37"/>
      <c r="C699" t="s" s="55">
        <v>14</v>
      </c>
      <c r="D699" t="s" s="18">
        <v>791</v>
      </c>
      <c r="E699" s="39"/>
      <c r="F699" s="40"/>
      <c r="G699" s="41">
        <v>5364.73</v>
      </c>
      <c r="H699" s="42" cm="1">
        <f t="array" ref="H699">G699/I699</f>
        <v>18.4990689655172</v>
      </c>
      <c r="I699" s="43">
        <v>290</v>
      </c>
      <c r="J699" s="44"/>
      <c r="K699" s="40"/>
      <c r="L699" s="148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 ht="12.75" customHeight="1">
      <c r="A700" s="151">
        <v>44869</v>
      </c>
      <c r="B700" s="46"/>
      <c r="C700" t="s" s="54">
        <v>79</v>
      </c>
      <c r="D700" t="s" s="48">
        <v>792</v>
      </c>
      <c r="E700" s="49"/>
      <c r="F700" s="50"/>
      <c r="G700" s="51">
        <v>5428.89</v>
      </c>
      <c r="H700" s="52" cm="1">
        <f t="array" ref="H700">G700/I700</f>
        <v>18.7203103448276</v>
      </c>
      <c r="I700" s="53">
        <v>290</v>
      </c>
      <c r="J700" s="102"/>
      <c r="K700" s="50"/>
      <c r="L700" s="103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5"/>
    </row>
    <row r="701" ht="12.75" customHeight="1">
      <c r="A701" s="144">
        <v>45240</v>
      </c>
      <c r="B701" s="37"/>
      <c r="C701" t="s" s="17">
        <v>21</v>
      </c>
      <c r="D701" t="s" s="18">
        <v>793</v>
      </c>
      <c r="E701" s="39"/>
      <c r="F701" s="40"/>
      <c r="G701" s="41">
        <v>21413.75</v>
      </c>
      <c r="H701" s="42" cm="1">
        <f t="array" ref="H701">G701/I701</f>
        <v>73.8405172413793</v>
      </c>
      <c r="I701" s="43" cm="1">
        <f t="array" ref="I701">I700</f>
        <v>290</v>
      </c>
      <c r="J701" s="44"/>
      <c r="K701" s="40"/>
      <c r="L701" s="148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 ht="12.75" customHeight="1">
      <c r="A702" s="151">
        <v>45253</v>
      </c>
      <c r="B702" s="46"/>
      <c r="C702" t="s" s="84">
        <v>14</v>
      </c>
      <c r="D702" t="s" s="48">
        <v>794</v>
      </c>
      <c r="E702" s="49"/>
      <c r="F702" s="50"/>
      <c r="G702" s="51">
        <v>4981.74</v>
      </c>
      <c r="H702" s="52" cm="1">
        <f t="array" ref="H702">G702/I702</f>
        <v>17.1784137931034</v>
      </c>
      <c r="I702" s="53" cm="1">
        <f t="array" ref="I702">I700</f>
        <v>290</v>
      </c>
      <c r="J702" s="102"/>
      <c r="K702" s="50"/>
      <c r="L702" s="103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5"/>
    </row>
    <row r="703" ht="12.75" customHeight="1">
      <c r="A703" s="144">
        <v>44893</v>
      </c>
      <c r="B703" s="60">
        <v>62</v>
      </c>
      <c r="C703" t="s" s="17">
        <v>787</v>
      </c>
      <c r="D703" t="s" s="18">
        <v>795</v>
      </c>
      <c r="E703" s="39"/>
      <c r="F703" s="40"/>
      <c r="G703" s="41">
        <v>2100000</v>
      </c>
      <c r="H703" s="42">
        <v>7000</v>
      </c>
      <c r="I703" s="43" cm="1">
        <f t="array" ref="I703">G703/H703</f>
        <v>300</v>
      </c>
      <c r="J703" s="44"/>
      <c r="K703" s="40"/>
      <c r="L703" s="148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 ht="12.75" customHeight="1">
      <c r="A704" s="151">
        <v>45258</v>
      </c>
      <c r="B704" s="63">
        <v>63309</v>
      </c>
      <c r="C704" t="s" s="54">
        <v>256</v>
      </c>
      <c r="D704" t="s" s="48">
        <v>796</v>
      </c>
      <c r="E704" s="49"/>
      <c r="F704" s="50"/>
      <c r="G704" s="51">
        <v>41561.82</v>
      </c>
      <c r="H704" s="52" cm="1">
        <f t="array" ref="H704">G704/I704</f>
        <v>138.5394</v>
      </c>
      <c r="I704" s="53" cm="1">
        <f t="array" ref="I704">I703</f>
        <v>300</v>
      </c>
      <c r="J704" s="102"/>
      <c r="K704" s="50"/>
      <c r="L704" s="103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5"/>
    </row>
    <row r="705" ht="12.75" customHeight="1">
      <c r="A705" s="144">
        <v>44895</v>
      </c>
      <c r="B705" s="60">
        <v>471</v>
      </c>
      <c r="C705" t="s" s="55">
        <v>397</v>
      </c>
      <c r="D705" t="s" s="18">
        <v>797</v>
      </c>
      <c r="E705" s="39"/>
      <c r="F705" s="40"/>
      <c r="G705" s="41">
        <v>348013.1</v>
      </c>
      <c r="H705" s="42">
        <v>1105</v>
      </c>
      <c r="I705" s="43" cm="1">
        <f t="array" ref="I705">G705/H705</f>
        <v>314.943981900452</v>
      </c>
      <c r="J705" s="44"/>
      <c r="K705" s="40"/>
      <c r="L705" s="148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 ht="12.75" customHeight="1">
      <c r="A706" s="151">
        <v>44897</v>
      </c>
      <c r="B706" s="46"/>
      <c r="C706" t="s" s="54">
        <v>79</v>
      </c>
      <c r="D706" t="s" s="48">
        <v>798</v>
      </c>
      <c r="E706" s="49"/>
      <c r="F706" s="50"/>
      <c r="G706" s="51">
        <v>5970.87</v>
      </c>
      <c r="H706" s="52" cm="1">
        <f t="array" ref="H706">G706/I706</f>
        <v>18.9585143490288</v>
      </c>
      <c r="I706" s="53" cm="1">
        <f t="array" ref="I706">I705</f>
        <v>314.943981900452</v>
      </c>
      <c r="J706" s="102"/>
      <c r="K706" s="50"/>
      <c r="L706" s="103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5"/>
    </row>
    <row r="707" ht="12.75" customHeight="1">
      <c r="A707" s="144">
        <v>44907</v>
      </c>
      <c r="B707" s="37"/>
      <c r="C707" t="s" s="55">
        <v>21</v>
      </c>
      <c r="D707" t="s" s="18">
        <v>799</v>
      </c>
      <c r="E707" s="39"/>
      <c r="F707" s="40"/>
      <c r="G707" s="41">
        <v>21414.77</v>
      </c>
      <c r="H707" s="42" cm="1">
        <f t="array" ref="H707">G707/I707</f>
        <v>67.99548881924279</v>
      </c>
      <c r="I707" s="43" cm="1">
        <f t="array" ref="I707">I705</f>
        <v>314.943981900452</v>
      </c>
      <c r="J707" s="44"/>
      <c r="K707" s="40"/>
      <c r="L707" s="148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 ht="12.75" customHeight="1">
      <c r="A708" s="151">
        <v>44912</v>
      </c>
      <c r="B708" s="63">
        <v>63911</v>
      </c>
      <c r="C708" t="s" s="54">
        <v>256</v>
      </c>
      <c r="D708" t="s" s="48">
        <v>796</v>
      </c>
      <c r="E708" s="49"/>
      <c r="F708" s="50"/>
      <c r="G708" s="51">
        <v>175314.67</v>
      </c>
      <c r="H708" s="52" cm="1">
        <f t="array" ref="H708">G708/I708</f>
        <v>556.653500543515</v>
      </c>
      <c r="I708" s="53" cm="1">
        <f t="array" ref="I708">I705</f>
        <v>314.943981900452</v>
      </c>
      <c r="J708" s="102"/>
      <c r="K708" s="50"/>
      <c r="L708" s="103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5"/>
    </row>
    <row r="709" ht="12.75" customHeight="1">
      <c r="A709" s="144">
        <v>45283</v>
      </c>
      <c r="B709" s="37"/>
      <c r="C709" t="s" s="55">
        <v>14</v>
      </c>
      <c r="D709" t="s" s="18">
        <v>800</v>
      </c>
      <c r="E709" s="39"/>
      <c r="F709" s="40"/>
      <c r="G709" s="41">
        <v>5370.57</v>
      </c>
      <c r="H709" s="42" cm="1">
        <f t="array" ref="H709">G709/I709</f>
        <v>17.0524610998839</v>
      </c>
      <c r="I709" s="43" cm="1">
        <f t="array" ref="I709">I708</f>
        <v>314.943981900452</v>
      </c>
      <c r="J709" s="44"/>
      <c r="K709" s="40"/>
      <c r="L709" s="148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 ht="12.75" customHeight="1">
      <c r="A710" s="151">
        <v>44928</v>
      </c>
      <c r="B710" s="46"/>
      <c r="C710" t="s" s="54">
        <v>79</v>
      </c>
      <c r="D710" t="s" s="48">
        <v>801</v>
      </c>
      <c r="E710" s="49"/>
      <c r="F710" s="50"/>
      <c r="G710" s="51">
        <v>5972.16</v>
      </c>
      <c r="H710" s="52" cm="1">
        <f t="array" ref="H710">G710/I710</f>
        <v>18.9592380952381</v>
      </c>
      <c r="I710" s="53">
        <v>315</v>
      </c>
      <c r="J710" s="102"/>
      <c r="K710" s="50"/>
      <c r="L710" s="103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5"/>
    </row>
    <row r="711" ht="12.75" customHeight="1">
      <c r="A711" s="144">
        <v>44930</v>
      </c>
      <c r="B711" s="60">
        <v>5334</v>
      </c>
      <c r="C711" t="s" s="55">
        <v>129</v>
      </c>
      <c r="D711" t="s" s="18">
        <v>802</v>
      </c>
      <c r="E711" s="39"/>
      <c r="F711" s="40"/>
      <c r="G711" s="41">
        <v>34450</v>
      </c>
      <c r="H711" s="42" cm="1">
        <f t="array" ref="H711">G711/I711</f>
        <v>98.4285714285714</v>
      </c>
      <c r="I711" s="43">
        <v>350</v>
      </c>
      <c r="J711" s="44"/>
      <c r="K711" s="40"/>
      <c r="L711" s="148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 ht="12.75" customHeight="1">
      <c r="A712" s="151">
        <v>44945</v>
      </c>
      <c r="B712" s="46"/>
      <c r="C712" t="s" s="54">
        <v>21</v>
      </c>
      <c r="D712" t="s" s="48">
        <v>803</v>
      </c>
      <c r="E712" s="49"/>
      <c r="F712" s="50"/>
      <c r="G712" s="51">
        <v>36641.15</v>
      </c>
      <c r="H712" s="52" cm="1">
        <f t="array" ref="H712">G712/I712</f>
        <v>99.0301351351351</v>
      </c>
      <c r="I712" s="53">
        <v>370</v>
      </c>
      <c r="J712" s="102"/>
      <c r="K712" s="50"/>
      <c r="L712" s="103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5"/>
    </row>
    <row r="713" ht="12.75" customHeight="1">
      <c r="A713" s="144">
        <v>44950</v>
      </c>
      <c r="B713" s="37"/>
      <c r="C713" t="s" s="55">
        <v>14</v>
      </c>
      <c r="D713" t="s" s="18">
        <v>804</v>
      </c>
      <c r="E713" s="39"/>
      <c r="F713" s="40"/>
      <c r="G713" s="41">
        <v>7327.61</v>
      </c>
      <c r="H713" s="42" cm="1">
        <f t="array" ref="H713">G713/I713</f>
        <v>19.2831842105263</v>
      </c>
      <c r="I713" s="43">
        <v>380</v>
      </c>
      <c r="J713" s="44"/>
      <c r="K713" s="40"/>
      <c r="L713" s="148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 ht="12.75" customHeight="1">
      <c r="A714" s="151">
        <v>44953</v>
      </c>
      <c r="B714" s="63">
        <v>11697</v>
      </c>
      <c r="C714" t="s" s="54">
        <v>178</v>
      </c>
      <c r="D714" t="s" s="48">
        <v>805</v>
      </c>
      <c r="E714" s="49"/>
      <c r="F714" s="50"/>
      <c r="G714" s="51">
        <v>32843.47</v>
      </c>
      <c r="H714" s="52">
        <v>86</v>
      </c>
      <c r="I714" s="53" cm="1">
        <f t="array" ref="I714">G714/H714</f>
        <v>381.900813953488</v>
      </c>
      <c r="J714" s="102"/>
      <c r="K714" s="50"/>
      <c r="L714" s="103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5"/>
    </row>
    <row r="715" ht="12.75" customHeight="1">
      <c r="A715" s="144">
        <v>44953</v>
      </c>
      <c r="B715" s="60">
        <v>455</v>
      </c>
      <c r="C715" t="s" s="55">
        <v>256</v>
      </c>
      <c r="D715" t="s" s="18">
        <v>806</v>
      </c>
      <c r="E715" s="39"/>
      <c r="F715" s="40"/>
      <c r="G715" s="41">
        <v>3593.38</v>
      </c>
      <c r="H715" s="42" cm="1">
        <f t="array" ref="H715">G715/I715</f>
        <v>9.409197018463651</v>
      </c>
      <c r="I715" s="43" cm="1">
        <f t="array" ref="I715">I714</f>
        <v>381.900813953488</v>
      </c>
      <c r="J715" s="44"/>
      <c r="K715" s="40"/>
      <c r="L715" s="148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 ht="12.75" customHeight="1">
      <c r="A716" s="145">
        <v>44959</v>
      </c>
      <c r="B716" s="46"/>
      <c r="C716" t="s" s="54">
        <v>79</v>
      </c>
      <c r="D716" t="s" s="48">
        <v>807</v>
      </c>
      <c r="E716" s="49"/>
      <c r="F716" s="50"/>
      <c r="G716" s="51">
        <v>13473.73</v>
      </c>
      <c r="H716" s="52" cm="1">
        <f t="array" ref="H716">G716/I716</f>
        <v>35.4571842105263</v>
      </c>
      <c r="I716" s="53">
        <v>380</v>
      </c>
      <c r="J716" s="102"/>
      <c r="K716" s="50"/>
      <c r="L716" s="103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5"/>
    </row>
    <row r="717" ht="12.75" customHeight="1">
      <c r="A717" s="144">
        <v>44972</v>
      </c>
      <c r="B717" s="60">
        <v>11851</v>
      </c>
      <c r="C717" t="s" s="55">
        <v>178</v>
      </c>
      <c r="D717" t="s" s="18">
        <v>625</v>
      </c>
      <c r="E717" s="39"/>
      <c r="F717" s="40"/>
      <c r="G717" s="41">
        <v>4045.54</v>
      </c>
      <c r="H717" s="42" cm="1">
        <f t="array" ref="H717">G717/I717</f>
        <v>10.6461578947368</v>
      </c>
      <c r="I717" s="43" cm="1">
        <f t="array" ref="I717">I716</f>
        <v>380</v>
      </c>
      <c r="J717" s="44"/>
      <c r="K717" s="40"/>
      <c r="L717" s="148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 ht="12.75" customHeight="1">
      <c r="A718" s="151">
        <v>44974</v>
      </c>
      <c r="B718" s="63">
        <v>5389</v>
      </c>
      <c r="C718" t="s" s="54">
        <v>129</v>
      </c>
      <c r="D718" t="s" s="48">
        <v>808</v>
      </c>
      <c r="E718" s="49"/>
      <c r="F718" s="50"/>
      <c r="G718" s="51">
        <v>31450</v>
      </c>
      <c r="H718" s="52" cm="1">
        <f t="array" ref="H718">G718/I718</f>
        <v>82.76315789473681</v>
      </c>
      <c r="I718" s="53" cm="1">
        <f t="array" ref="I718">I717</f>
        <v>380</v>
      </c>
      <c r="J718" s="102"/>
      <c r="K718" s="50"/>
      <c r="L718" s="103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5"/>
    </row>
    <row r="719" ht="12.75" customHeight="1">
      <c r="A719" s="144">
        <v>44979</v>
      </c>
      <c r="B719" s="37"/>
      <c r="C719" t="s" s="55">
        <v>12</v>
      </c>
      <c r="D719" t="s" s="18">
        <v>809</v>
      </c>
      <c r="E719" s="39"/>
      <c r="F719" s="40"/>
      <c r="G719" s="41">
        <v>497670.5</v>
      </c>
      <c r="H719" s="42" cm="1">
        <f t="array" ref="H719">G719/I719</f>
        <v>1309.659210526320</v>
      </c>
      <c r="I719" s="43" cm="1">
        <f t="array" ref="I719">I718</f>
        <v>380</v>
      </c>
      <c r="J719" s="44"/>
      <c r="K719" s="40"/>
      <c r="L719" s="148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 ht="12.75" customHeight="1">
      <c r="A720" s="151">
        <v>44981</v>
      </c>
      <c r="B720" s="46"/>
      <c r="C720" t="s" s="54">
        <v>14</v>
      </c>
      <c r="D720" t="s" s="48">
        <v>810</v>
      </c>
      <c r="E720" s="49"/>
      <c r="F720" s="50"/>
      <c r="G720" s="51">
        <v>7327.61</v>
      </c>
      <c r="H720" s="52" cm="1">
        <f t="array" ref="H720">G720/I720</f>
        <v>19.2831842105263</v>
      </c>
      <c r="I720" s="53">
        <v>380</v>
      </c>
      <c r="J720" s="102"/>
      <c r="K720" s="50"/>
      <c r="L720" s="103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5"/>
    </row>
    <row r="721" ht="12.75" customHeight="1">
      <c r="A721" s="144">
        <v>44984</v>
      </c>
      <c r="B721" s="60">
        <v>1131</v>
      </c>
      <c r="C721" t="s" s="55">
        <v>256</v>
      </c>
      <c r="D721" t="s" s="18">
        <v>806</v>
      </c>
      <c r="E721" s="39"/>
      <c r="F721" s="40"/>
      <c r="G721" s="41">
        <v>2856.74</v>
      </c>
      <c r="H721" s="42">
        <v>8</v>
      </c>
      <c r="I721" s="43">
        <v>380</v>
      </c>
      <c r="J721" s="44"/>
      <c r="K721" s="40"/>
      <c r="L721" s="148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 ht="12.75" customHeight="1">
      <c r="A722" s="151">
        <v>44991</v>
      </c>
      <c r="B722" s="46"/>
      <c r="C722" t="s" s="54">
        <v>79</v>
      </c>
      <c r="D722" t="s" s="48">
        <v>811</v>
      </c>
      <c r="E722" s="49"/>
      <c r="F722" s="50"/>
      <c r="G722" s="51">
        <v>13473.73</v>
      </c>
      <c r="H722" s="52" cm="1">
        <f t="array" ref="H722">G722/I722</f>
        <v>35.9299466666667</v>
      </c>
      <c r="I722" s="53">
        <v>375</v>
      </c>
      <c r="J722" s="102"/>
      <c r="K722" s="50"/>
      <c r="L722" s="103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5"/>
    </row>
    <row r="723" ht="12.75" customHeight="1">
      <c r="A723" s="144">
        <v>44994</v>
      </c>
      <c r="B723" s="60">
        <v>1320</v>
      </c>
      <c r="C723" t="s" s="55">
        <v>256</v>
      </c>
      <c r="D723" t="s" s="18">
        <v>812</v>
      </c>
      <c r="E723" s="39"/>
      <c r="F723" s="40"/>
      <c r="G723" s="41">
        <v>3998.8</v>
      </c>
      <c r="H723" s="42">
        <v>10</v>
      </c>
      <c r="I723" s="43">
        <v>378</v>
      </c>
      <c r="J723" s="44"/>
      <c r="K723" s="40"/>
      <c r="L723" s="148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 ht="12.75" customHeight="1">
      <c r="A724" s="151">
        <v>44995</v>
      </c>
      <c r="B724" s="46"/>
      <c r="C724" t="s" s="54">
        <v>21</v>
      </c>
      <c r="D724" t="s" s="48">
        <v>813</v>
      </c>
      <c r="E724" s="49"/>
      <c r="F724" s="50"/>
      <c r="G724" s="51">
        <v>36641.15</v>
      </c>
      <c r="H724" s="52" cm="1">
        <f t="array" ref="H724">G724/I724</f>
        <v>96.93425925925931</v>
      </c>
      <c r="I724" s="53">
        <v>378</v>
      </c>
      <c r="J724" s="102"/>
      <c r="K724" s="50"/>
      <c r="L724" s="103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5"/>
    </row>
    <row r="725" ht="12.75" customHeight="1">
      <c r="A725" s="144">
        <v>45000</v>
      </c>
      <c r="B725" s="60">
        <v>5451</v>
      </c>
      <c r="C725" t="s" s="55">
        <v>129</v>
      </c>
      <c r="D725" t="s" s="18">
        <v>814</v>
      </c>
      <c r="E725" s="39"/>
      <c r="F725" s="40"/>
      <c r="G725" s="41">
        <v>31450</v>
      </c>
      <c r="H725" s="42">
        <v>83</v>
      </c>
      <c r="I725" s="43">
        <v>377</v>
      </c>
      <c r="J725" s="44"/>
      <c r="K725" s="40"/>
      <c r="L725" s="148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 ht="12.75" customHeight="1">
      <c r="A726" s="151">
        <v>45008</v>
      </c>
      <c r="B726" s="46"/>
      <c r="C726" t="s" s="54">
        <v>14</v>
      </c>
      <c r="D726" t="s" s="48">
        <v>815</v>
      </c>
      <c r="E726" s="49"/>
      <c r="F726" s="50"/>
      <c r="G726" s="51">
        <v>8985.959999999999</v>
      </c>
      <c r="H726" s="52" cm="1">
        <f t="array" ref="H726">G726/I726</f>
        <v>23.1596907216495</v>
      </c>
      <c r="I726" s="53">
        <v>388</v>
      </c>
      <c r="J726" s="102"/>
      <c r="K726" s="50"/>
      <c r="L726" s="103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5"/>
    </row>
    <row r="727" ht="12.75" customHeight="1">
      <c r="A727" s="144">
        <v>45014</v>
      </c>
      <c r="B727" s="60">
        <v>1828</v>
      </c>
      <c r="C727" t="s" s="55">
        <v>256</v>
      </c>
      <c r="D727" t="s" s="18">
        <v>816</v>
      </c>
      <c r="E727" s="39"/>
      <c r="F727" s="40"/>
      <c r="G727" s="41">
        <v>5349.22</v>
      </c>
      <c r="H727" s="42">
        <v>14</v>
      </c>
      <c r="I727" s="43">
        <v>395</v>
      </c>
      <c r="J727" s="44"/>
      <c r="K727" s="40"/>
      <c r="L727" s="148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 ht="12.75" customHeight="1">
      <c r="A728" s="151">
        <v>45021</v>
      </c>
      <c r="B728" s="46"/>
      <c r="C728" t="s" s="54">
        <v>79</v>
      </c>
      <c r="D728" t="s" s="48">
        <v>817</v>
      </c>
      <c r="E728" s="49"/>
      <c r="F728" s="50"/>
      <c r="G728" s="51">
        <v>21235.01</v>
      </c>
      <c r="H728" s="52" cm="1">
        <f t="array" ref="H728">G728/I728</f>
        <v>54.4487435897436</v>
      </c>
      <c r="I728" s="53">
        <v>390</v>
      </c>
      <c r="J728" s="102"/>
      <c r="K728" s="50"/>
      <c r="L728" s="103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5"/>
    </row>
    <row r="729" ht="12.75" customHeight="1">
      <c r="A729" s="144">
        <v>45026</v>
      </c>
      <c r="B729" s="37"/>
      <c r="C729" t="s" s="55">
        <v>21</v>
      </c>
      <c r="D729" t="s" s="18">
        <v>818</v>
      </c>
      <c r="E729" s="39"/>
      <c r="F729" s="40"/>
      <c r="G729" s="41">
        <v>36640.11</v>
      </c>
      <c r="H729" s="42" cm="1">
        <f t="array" ref="H729">G729/I729</f>
        <v>93.949</v>
      </c>
      <c r="I729" s="43">
        <v>390</v>
      </c>
      <c r="J729" s="44"/>
      <c r="K729" s="40"/>
      <c r="L729" s="148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 ht="12.75" customHeight="1">
      <c r="A730" s="151">
        <v>45031</v>
      </c>
      <c r="B730" s="63">
        <v>12405</v>
      </c>
      <c r="C730" t="s" s="54">
        <v>819</v>
      </c>
      <c r="D730" t="s" s="48">
        <v>820</v>
      </c>
      <c r="E730" s="49"/>
      <c r="F730" s="50"/>
      <c r="G730" s="51">
        <v>171975.12</v>
      </c>
      <c r="H730" s="52">
        <v>425</v>
      </c>
      <c r="I730" s="53">
        <v>405</v>
      </c>
      <c r="J730" s="102"/>
      <c r="K730" s="50"/>
      <c r="L730" s="103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5"/>
    </row>
    <row r="731" ht="12.75" customHeight="1">
      <c r="A731" s="144">
        <v>45040</v>
      </c>
      <c r="B731" s="37"/>
      <c r="C731" t="s" s="55">
        <v>14</v>
      </c>
      <c r="D731" t="s" s="18">
        <v>821</v>
      </c>
      <c r="E731" s="39"/>
      <c r="F731" s="40"/>
      <c r="G731" s="41">
        <v>9714.82</v>
      </c>
      <c r="H731" s="42" cm="1">
        <f t="array" ref="H731">G731/I731</f>
        <v>21.1191739130435</v>
      </c>
      <c r="I731" s="43">
        <v>460</v>
      </c>
      <c r="J731" s="44"/>
      <c r="K731" s="40"/>
      <c r="L731" s="148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 ht="12.75" customHeight="1">
      <c r="A732" s="151">
        <v>45043</v>
      </c>
      <c r="B732" s="63">
        <v>5528</v>
      </c>
      <c r="C732" t="s" s="54">
        <v>129</v>
      </c>
      <c r="D732" t="s" s="48">
        <v>822</v>
      </c>
      <c r="E732" s="49"/>
      <c r="F732" s="50"/>
      <c r="G732" s="51">
        <v>7000</v>
      </c>
      <c r="H732" s="52">
        <v>15</v>
      </c>
      <c r="I732" s="53">
        <v>465</v>
      </c>
      <c r="J732" s="102"/>
      <c r="K732" s="50"/>
      <c r="L732" s="103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5"/>
    </row>
    <row r="733" ht="12.75" customHeight="1">
      <c r="A733" s="144">
        <v>45050</v>
      </c>
      <c r="B733" s="37"/>
      <c r="C733" t="s" s="55">
        <v>79</v>
      </c>
      <c r="D733" t="s" s="18">
        <v>823</v>
      </c>
      <c r="E733" s="39"/>
      <c r="F733" s="40"/>
      <c r="G733" s="41">
        <v>21235.01</v>
      </c>
      <c r="H733" s="42" cm="1">
        <f t="array" ref="H733">G733/I733</f>
        <v>45.471113490364</v>
      </c>
      <c r="I733" s="43">
        <v>467</v>
      </c>
      <c r="J733" s="44"/>
      <c r="K733" s="40"/>
      <c r="L733" s="148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 ht="12.75" customHeight="1">
      <c r="A734" s="151">
        <v>45056</v>
      </c>
      <c r="B734" s="46"/>
      <c r="C734" t="s" s="54">
        <v>21</v>
      </c>
      <c r="D734" t="s" s="48">
        <v>824</v>
      </c>
      <c r="E734" s="49"/>
      <c r="F734" s="50"/>
      <c r="G734" s="51">
        <v>36640.11</v>
      </c>
      <c r="H734" s="52" cm="1">
        <f t="array" ref="H734">G734/I734</f>
        <v>78.1239019189765</v>
      </c>
      <c r="I734" s="53">
        <v>469</v>
      </c>
      <c r="J734" s="102"/>
      <c r="K734" s="50"/>
      <c r="L734" s="103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5"/>
    </row>
    <row r="735" ht="12.75" customHeight="1">
      <c r="A735" s="144">
        <v>45078</v>
      </c>
      <c r="B735" s="37"/>
      <c r="C735" t="s" s="55">
        <v>14</v>
      </c>
      <c r="D735" t="s" s="18">
        <v>825</v>
      </c>
      <c r="E735" s="39"/>
      <c r="F735" s="40"/>
      <c r="G735" s="41">
        <v>9305.111000000001</v>
      </c>
      <c r="H735" s="42" cm="1">
        <f t="array" ref="H735">G735/I735</f>
        <v>19.1070041067762</v>
      </c>
      <c r="I735" s="43">
        <v>487</v>
      </c>
      <c r="J735" s="44"/>
      <c r="K735" s="40"/>
      <c r="L735" s="148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 ht="12.75" customHeight="1">
      <c r="A736" s="151">
        <v>45078</v>
      </c>
      <c r="B736" s="63">
        <v>6259</v>
      </c>
      <c r="C736" t="s" s="54">
        <v>826</v>
      </c>
      <c r="D736" t="s" s="48">
        <v>827</v>
      </c>
      <c r="E736" s="49"/>
      <c r="F736" s="50"/>
      <c r="G736" s="51">
        <v>1100</v>
      </c>
      <c r="H736" s="52" cm="1">
        <f t="array" ref="H736">G736/I736</f>
        <v>2.25872689938398</v>
      </c>
      <c r="I736" s="53">
        <v>487</v>
      </c>
      <c r="J736" s="102"/>
      <c r="K736" s="50"/>
      <c r="L736" s="103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5"/>
    </row>
    <row r="737" ht="12.75" customHeight="1">
      <c r="A737" s="144">
        <v>45085</v>
      </c>
      <c r="B737" s="37"/>
      <c r="C737" t="s" s="55">
        <v>79</v>
      </c>
      <c r="D737" t="s" s="18">
        <v>828</v>
      </c>
      <c r="E737" s="39"/>
      <c r="F737" s="40"/>
      <c r="G737" s="41">
        <v>11776.12</v>
      </c>
      <c r="H737" s="42" cm="1">
        <f t="array" ref="H737">G737/I737</f>
        <v>24.4317842323651</v>
      </c>
      <c r="I737" s="43">
        <v>482</v>
      </c>
      <c r="J737" s="44"/>
      <c r="K737" s="40"/>
      <c r="L737" s="148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 ht="12.75" customHeight="1">
      <c r="A738" s="151">
        <v>45085</v>
      </c>
      <c r="B738" s="63">
        <v>82</v>
      </c>
      <c r="C738" t="s" s="54">
        <v>829</v>
      </c>
      <c r="D738" t="s" s="48">
        <v>830</v>
      </c>
      <c r="E738" s="49"/>
      <c r="F738" s="50"/>
      <c r="G738" s="51">
        <v>740000</v>
      </c>
      <c r="H738" s="52" cm="1">
        <f t="array" ref="H738">G738/I738</f>
        <v>1535.269709543570</v>
      </c>
      <c r="I738" s="53">
        <v>482</v>
      </c>
      <c r="J738" s="102"/>
      <c r="K738" s="50"/>
      <c r="L738" s="103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5"/>
    </row>
    <row r="739" ht="12.75" customHeight="1">
      <c r="A739" s="144">
        <v>45086</v>
      </c>
      <c r="B739" t="s" s="17">
        <v>831</v>
      </c>
      <c r="C739" t="s" s="55">
        <v>256</v>
      </c>
      <c r="D739" t="s" s="18">
        <v>796</v>
      </c>
      <c r="E739" s="39"/>
      <c r="F739" s="40"/>
      <c r="G739" s="41">
        <v>61265.4</v>
      </c>
      <c r="H739" s="42">
        <v>127</v>
      </c>
      <c r="I739" s="43">
        <v>482</v>
      </c>
      <c r="J739" s="44"/>
      <c r="K739" s="40"/>
      <c r="L739" s="148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 ht="12.75" customHeight="1">
      <c r="A740" s="151">
        <v>45089</v>
      </c>
      <c r="B740" s="46"/>
      <c r="C740" t="s" s="54">
        <v>21</v>
      </c>
      <c r="D740" t="s" s="48">
        <v>832</v>
      </c>
      <c r="E740" s="49"/>
      <c r="F740" s="50"/>
      <c r="G740" s="51">
        <v>36640.11</v>
      </c>
      <c r="H740" s="52" cm="1">
        <f t="array" ref="H740">G740/I740</f>
        <v>76.01682572614109</v>
      </c>
      <c r="I740" s="53">
        <v>482</v>
      </c>
      <c r="J740" s="102"/>
      <c r="K740" s="50"/>
      <c r="L740" s="103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5"/>
    </row>
    <row r="741" ht="12.75" customHeight="1">
      <c r="A741" s="144">
        <v>45092</v>
      </c>
      <c r="B741" s="60">
        <v>102586</v>
      </c>
      <c r="C741" t="s" s="55">
        <v>47</v>
      </c>
      <c r="D741" t="s" s="18">
        <v>833</v>
      </c>
      <c r="E741" s="39"/>
      <c r="F741" s="40"/>
      <c r="G741" s="41">
        <v>50000288.28</v>
      </c>
      <c r="H741" s="42">
        <v>100000</v>
      </c>
      <c r="I741" s="43">
        <v>500</v>
      </c>
      <c r="J741" s="44"/>
      <c r="K741" s="40"/>
      <c r="L741" s="148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 ht="12.75" customHeight="1">
      <c r="A742" s="151">
        <v>45099</v>
      </c>
      <c r="B742" s="63">
        <v>5591</v>
      </c>
      <c r="C742" t="s" s="54">
        <v>129</v>
      </c>
      <c r="D742" t="s" s="48">
        <v>834</v>
      </c>
      <c r="E742" s="49"/>
      <c r="F742" s="50"/>
      <c r="G742" s="51">
        <v>180000</v>
      </c>
      <c r="H742" s="52">
        <v>367</v>
      </c>
      <c r="I742" s="53">
        <v>490</v>
      </c>
      <c r="J742" s="102"/>
      <c r="K742" s="50"/>
      <c r="L742" s="103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5"/>
    </row>
    <row r="743" ht="12.75" customHeight="1">
      <c r="A743" s="144">
        <v>45099</v>
      </c>
      <c r="B743" s="60">
        <v>3504</v>
      </c>
      <c r="C743" t="s" s="55">
        <v>256</v>
      </c>
      <c r="D743" t="s" s="18">
        <v>806</v>
      </c>
      <c r="E743" s="39"/>
      <c r="F743" s="40"/>
      <c r="G743" s="41">
        <v>4212.32</v>
      </c>
      <c r="H743" s="42">
        <v>9</v>
      </c>
      <c r="I743" s="43">
        <v>490</v>
      </c>
      <c r="J743" s="44"/>
      <c r="K743" s="40"/>
      <c r="L743" s="148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 ht="12.75" customHeight="1">
      <c r="A744" s="151">
        <v>45100</v>
      </c>
      <c r="B744" s="46"/>
      <c r="C744" t="s" s="54">
        <v>14</v>
      </c>
      <c r="D744" t="s" s="48">
        <v>835</v>
      </c>
      <c r="E744" s="49"/>
      <c r="F744" s="50"/>
      <c r="G744" s="51">
        <v>8595.76</v>
      </c>
      <c r="H744" s="52" cm="1">
        <f t="array" ref="H744">G744/I744</f>
        <v>17.4356186612576</v>
      </c>
      <c r="I744" s="53">
        <v>493</v>
      </c>
      <c r="J744" s="102"/>
      <c r="K744" s="50"/>
      <c r="L744" s="103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5"/>
    </row>
    <row r="745" ht="12.75" customHeight="1">
      <c r="A745" s="144">
        <v>45106</v>
      </c>
      <c r="B745" s="60">
        <v>21851</v>
      </c>
      <c r="C745" t="s" s="55">
        <v>836</v>
      </c>
      <c r="D745" t="s" s="18">
        <v>837</v>
      </c>
      <c r="E745" s="39"/>
      <c r="F745" s="40"/>
      <c r="G745" s="41">
        <v>246209.66</v>
      </c>
      <c r="H745" s="42" cm="1">
        <f t="array" ref="H745">G745/I745</f>
        <v>498.400121457490</v>
      </c>
      <c r="I745" s="43">
        <v>494</v>
      </c>
      <c r="J745" s="44"/>
      <c r="K745" s="40"/>
      <c r="L745" s="148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 ht="12.75" customHeight="1">
      <c r="A746" s="151">
        <v>45117</v>
      </c>
      <c r="B746" s="46"/>
      <c r="C746" t="s" s="54">
        <v>79</v>
      </c>
      <c r="D746" t="s" s="48">
        <v>838</v>
      </c>
      <c r="E746" s="49"/>
      <c r="F746" s="50"/>
      <c r="G746" s="51">
        <v>11794.42</v>
      </c>
      <c r="H746" s="52" cm="1">
        <f t="array" ref="H746">G746/I746</f>
        <v>23.8271111111111</v>
      </c>
      <c r="I746" s="53">
        <v>495</v>
      </c>
      <c r="J746" s="102"/>
      <c r="K746" s="50"/>
      <c r="L746" s="103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5"/>
    </row>
    <row r="747" ht="12.75" customHeight="1">
      <c r="A747" s="144">
        <v>45117</v>
      </c>
      <c r="B747" s="37"/>
      <c r="C747" t="s" s="55">
        <v>21</v>
      </c>
      <c r="D747" t="s" s="18">
        <v>839</v>
      </c>
      <c r="E747" s="39"/>
      <c r="F747" s="40"/>
      <c r="G747" s="41">
        <v>36640.11</v>
      </c>
      <c r="H747" s="42" cm="1">
        <f t="array" ref="H747">G747/I747</f>
        <v>74.0204242424242</v>
      </c>
      <c r="I747" s="43">
        <v>495</v>
      </c>
      <c r="J747" s="44"/>
      <c r="K747" s="40"/>
      <c r="L747" s="148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 ht="12.75" customHeight="1">
      <c r="A748" s="151">
        <v>45118</v>
      </c>
      <c r="B748" s="63">
        <v>135156</v>
      </c>
      <c r="C748" t="s" s="54">
        <v>819</v>
      </c>
      <c r="D748" t="s" s="48">
        <v>840</v>
      </c>
      <c r="E748" s="49"/>
      <c r="F748" s="50"/>
      <c r="G748" s="51">
        <v>86302.55</v>
      </c>
      <c r="H748" s="52">
        <v>173</v>
      </c>
      <c r="I748" s="53">
        <v>498</v>
      </c>
      <c r="J748" s="102"/>
      <c r="K748" s="50"/>
      <c r="L748" s="103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5"/>
    </row>
    <row r="749" ht="12.75" customHeight="1">
      <c r="A749" s="144">
        <v>45119</v>
      </c>
      <c r="B749" s="60">
        <v>3955</v>
      </c>
      <c r="C749" t="s" s="55">
        <v>256</v>
      </c>
      <c r="D749" t="s" s="18">
        <v>806</v>
      </c>
      <c r="E749" s="39"/>
      <c r="F749" s="40"/>
      <c r="G749" s="41">
        <v>5616.98</v>
      </c>
      <c r="H749" s="42">
        <v>11</v>
      </c>
      <c r="I749" s="43">
        <v>498</v>
      </c>
      <c r="J749" s="44"/>
      <c r="K749" s="40"/>
      <c r="L749" s="148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 ht="12.75" customHeight="1">
      <c r="A750" s="151">
        <v>45131</v>
      </c>
      <c r="B750" s="46"/>
      <c r="C750" t="s" s="54">
        <v>14</v>
      </c>
      <c r="D750" t="s" s="48">
        <v>841</v>
      </c>
      <c r="E750" s="49"/>
      <c r="F750" s="50"/>
      <c r="G750" s="51">
        <v>9181.059999999999</v>
      </c>
      <c r="H750" s="52" cm="1">
        <f t="array" ref="H750">G750/I750</f>
        <v>16.6323550724638</v>
      </c>
      <c r="I750" s="53">
        <v>552</v>
      </c>
      <c r="J750" s="102"/>
      <c r="K750" s="50"/>
      <c r="L750" s="103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5"/>
    </row>
    <row r="751" ht="12.75" customHeight="1">
      <c r="A751" s="144">
        <v>45141</v>
      </c>
      <c r="B751" t="s" s="17">
        <v>842</v>
      </c>
      <c r="C751" t="s" s="55">
        <v>819</v>
      </c>
      <c r="D751" t="s" s="18">
        <v>843</v>
      </c>
      <c r="E751" s="39"/>
      <c r="F751" s="40"/>
      <c r="G751" s="41">
        <v>208350.93</v>
      </c>
      <c r="H751" s="42">
        <v>360</v>
      </c>
      <c r="I751" s="43">
        <v>570</v>
      </c>
      <c r="J751" s="44"/>
      <c r="K751" s="40"/>
      <c r="L751" s="148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 ht="12.75" customHeight="1">
      <c r="A752" s="153">
        <v>45141</v>
      </c>
      <c r="B752" s="154">
        <v>4742</v>
      </c>
      <c r="C752" t="s" s="113">
        <v>844</v>
      </c>
      <c r="D752" t="s" s="114">
        <v>845</v>
      </c>
      <c r="E752" s="115"/>
      <c r="F752" s="98"/>
      <c r="G752" s="130">
        <v>395999.99</v>
      </c>
      <c r="H752" s="118" cm="1">
        <f t="array" ref="H752">G752/I752</f>
        <v>694.736824561404</v>
      </c>
      <c r="I752" s="119">
        <v>570</v>
      </c>
      <c r="J752" s="97"/>
      <c r="K752" s="98"/>
      <c r="L752" s="99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1"/>
    </row>
    <row r="753" ht="12.75" customHeight="1">
      <c r="A753" s="144">
        <v>45142</v>
      </c>
      <c r="B753" s="60">
        <v>3890</v>
      </c>
      <c r="C753" t="s" s="55">
        <v>846</v>
      </c>
      <c r="D753" t="s" s="18">
        <v>847</v>
      </c>
      <c r="E753" s="39"/>
      <c r="F753" s="40"/>
      <c r="G753" s="41">
        <v>30000</v>
      </c>
      <c r="H753" s="42" cm="1">
        <f t="array" ref="H753">G753/I753</f>
        <v>52.2648083623693</v>
      </c>
      <c r="I753" s="43">
        <v>574</v>
      </c>
      <c r="J753" s="44"/>
      <c r="K753" s="40"/>
      <c r="L753" s="148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 ht="12.75" customHeight="1">
      <c r="A754" s="151">
        <v>45142</v>
      </c>
      <c r="B754" s="63">
        <v>4707</v>
      </c>
      <c r="C754" t="s" s="54">
        <v>256</v>
      </c>
      <c r="D754" t="s" s="48">
        <v>796</v>
      </c>
      <c r="E754" s="49"/>
      <c r="F754" s="50"/>
      <c r="G754" s="51">
        <v>79129.66</v>
      </c>
      <c r="H754" s="52">
        <v>138</v>
      </c>
      <c r="I754" s="53">
        <v>574</v>
      </c>
      <c r="J754" s="102"/>
      <c r="K754" s="50"/>
      <c r="L754" s="103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5"/>
    </row>
    <row r="755" ht="12.75" customHeight="1">
      <c r="A755" s="144">
        <v>45142</v>
      </c>
      <c r="B755" s="37"/>
      <c r="C755" t="s" s="55">
        <v>79</v>
      </c>
      <c r="D755" t="s" s="18">
        <v>848</v>
      </c>
      <c r="E755" s="39"/>
      <c r="F755" s="40"/>
      <c r="G755" s="41">
        <v>11909.14</v>
      </c>
      <c r="H755" s="42" cm="1">
        <f t="array" ref="H755">G755/I755</f>
        <v>20.7476306620209</v>
      </c>
      <c r="I755" s="43">
        <v>574</v>
      </c>
      <c r="J755" s="44"/>
      <c r="K755" s="40"/>
      <c r="L755" s="148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 ht="12.75" customHeight="1">
      <c r="A756" s="151">
        <v>45148</v>
      </c>
      <c r="B756" s="46"/>
      <c r="C756" t="s" s="54">
        <v>21</v>
      </c>
      <c r="D756" t="s" s="48">
        <v>849</v>
      </c>
      <c r="E756" s="49"/>
      <c r="F756" s="50"/>
      <c r="G756" s="51">
        <v>36640.11</v>
      </c>
      <c r="H756" s="52" cm="1">
        <f t="array" ref="H756">G756/I756</f>
        <v>60.8639700996678</v>
      </c>
      <c r="I756" s="53">
        <v>602</v>
      </c>
      <c r="J756" s="102"/>
      <c r="K756" s="50"/>
      <c r="L756" s="103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5"/>
    </row>
    <row r="757" ht="12.75" customHeight="1">
      <c r="A757" s="144">
        <v>45152</v>
      </c>
      <c r="B757" s="60">
        <v>6298</v>
      </c>
      <c r="C757" t="s" s="55">
        <v>47</v>
      </c>
      <c r="D757" t="s" s="18">
        <v>850</v>
      </c>
      <c r="E757" s="39"/>
      <c r="F757" s="40"/>
      <c r="G757" s="41">
        <v>575108.3</v>
      </c>
      <c r="H757" s="42">
        <v>846</v>
      </c>
      <c r="I757" s="43">
        <v>685</v>
      </c>
      <c r="J757" s="44"/>
      <c r="K757" s="40"/>
      <c r="L757" s="148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 ht="12.75" customHeight="1">
      <c r="A758" s="151">
        <v>45152</v>
      </c>
      <c r="B758" s="63">
        <v>1590</v>
      </c>
      <c r="C758" t="s" s="54">
        <v>851</v>
      </c>
      <c r="D758" t="s" s="48">
        <v>852</v>
      </c>
      <c r="E758" s="49"/>
      <c r="F758" s="50"/>
      <c r="G758" s="51">
        <v>243750</v>
      </c>
      <c r="H758" s="52" cm="1">
        <f t="array" ref="H758">G758/I758</f>
        <v>355.839416058394</v>
      </c>
      <c r="I758" s="53">
        <v>685</v>
      </c>
      <c r="J758" s="102"/>
      <c r="K758" s="50"/>
      <c r="L758" s="103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5"/>
    </row>
    <row r="759" ht="12.75" customHeight="1">
      <c r="A759" s="144">
        <v>45153</v>
      </c>
      <c r="B759" s="60">
        <v>52</v>
      </c>
      <c r="C759" t="s" s="55">
        <v>227</v>
      </c>
      <c r="D759" t="s" s="18">
        <v>853</v>
      </c>
      <c r="E759" s="39"/>
      <c r="F759" s="40"/>
      <c r="G759" s="41">
        <v>9500</v>
      </c>
      <c r="H759" s="42" cm="1">
        <f t="array" ref="H759">G759/I759</f>
        <v>13.013698630137</v>
      </c>
      <c r="I759" s="43">
        <v>730</v>
      </c>
      <c r="J759" s="44"/>
      <c r="K759" s="40"/>
      <c r="L759" s="148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 ht="12.75" customHeight="1">
      <c r="A760" s="151">
        <v>45154</v>
      </c>
      <c r="B760" s="63">
        <v>6316</v>
      </c>
      <c r="C760" t="s" s="54">
        <v>47</v>
      </c>
      <c r="D760" t="s" s="48">
        <v>854</v>
      </c>
      <c r="E760" s="49"/>
      <c r="F760" s="50"/>
      <c r="G760" s="51">
        <v>123443.45</v>
      </c>
      <c r="H760" s="52">
        <v>158</v>
      </c>
      <c r="I760" s="53">
        <v>780</v>
      </c>
      <c r="J760" s="102"/>
      <c r="K760" s="50"/>
      <c r="L760" s="103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5"/>
    </row>
    <row r="761" ht="12.75" customHeight="1">
      <c r="A761" s="144">
        <v>45162</v>
      </c>
      <c r="B761" s="37"/>
      <c r="C761" t="s" s="55">
        <v>14</v>
      </c>
      <c r="D761" t="s" s="18">
        <v>849</v>
      </c>
      <c r="E761" s="39"/>
      <c r="F761" s="40"/>
      <c r="G761" s="41">
        <v>8693.309999999999</v>
      </c>
      <c r="H761" s="42" cm="1">
        <f t="array" ref="H761">G761/I761</f>
        <v>11.9907724137931</v>
      </c>
      <c r="I761" s="43">
        <v>725</v>
      </c>
      <c r="J761" s="44"/>
      <c r="K761" s="40"/>
      <c r="L761" s="148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 ht="12.75" customHeight="1">
      <c r="A762" s="151">
        <v>45162</v>
      </c>
      <c r="B762" s="63">
        <v>13534</v>
      </c>
      <c r="C762" t="s" s="54">
        <v>855</v>
      </c>
      <c r="D762" t="s" s="48">
        <v>856</v>
      </c>
      <c r="E762" s="49"/>
      <c r="F762" s="50"/>
      <c r="G762" s="51">
        <v>649203.97</v>
      </c>
      <c r="H762" s="52">
        <v>895</v>
      </c>
      <c r="I762" s="53">
        <v>725</v>
      </c>
      <c r="J762" s="102"/>
      <c r="K762" s="50"/>
      <c r="L762" s="103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5"/>
    </row>
    <row r="763" ht="12.75" customHeight="1">
      <c r="A763" s="144">
        <v>45162</v>
      </c>
      <c r="B763" s="60">
        <v>5770</v>
      </c>
      <c r="C763" t="s" s="55">
        <v>129</v>
      </c>
      <c r="D763" t="s" s="18">
        <v>857</v>
      </c>
      <c r="E763" s="39"/>
      <c r="F763" s="40"/>
      <c r="G763" s="41">
        <v>40000</v>
      </c>
      <c r="H763" s="42" cm="1">
        <f t="array" ref="H763">G763/I763</f>
        <v>55.1724137931034</v>
      </c>
      <c r="I763" s="43">
        <v>725</v>
      </c>
      <c r="J763" s="44"/>
      <c r="K763" s="40"/>
      <c r="L763" s="148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 ht="12.75" customHeight="1">
      <c r="A764" s="151">
        <v>45163</v>
      </c>
      <c r="B764" s="63">
        <v>13454</v>
      </c>
      <c r="C764" t="s" s="54">
        <v>855</v>
      </c>
      <c r="D764" t="s" s="48">
        <v>858</v>
      </c>
      <c r="E764" s="49"/>
      <c r="F764" s="50"/>
      <c r="G764" s="51">
        <v>50858.18</v>
      </c>
      <c r="H764" s="52">
        <v>70</v>
      </c>
      <c r="I764" s="53">
        <v>730</v>
      </c>
      <c r="J764" s="102"/>
      <c r="K764" s="50"/>
      <c r="L764" s="103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5"/>
    </row>
    <row r="765" ht="12.75" customHeight="1">
      <c r="A765" s="144">
        <v>45166</v>
      </c>
      <c r="B765" s="60">
        <v>104012</v>
      </c>
      <c r="C765" t="s" s="55">
        <v>47</v>
      </c>
      <c r="D765" t="s" s="18">
        <v>859</v>
      </c>
      <c r="E765" s="39"/>
      <c r="F765" s="40"/>
      <c r="G765" s="41">
        <v>206374.1</v>
      </c>
      <c r="H765" s="42">
        <v>282</v>
      </c>
      <c r="I765" s="43">
        <v>730</v>
      </c>
      <c r="J765" s="44"/>
      <c r="K765" s="40"/>
      <c r="L765" s="148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 ht="12.75" customHeight="1">
      <c r="A766" s="151">
        <v>45169</v>
      </c>
      <c r="B766" s="46"/>
      <c r="C766" t="s" s="54">
        <v>860</v>
      </c>
      <c r="D766" t="s" s="48">
        <v>861</v>
      </c>
      <c r="E766" s="49"/>
      <c r="F766" s="50"/>
      <c r="G766" s="51">
        <v>39000000</v>
      </c>
      <c r="H766" s="52" cm="1">
        <f t="array" ref="H766">G766/I766</f>
        <v>53424.6575342466</v>
      </c>
      <c r="I766" s="53">
        <v>730</v>
      </c>
      <c r="J766" s="102"/>
      <c r="K766" s="50"/>
      <c r="L766" s="103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5"/>
    </row>
    <row r="767" ht="12.75" customHeight="1">
      <c r="A767" s="144">
        <v>45170</v>
      </c>
      <c r="B767" s="37"/>
      <c r="C767" t="s" s="55">
        <v>862</v>
      </c>
      <c r="D767" t="s" s="18">
        <v>863</v>
      </c>
      <c r="E767" s="39"/>
      <c r="F767" s="40"/>
      <c r="G767" s="41">
        <v>86424.39</v>
      </c>
      <c r="H767" s="42" cm="1">
        <f t="array" ref="H767">G767/I767</f>
        <v>118.389575342466</v>
      </c>
      <c r="I767" s="43">
        <v>730</v>
      </c>
      <c r="J767" s="44"/>
      <c r="K767" s="40"/>
      <c r="L767" s="148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 ht="12.75" customHeight="1">
      <c r="A768" s="151">
        <v>45173</v>
      </c>
      <c r="B768" s="46"/>
      <c r="C768" t="s" s="54">
        <v>79</v>
      </c>
      <c r="D768" t="s" s="48">
        <v>864</v>
      </c>
      <c r="E768" s="49"/>
      <c r="F768" s="50"/>
      <c r="G768" s="51">
        <v>11911.8</v>
      </c>
      <c r="H768" s="52" cm="1">
        <f t="array" ref="H768">G768/I768</f>
        <v>16.4300689655172</v>
      </c>
      <c r="I768" s="53">
        <v>725</v>
      </c>
      <c r="J768" s="102"/>
      <c r="K768" s="50"/>
      <c r="L768" s="103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5"/>
    </row>
    <row r="769" ht="12.75" customHeight="1">
      <c r="A769" s="144">
        <v>45180</v>
      </c>
      <c r="B769" s="37"/>
      <c r="C769" t="s" s="55">
        <v>21</v>
      </c>
      <c r="D769" t="s" s="18">
        <v>865</v>
      </c>
      <c r="E769" s="39"/>
      <c r="F769" s="40"/>
      <c r="G769" s="41">
        <v>36640.11</v>
      </c>
      <c r="H769" s="42" cm="1">
        <f t="array" ref="H769">G769/I769</f>
        <v>51.1019665271967</v>
      </c>
      <c r="I769" s="43">
        <v>717</v>
      </c>
      <c r="J769" s="44"/>
      <c r="K769" s="40"/>
      <c r="L769" s="148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 ht="12.75" customHeight="1">
      <c r="A770" s="151">
        <v>45180</v>
      </c>
      <c r="B770" s="63">
        <v>19921</v>
      </c>
      <c r="C770" t="s" s="54">
        <v>866</v>
      </c>
      <c r="D770" t="s" s="48">
        <v>867</v>
      </c>
      <c r="E770" s="49"/>
      <c r="F770" s="50"/>
      <c r="G770" s="51">
        <v>5435400.01</v>
      </c>
      <c r="H770" s="52" cm="1">
        <f t="array" ref="H770">G770/I770</f>
        <v>7580.753152022320</v>
      </c>
      <c r="I770" s="53">
        <v>717</v>
      </c>
      <c r="J770" s="102"/>
      <c r="K770" s="50"/>
      <c r="L770" s="103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5"/>
    </row>
    <row r="771" ht="12.75" customHeight="1">
      <c r="A771" s="144">
        <v>45194</v>
      </c>
      <c r="B771" s="37"/>
      <c r="C771" t="s" s="55">
        <v>14</v>
      </c>
      <c r="D771" t="s" s="18">
        <v>865</v>
      </c>
      <c r="E771" s="39"/>
      <c r="F771" s="40"/>
      <c r="G771" s="41">
        <v>9473.709999999999</v>
      </c>
      <c r="H771" s="42" cm="1">
        <f t="array" ref="H771">G771/I771</f>
        <v>12.716389261745</v>
      </c>
      <c r="I771" s="43">
        <v>745</v>
      </c>
      <c r="J771" s="44"/>
      <c r="K771" s="40"/>
      <c r="L771" s="148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 ht="12.75" customHeight="1">
      <c r="A772" s="151">
        <v>45202</v>
      </c>
      <c r="B772" t="s" s="84">
        <v>868</v>
      </c>
      <c r="C772" t="s" s="54">
        <v>819</v>
      </c>
      <c r="D772" t="s" s="48">
        <v>869</v>
      </c>
      <c r="E772" s="49"/>
      <c r="F772" s="50"/>
      <c r="G772" s="51">
        <v>119845</v>
      </c>
      <c r="H772" s="52">
        <v>148</v>
      </c>
      <c r="I772" s="53">
        <v>810</v>
      </c>
      <c r="J772" s="102"/>
      <c r="K772" s="50"/>
      <c r="L772" s="103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5"/>
    </row>
    <row r="773" ht="12.75" customHeight="1">
      <c r="A773" s="144">
        <v>45205</v>
      </c>
      <c r="B773" s="37"/>
      <c r="C773" t="s" s="55">
        <v>79</v>
      </c>
      <c r="D773" t="s" s="18">
        <v>870</v>
      </c>
      <c r="E773" s="39"/>
      <c r="F773" s="40"/>
      <c r="G773" s="41">
        <v>16199.46</v>
      </c>
      <c r="H773" s="42" cm="1">
        <f t="array" ref="H773">G773/I773</f>
        <v>18.4084772727273</v>
      </c>
      <c r="I773" s="43">
        <v>880</v>
      </c>
      <c r="J773" s="44"/>
      <c r="K773" s="40"/>
      <c r="L773" s="148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 ht="12.75" customHeight="1">
      <c r="A774" s="151">
        <v>45209</v>
      </c>
      <c r="B774" s="46"/>
      <c r="C774" t="s" s="54">
        <v>21</v>
      </c>
      <c r="D774" t="s" s="48">
        <v>871</v>
      </c>
      <c r="E774" s="49"/>
      <c r="F774" s="50"/>
      <c r="G774" s="51">
        <v>36640.11</v>
      </c>
      <c r="H774" s="52" cm="1">
        <f t="array" ref="H774">G774/I774</f>
        <v>36.2773366336634</v>
      </c>
      <c r="I774" s="53">
        <v>1010</v>
      </c>
      <c r="J774" s="102"/>
      <c r="K774" s="50"/>
      <c r="L774" s="103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5"/>
    </row>
    <row r="775" ht="12.75" customHeight="1">
      <c r="A775" s="144">
        <v>45216</v>
      </c>
      <c r="B775" s="60">
        <v>98185</v>
      </c>
      <c r="C775" t="s" s="55">
        <v>872</v>
      </c>
      <c r="D775" t="s" s="18">
        <v>873</v>
      </c>
      <c r="E775" s="39"/>
      <c r="F775" s="40"/>
      <c r="G775" s="41">
        <v>634027.6800000001</v>
      </c>
      <c r="H775" s="42">
        <v>647</v>
      </c>
      <c r="I775" s="43">
        <v>979</v>
      </c>
      <c r="J775" s="44"/>
      <c r="K775" s="40"/>
      <c r="L775" s="148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 ht="12.75" customHeight="1">
      <c r="A776" s="151">
        <v>45219</v>
      </c>
      <c r="B776" s="63">
        <v>6064</v>
      </c>
      <c r="C776" t="s" s="54">
        <v>256</v>
      </c>
      <c r="D776" t="s" s="48">
        <v>816</v>
      </c>
      <c r="E776" s="49"/>
      <c r="F776" s="50"/>
      <c r="G776" s="51">
        <v>6656</v>
      </c>
      <c r="H776" s="52">
        <v>7</v>
      </c>
      <c r="I776" s="53">
        <v>900</v>
      </c>
      <c r="J776" s="102"/>
      <c r="K776" s="50"/>
      <c r="L776" s="103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5"/>
    </row>
    <row r="777" ht="12.75" customHeight="1">
      <c r="A777" s="144">
        <v>45223</v>
      </c>
      <c r="B777" s="37"/>
      <c r="C777" t="s" s="55">
        <v>14</v>
      </c>
      <c r="D777" t="s" s="18">
        <v>871</v>
      </c>
      <c r="E777" s="39"/>
      <c r="F777" s="40"/>
      <c r="G777" s="41">
        <v>9714.82</v>
      </c>
      <c r="H777" s="42" cm="1">
        <f t="array" ref="H777">G777/I777</f>
        <v>8.831654545454549</v>
      </c>
      <c r="I777" s="43">
        <v>1100</v>
      </c>
      <c r="J777" s="44"/>
      <c r="K777" s="40"/>
      <c r="L777" s="148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 ht="12.75" customHeight="1">
      <c r="A778" s="151">
        <v>45236</v>
      </c>
      <c r="B778" s="46"/>
      <c r="C778" t="s" s="54">
        <v>79</v>
      </c>
      <c r="D778" t="s" s="48">
        <v>874</v>
      </c>
      <c r="E778" s="49"/>
      <c r="F778" s="50"/>
      <c r="G778" s="51">
        <v>16199.46</v>
      </c>
      <c r="H778" s="52" cm="1">
        <f t="array" ref="H778">G778/I778</f>
        <v>18.2016404494382</v>
      </c>
      <c r="I778" s="53">
        <v>890</v>
      </c>
      <c r="J778" s="102"/>
      <c r="K778" s="50"/>
      <c r="L778" s="103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5"/>
    </row>
    <row r="779" ht="12.75" customHeight="1">
      <c r="A779" s="144">
        <v>45238</v>
      </c>
      <c r="B779" t="s" s="17">
        <v>875</v>
      </c>
      <c r="C779" t="s" s="55">
        <v>256</v>
      </c>
      <c r="D779" t="s" s="18">
        <v>806</v>
      </c>
      <c r="E779" s="39"/>
      <c r="F779" s="40"/>
      <c r="G779" s="41">
        <v>10623.42</v>
      </c>
      <c r="H779" s="42" cm="1">
        <f t="array" ref="H779">G779/I779</f>
        <v>11.9364269662921</v>
      </c>
      <c r="I779" s="43">
        <v>890</v>
      </c>
      <c r="J779" s="44"/>
      <c r="K779" s="40"/>
      <c r="L779" s="148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 ht="12.75" customHeight="1">
      <c r="A780" s="151">
        <v>45238</v>
      </c>
      <c r="B780" s="63">
        <v>105596</v>
      </c>
      <c r="C780" t="s" s="54">
        <v>47</v>
      </c>
      <c r="D780" t="s" s="48">
        <v>876</v>
      </c>
      <c r="E780" s="49"/>
      <c r="F780" s="50"/>
      <c r="G780" s="51">
        <v>582772.14</v>
      </c>
      <c r="H780" s="52" cm="1">
        <f t="array" ref="H780">G780/I780</f>
        <v>654.800157303371</v>
      </c>
      <c r="I780" s="53">
        <v>890</v>
      </c>
      <c r="J780" s="102"/>
      <c r="K780" s="50"/>
      <c r="L780" s="103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5"/>
    </row>
    <row r="781" ht="12.75" customHeight="1">
      <c r="A781" s="144">
        <v>45240</v>
      </c>
      <c r="B781" s="37"/>
      <c r="C781" t="s" s="55">
        <v>21</v>
      </c>
      <c r="D781" t="s" s="18">
        <v>877</v>
      </c>
      <c r="E781" s="39"/>
      <c r="F781" s="40"/>
      <c r="G781" s="41">
        <v>36640.11</v>
      </c>
      <c r="H781" s="42" cm="1">
        <f t="array" ref="H781">G781/I781</f>
        <v>38.5685368421053</v>
      </c>
      <c r="I781" s="43">
        <v>950</v>
      </c>
      <c r="J781" s="44"/>
      <c r="K781" s="40"/>
      <c r="L781" s="148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 ht="12.75" customHeight="1">
      <c r="A782" s="151">
        <v>45245</v>
      </c>
      <c r="B782" t="s" s="84">
        <v>878</v>
      </c>
      <c r="C782" t="s" s="54">
        <v>860</v>
      </c>
      <c r="D782" t="s" s="48">
        <v>879</v>
      </c>
      <c r="E782" s="49"/>
      <c r="F782" s="50"/>
      <c r="G782" s="51">
        <v>13663.56</v>
      </c>
      <c r="H782" s="52" cm="1">
        <f t="array" ref="H782">G782/I782</f>
        <v>14.0861443298969</v>
      </c>
      <c r="I782" s="53">
        <v>970</v>
      </c>
      <c r="J782" s="102"/>
      <c r="K782" s="50"/>
      <c r="L782" s="103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5"/>
    </row>
    <row r="783" ht="12.75" customHeight="1">
      <c r="A783" s="144">
        <v>45245</v>
      </c>
      <c r="B783" s="60">
        <v>20583</v>
      </c>
      <c r="C783" t="s" s="55">
        <v>866</v>
      </c>
      <c r="D783" t="s" s="18">
        <v>880</v>
      </c>
      <c r="E783" s="39"/>
      <c r="F783" s="40"/>
      <c r="G783" s="41">
        <v>12000000</v>
      </c>
      <c r="H783" s="42" cm="1">
        <f t="array" ref="H783">G783/I783</f>
        <v>12371.1340206186</v>
      </c>
      <c r="I783" s="43">
        <v>970</v>
      </c>
      <c r="J783" s="44"/>
      <c r="K783" s="40"/>
      <c r="L783" s="148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 ht="12.75" customHeight="1">
      <c r="A784" s="151">
        <v>45254</v>
      </c>
      <c r="B784" s="46"/>
      <c r="C784" t="s" s="54">
        <v>14</v>
      </c>
      <c r="D784" t="s" s="48">
        <v>877</v>
      </c>
      <c r="E784" s="49"/>
      <c r="F784" s="50"/>
      <c r="G784" s="51">
        <v>16756.51</v>
      </c>
      <c r="H784" s="52" cm="1">
        <f t="array" ref="H784">G784/I784</f>
        <v>16.8407135678392</v>
      </c>
      <c r="I784" s="53">
        <v>995</v>
      </c>
      <c r="J784" s="102"/>
      <c r="K784" s="50"/>
      <c r="L784" s="103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5"/>
    </row>
    <row r="785" ht="12.75" customHeight="1">
      <c r="A785" s="144">
        <v>45254</v>
      </c>
      <c r="B785" s="60">
        <v>5778</v>
      </c>
      <c r="C785" t="s" s="55">
        <v>129</v>
      </c>
      <c r="D785" t="s" s="18">
        <v>881</v>
      </c>
      <c r="E785" s="39"/>
      <c r="F785" s="40"/>
      <c r="G785" s="41">
        <v>459800</v>
      </c>
      <c r="H785" s="42" cm="1">
        <f t="array" ref="H785">G785/I785</f>
        <v>462.110552763819</v>
      </c>
      <c r="I785" s="43">
        <v>995</v>
      </c>
      <c r="J785" s="44"/>
      <c r="K785" s="40"/>
      <c r="L785" s="148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 ht="12.75" customHeight="1">
      <c r="A786" s="151">
        <v>45264</v>
      </c>
      <c r="B786" s="46"/>
      <c r="C786" t="s" s="54">
        <v>79</v>
      </c>
      <c r="D786" t="s" s="48">
        <v>882</v>
      </c>
      <c r="E786" s="49"/>
      <c r="F786" s="50"/>
      <c r="G786" s="51">
        <v>14213.73</v>
      </c>
      <c r="H786" s="52" cm="1">
        <f t="array" ref="H786">G786/I786</f>
        <v>15.7930333333333</v>
      </c>
      <c r="I786" s="53">
        <v>900</v>
      </c>
      <c r="J786" s="102"/>
      <c r="K786" s="50"/>
      <c r="L786" s="103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5"/>
    </row>
    <row r="787" ht="12.75" customHeight="1">
      <c r="A787" s="144">
        <v>45265</v>
      </c>
      <c r="B787" s="60">
        <v>7964</v>
      </c>
      <c r="C787" t="s" s="55">
        <v>883</v>
      </c>
      <c r="D787" t="s" s="18">
        <v>884</v>
      </c>
      <c r="E787" s="39"/>
      <c r="F787" s="40"/>
      <c r="G787" s="41">
        <v>43891.12</v>
      </c>
      <c r="H787" s="42" cm="1">
        <f t="array" ref="H787">G787/I787</f>
        <v>48.7679111111111</v>
      </c>
      <c r="I787" s="43">
        <v>900</v>
      </c>
      <c r="J787" s="44"/>
      <c r="K787" s="40"/>
      <c r="L787" s="148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 ht="12.75" customHeight="1">
      <c r="A788" s="151">
        <v>45265</v>
      </c>
      <c r="B788" s="63">
        <v>14390</v>
      </c>
      <c r="C788" t="s" s="54">
        <v>178</v>
      </c>
      <c r="D788" t="s" s="48">
        <v>885</v>
      </c>
      <c r="E788" s="49"/>
      <c r="F788" s="50"/>
      <c r="G788" s="51">
        <v>15708.24</v>
      </c>
      <c r="H788" s="52" cm="1">
        <f t="array" ref="H788">G788/I788</f>
        <v>17.4536</v>
      </c>
      <c r="I788" s="53">
        <v>900</v>
      </c>
      <c r="J788" s="102"/>
      <c r="K788" s="50"/>
      <c r="L788" s="103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5"/>
    </row>
    <row r="789" ht="12.75" customHeight="1">
      <c r="A789" s="144">
        <v>45271</v>
      </c>
      <c r="B789" s="37"/>
      <c r="C789" t="s" s="55">
        <v>21</v>
      </c>
      <c r="D789" t="s" s="18">
        <v>886</v>
      </c>
      <c r="E789" s="39"/>
      <c r="F789" s="40"/>
      <c r="G789" s="41">
        <v>36637.15</v>
      </c>
      <c r="H789" s="42" cm="1">
        <f t="array" ref="H789">G789/I789</f>
        <v>37.7702577319588</v>
      </c>
      <c r="I789" s="43">
        <v>970</v>
      </c>
      <c r="J789" s="44"/>
      <c r="K789" s="40"/>
      <c r="L789" s="148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 ht="12.75" customHeight="1">
      <c r="A790" s="151">
        <v>45282</v>
      </c>
      <c r="B790" s="46"/>
      <c r="C790" t="s" s="54">
        <v>14</v>
      </c>
      <c r="D790" t="s" s="48">
        <v>886</v>
      </c>
      <c r="E790" s="49"/>
      <c r="F790" s="50"/>
      <c r="G790" s="51">
        <v>15408.04</v>
      </c>
      <c r="H790" s="52" cm="1">
        <f t="array" ref="H790">G790/I790</f>
        <v>15.8845773195876</v>
      </c>
      <c r="I790" s="53">
        <v>970</v>
      </c>
      <c r="J790" s="102"/>
      <c r="K790" s="50"/>
      <c r="L790" s="103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5"/>
    </row>
    <row r="791" ht="12.75" customHeight="1">
      <c r="A791" s="144">
        <v>45294</v>
      </c>
      <c r="B791" s="37"/>
      <c r="C791" t="s" s="55">
        <v>79</v>
      </c>
      <c r="D791" t="s" s="18">
        <v>887</v>
      </c>
      <c r="E791" s="39"/>
      <c r="F791" s="40"/>
      <c r="G791" s="41">
        <v>14235.68</v>
      </c>
      <c r="H791" s="42" cm="1">
        <f t="array" ref="H791">G791/I791</f>
        <v>14.5262040816327</v>
      </c>
      <c r="I791" s="43">
        <v>980</v>
      </c>
      <c r="J791" s="44"/>
      <c r="K791" s="40"/>
      <c r="L791" s="148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 ht="12.75" customHeight="1">
      <c r="A792" s="151">
        <v>45309</v>
      </c>
      <c r="B792" s="46"/>
      <c r="C792" t="s" s="54">
        <v>129</v>
      </c>
      <c r="D792" t="s" s="48">
        <v>888</v>
      </c>
      <c r="E792" s="49"/>
      <c r="F792" s="50"/>
      <c r="G792" s="51">
        <v>80750</v>
      </c>
      <c r="H792" s="52" cm="1">
        <f t="array" ref="H792">G792/I792</f>
        <v>67.2916666666667</v>
      </c>
      <c r="I792" s="53">
        <v>1200</v>
      </c>
      <c r="J792" s="102"/>
      <c r="K792" s="50"/>
      <c r="L792" s="103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5"/>
    </row>
    <row r="793" ht="12.75" customHeight="1">
      <c r="A793" s="144">
        <v>45310</v>
      </c>
      <c r="B793" s="37"/>
      <c r="C793" t="s" s="55">
        <v>21</v>
      </c>
      <c r="D793" t="s" s="18">
        <v>889</v>
      </c>
      <c r="E793" s="39"/>
      <c r="F793" s="40"/>
      <c r="G793" s="41">
        <v>80608.259999999995</v>
      </c>
      <c r="H793" s="42" cm="1">
        <f t="array" ref="H793">G793/I793</f>
        <v>67.17355000000001</v>
      </c>
      <c r="I793" s="43">
        <v>1200</v>
      </c>
      <c r="J793" s="44"/>
      <c r="K793" s="40"/>
      <c r="L793" s="148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 ht="12.75" customHeight="1">
      <c r="A794" s="151">
        <v>45315</v>
      </c>
      <c r="B794" s="46"/>
      <c r="C794" t="s" s="54">
        <v>14</v>
      </c>
      <c r="D794" t="s" s="48">
        <v>889</v>
      </c>
      <c r="E794" s="49"/>
      <c r="F794" s="50"/>
      <c r="G794" s="51">
        <v>35636.7</v>
      </c>
      <c r="H794" s="52" cm="1">
        <f t="array" ref="H794">G794/I794</f>
        <v>29.0911836734694</v>
      </c>
      <c r="I794" s="53">
        <v>1225</v>
      </c>
      <c r="J794" s="102"/>
      <c r="K794" s="50"/>
      <c r="L794" s="103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5"/>
    </row>
    <row r="795" ht="12.75" customHeight="1">
      <c r="A795" s="108">
        <v>45324</v>
      </c>
      <c r="B795" s="37"/>
      <c r="C795" t="s" s="55">
        <v>79</v>
      </c>
      <c r="D795" t="s" s="18">
        <v>890</v>
      </c>
      <c r="E795" s="39"/>
      <c r="F795" s="40"/>
      <c r="G795" s="41">
        <v>9574.75</v>
      </c>
      <c r="H795" s="42" cm="1">
        <f t="array" ref="H795">G795/I795</f>
        <v>8.25409482758621</v>
      </c>
      <c r="I795" s="43">
        <v>1160</v>
      </c>
      <c r="J795" s="44"/>
      <c r="K795" s="40"/>
      <c r="L795" s="148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 ht="12.75" customHeight="1">
      <c r="A796" s="109">
        <v>45324</v>
      </c>
      <c r="B796" s="63">
        <v>21235</v>
      </c>
      <c r="C796" t="s" s="54">
        <v>891</v>
      </c>
      <c r="D796" t="s" s="48">
        <v>892</v>
      </c>
      <c r="E796" s="49"/>
      <c r="F796" s="50"/>
      <c r="G796" s="51">
        <v>7506422.55</v>
      </c>
      <c r="H796" s="52" cm="1">
        <f t="array" ref="H796">G796/I796</f>
        <v>7506.42255</v>
      </c>
      <c r="I796" s="53">
        <v>1000</v>
      </c>
      <c r="J796" s="102"/>
      <c r="K796" s="50"/>
      <c r="L796" s="103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5"/>
    </row>
    <row r="797" ht="12.75" customHeight="1">
      <c r="A797" s="108">
        <v>45324</v>
      </c>
      <c r="B797" s="37"/>
      <c r="C797" t="s" s="55">
        <v>860</v>
      </c>
      <c r="D797" t="s" s="18">
        <v>893</v>
      </c>
      <c r="E797" s="39"/>
      <c r="F797" s="40"/>
      <c r="G797" s="41">
        <v>964041.51</v>
      </c>
      <c r="H797" s="42" cm="1">
        <f t="array" ref="H797">G797/I797</f>
        <v>964.04151</v>
      </c>
      <c r="I797" s="43">
        <v>1000</v>
      </c>
      <c r="J797" s="44"/>
      <c r="K797" s="40"/>
      <c r="L797" s="148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 ht="12.75" customHeight="1">
      <c r="A798" s="151">
        <v>45328</v>
      </c>
      <c r="B798" t="s" s="84">
        <v>894</v>
      </c>
      <c r="C798" t="s" s="54">
        <v>860</v>
      </c>
      <c r="D798" t="s" s="48">
        <v>895</v>
      </c>
      <c r="E798" s="49"/>
      <c r="F798" s="50"/>
      <c r="G798" s="51" cm="1">
        <f t="array" ref="G798">5000058+9000000</f>
        <v>14000058</v>
      </c>
      <c r="H798" s="52" cm="1">
        <f t="array" ref="H798">G798/I798</f>
        <v>14000.058</v>
      </c>
      <c r="I798" s="53">
        <v>1000</v>
      </c>
      <c r="J798" s="102"/>
      <c r="K798" s="50"/>
      <c r="L798" s="103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5"/>
    </row>
    <row r="799" ht="12.75" customHeight="1">
      <c r="A799" s="144">
        <v>45336</v>
      </c>
      <c r="B799" s="37"/>
      <c r="C799" t="s" s="55">
        <v>21</v>
      </c>
      <c r="D799" t="s" s="18">
        <v>896</v>
      </c>
      <c r="E799" s="39"/>
      <c r="F799" s="40"/>
      <c r="G799" s="41">
        <v>80608.259999999995</v>
      </c>
      <c r="H799" s="42" cm="1">
        <f t="array" ref="H799">G799/I799</f>
        <v>73.9525321100917</v>
      </c>
      <c r="I799" s="43">
        <v>1090</v>
      </c>
      <c r="J799" s="44"/>
      <c r="K799" s="40"/>
      <c r="L799" s="148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 ht="12.75" customHeight="1">
      <c r="A800" s="151">
        <v>45341</v>
      </c>
      <c r="B800" s="46"/>
      <c r="C800" t="s" s="54">
        <v>12</v>
      </c>
      <c r="D800" t="s" s="48">
        <v>897</v>
      </c>
      <c r="E800" s="49"/>
      <c r="F800" s="50"/>
      <c r="G800" s="51">
        <v>632293.9</v>
      </c>
      <c r="H800" s="52" cm="1">
        <f t="array" ref="H800">G800/I800</f>
        <v>580.086146788991</v>
      </c>
      <c r="I800" s="53">
        <v>1090</v>
      </c>
      <c r="J800" s="102"/>
      <c r="K800" s="50"/>
      <c r="L800" s="103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5"/>
    </row>
    <row r="801" ht="12.75" customHeight="1">
      <c r="A801" s="144">
        <v>45345</v>
      </c>
      <c r="B801" s="37"/>
      <c r="C801" t="s" s="55">
        <v>14</v>
      </c>
      <c r="D801" t="s" s="18">
        <v>896</v>
      </c>
      <c r="E801" s="39"/>
      <c r="F801" s="40"/>
      <c r="G801" s="41">
        <v>17743.58</v>
      </c>
      <c r="H801" s="42" cm="1">
        <f t="array" ref="H801">G801/I801</f>
        <v>16.582785046729</v>
      </c>
      <c r="I801" s="43">
        <v>1070</v>
      </c>
      <c r="J801" s="44"/>
      <c r="K801" s="40"/>
      <c r="L801" s="148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 ht="12.75" customHeight="1">
      <c r="A802" s="151">
        <v>45345</v>
      </c>
      <c r="B802" s="46"/>
      <c r="C802" t="s" s="54">
        <v>79</v>
      </c>
      <c r="D802" t="s" s="48">
        <v>898</v>
      </c>
      <c r="E802" s="49"/>
      <c r="F802" s="50"/>
      <c r="G802" s="51">
        <v>550959.61</v>
      </c>
      <c r="H802" s="52" cm="1">
        <f t="array" ref="H802">G802/I802</f>
        <v>514.915523364486</v>
      </c>
      <c r="I802" s="53">
        <v>1070</v>
      </c>
      <c r="J802" s="102"/>
      <c r="K802" s="50"/>
      <c r="L802" s="103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5"/>
    </row>
    <row r="803" ht="12.75" customHeight="1">
      <c r="A803" s="144">
        <v>45348</v>
      </c>
      <c r="B803" s="60">
        <v>6095</v>
      </c>
      <c r="C803" t="s" s="55">
        <v>129</v>
      </c>
      <c r="D803" t="s" s="18">
        <v>899</v>
      </c>
      <c r="E803" s="39"/>
      <c r="F803" s="40"/>
      <c r="G803" s="41">
        <v>108800</v>
      </c>
      <c r="H803" s="42" cm="1">
        <f t="array" ref="H803">G803/I803</f>
        <v>101.682242990654</v>
      </c>
      <c r="I803" s="43">
        <v>1070</v>
      </c>
      <c r="J803" s="44"/>
      <c r="K803" s="40"/>
      <c r="L803" s="148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 ht="12.75" customHeight="1">
      <c r="A804" s="151">
        <v>45352</v>
      </c>
      <c r="B804" s="63">
        <v>6327</v>
      </c>
      <c r="C804" t="s" s="54">
        <v>900</v>
      </c>
      <c r="D804" t="s" s="48">
        <v>901</v>
      </c>
      <c r="E804" s="49"/>
      <c r="F804" s="50"/>
      <c r="G804" s="51">
        <v>145999.98</v>
      </c>
      <c r="H804" s="52">
        <v>145</v>
      </c>
      <c r="I804" s="53">
        <v>1007</v>
      </c>
      <c r="J804" s="102"/>
      <c r="K804" s="50"/>
      <c r="L804" s="103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5"/>
    </row>
    <row r="805" ht="12.75" customHeight="1">
      <c r="A805" s="144">
        <v>45355</v>
      </c>
      <c r="B805" s="37"/>
      <c r="C805" t="s" s="55">
        <v>79</v>
      </c>
      <c r="D805" t="s" s="18">
        <v>902</v>
      </c>
      <c r="E805" s="39"/>
      <c r="F805" s="40"/>
      <c r="G805" s="41">
        <v>9580.18</v>
      </c>
      <c r="H805" s="42" cm="1">
        <f t="array" ref="H805">G805/I805</f>
        <v>9.58018</v>
      </c>
      <c r="I805" s="43">
        <v>1000</v>
      </c>
      <c r="J805" s="44"/>
      <c r="K805" s="40"/>
      <c r="L805" s="148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 ht="12.75" customHeight="1">
      <c r="A806" s="151">
        <v>45356</v>
      </c>
      <c r="B806" s="63">
        <v>6192</v>
      </c>
      <c r="C806" t="s" s="54">
        <v>903</v>
      </c>
      <c r="D806" t="s" s="48">
        <v>904</v>
      </c>
      <c r="E806" s="49"/>
      <c r="F806" s="50"/>
      <c r="G806" s="51">
        <v>127330</v>
      </c>
      <c r="H806" s="52" cm="1">
        <f t="array" ref="H806">G806/I806</f>
        <v>127.33</v>
      </c>
      <c r="I806" s="53">
        <v>1000</v>
      </c>
      <c r="J806" s="102"/>
      <c r="K806" s="50"/>
      <c r="L806" s="103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5"/>
    </row>
    <row r="807" ht="12.75" customHeight="1">
      <c r="A807" s="144">
        <v>45357</v>
      </c>
      <c r="B807" s="60">
        <v>1323</v>
      </c>
      <c r="C807" t="s" s="55">
        <v>227</v>
      </c>
      <c r="D807" t="s" s="18">
        <v>905</v>
      </c>
      <c r="E807" s="39"/>
      <c r="F807" s="40"/>
      <c r="G807" s="41">
        <v>30000</v>
      </c>
      <c r="H807" s="42" cm="1">
        <f t="array" ref="H807">G807/I807</f>
        <v>30.7692307692308</v>
      </c>
      <c r="I807" s="43">
        <v>975</v>
      </c>
      <c r="J807" s="44"/>
      <c r="K807" s="40"/>
      <c r="L807" s="148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 ht="12.75" customHeight="1">
      <c r="A808" s="151">
        <v>45370</v>
      </c>
      <c r="B808" s="46"/>
      <c r="C808" t="s" s="54">
        <v>79</v>
      </c>
      <c r="D808" t="s" s="48">
        <v>896</v>
      </c>
      <c r="E808" s="49"/>
      <c r="F808" s="50"/>
      <c r="G808" s="51">
        <v>646921.05</v>
      </c>
      <c r="H808" s="52" cm="1">
        <f t="array" ref="H808">G808/I808</f>
        <v>637.360640394089</v>
      </c>
      <c r="I808" s="53">
        <v>1015</v>
      </c>
      <c r="J808" s="102"/>
      <c r="K808" s="50"/>
      <c r="L808" s="103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5"/>
    </row>
    <row r="809" ht="12.75" customHeight="1">
      <c r="A809" s="144">
        <v>45371</v>
      </c>
      <c r="B809" s="37"/>
      <c r="C809" t="s" s="55">
        <v>21</v>
      </c>
      <c r="D809" t="s" s="18">
        <v>906</v>
      </c>
      <c r="E809" s="39"/>
      <c r="F809" s="40"/>
      <c r="G809" s="41">
        <v>102801.64</v>
      </c>
      <c r="H809" s="42" cm="1">
        <f t="array" ref="H809">G809/I809</f>
        <v>101.282403940887</v>
      </c>
      <c r="I809" s="43">
        <v>1015</v>
      </c>
      <c r="J809" s="44"/>
      <c r="K809" s="40"/>
      <c r="L809" s="148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 ht="12.75" customHeight="1">
      <c r="A810" s="151">
        <v>45373</v>
      </c>
      <c r="B810" s="46"/>
      <c r="C810" t="s" s="54">
        <v>14</v>
      </c>
      <c r="D810" t="s" s="48">
        <v>906</v>
      </c>
      <c r="E810" s="49"/>
      <c r="F810" s="50"/>
      <c r="G810" s="51">
        <v>23451.09</v>
      </c>
      <c r="H810" s="52" cm="1">
        <f t="array" ref="H810">G810/I810</f>
        <v>23.218900990099</v>
      </c>
      <c r="I810" s="53">
        <v>1010</v>
      </c>
      <c r="J810" s="102"/>
      <c r="K810" s="50"/>
      <c r="L810" s="103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5"/>
    </row>
    <row r="811" ht="12.75" customHeight="1">
      <c r="A811" s="144">
        <v>45377</v>
      </c>
      <c r="B811" s="37"/>
      <c r="C811" t="s" s="55">
        <v>178</v>
      </c>
      <c r="D811" s="155"/>
      <c r="E811" s="39"/>
      <c r="F811" s="40"/>
      <c r="G811" s="41">
        <v>194724</v>
      </c>
      <c r="H811" s="42" cm="1">
        <f t="array" ref="H811">G811/I811</f>
        <v>193.755223880597</v>
      </c>
      <c r="I811" s="43">
        <v>1005</v>
      </c>
      <c r="J811" s="44"/>
      <c r="K811" s="40"/>
      <c r="L811" s="148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 ht="12.75" customHeight="1">
      <c r="A812" s="151">
        <v>45392</v>
      </c>
      <c r="B812" s="46"/>
      <c r="C812" t="s" s="54">
        <v>12</v>
      </c>
      <c r="D812" t="s" s="48">
        <v>907</v>
      </c>
      <c r="E812" s="49"/>
      <c r="F812" s="50"/>
      <c r="G812" s="51">
        <v>742435.3</v>
      </c>
      <c r="H812" s="52" cm="1">
        <f t="array" ref="H812">G812/I812</f>
        <v>753.741421319797</v>
      </c>
      <c r="I812" s="53">
        <v>985</v>
      </c>
      <c r="J812" s="102"/>
      <c r="K812" s="50"/>
      <c r="L812" s="103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5"/>
    </row>
    <row r="813" ht="12.75" customHeight="1">
      <c r="A813" s="144">
        <v>45397</v>
      </c>
      <c r="B813" s="37"/>
      <c r="C813" t="s" s="55">
        <v>21</v>
      </c>
      <c r="D813" t="s" s="18">
        <v>908</v>
      </c>
      <c r="E813" s="39"/>
      <c r="F813" s="40"/>
      <c r="G813" s="41">
        <v>102801.64</v>
      </c>
      <c r="H813" s="42" cm="1">
        <f t="array" ref="H813">G813/I813</f>
        <v>102.80164</v>
      </c>
      <c r="I813" s="43">
        <v>1000</v>
      </c>
      <c r="J813" s="44"/>
      <c r="K813" s="40"/>
      <c r="L813" s="148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 ht="12.75" customHeight="1">
      <c r="A814" s="151">
        <v>45406</v>
      </c>
      <c r="B814" s="46"/>
      <c r="C814" t="s" s="54">
        <v>14</v>
      </c>
      <c r="D814" t="s" s="48">
        <v>908</v>
      </c>
      <c r="E814" s="49"/>
      <c r="F814" s="50"/>
      <c r="G814" s="51">
        <v>28346.11</v>
      </c>
      <c r="H814" s="52" cm="1">
        <f t="array" ref="H814">G814/I814</f>
        <v>27.7903039215686</v>
      </c>
      <c r="I814" s="53">
        <v>1020</v>
      </c>
      <c r="J814" s="102"/>
      <c r="K814" s="50"/>
      <c r="L814" s="103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5"/>
    </row>
    <row r="815" ht="12.75" customHeight="1">
      <c r="A815" s="144">
        <v>45411</v>
      </c>
      <c r="B815" s="37"/>
      <c r="C815" t="s" s="55">
        <v>79</v>
      </c>
      <c r="D815" t="s" s="18">
        <v>909</v>
      </c>
      <c r="E815" s="39"/>
      <c r="F815" s="40"/>
      <c r="G815" s="41">
        <v>1092077.89</v>
      </c>
      <c r="H815" s="42" cm="1">
        <f t="array" ref="H815">G815/I815</f>
        <v>1060.2697961165</v>
      </c>
      <c r="I815" s="43">
        <v>1030</v>
      </c>
      <c r="J815" s="44"/>
      <c r="K815" s="40"/>
      <c r="L815" s="148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 ht="12.75" customHeight="1">
      <c r="A816" s="151">
        <v>45432</v>
      </c>
      <c r="B816" s="46"/>
      <c r="C816" t="s" s="54">
        <v>79</v>
      </c>
      <c r="D816" t="s" s="48">
        <v>910</v>
      </c>
      <c r="E816" s="49"/>
      <c r="F816" s="50"/>
      <c r="G816" s="51">
        <v>1406106.77</v>
      </c>
      <c r="H816" s="52" cm="1">
        <f t="array" ref="H816">G816/I816</f>
        <v>1191.615906779660</v>
      </c>
      <c r="I816" s="53">
        <v>1180</v>
      </c>
      <c r="J816" s="102"/>
      <c r="K816" s="50"/>
      <c r="L816" s="103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5"/>
    </row>
    <row r="817" ht="12.75" customHeight="1">
      <c r="A817" s="144">
        <v>45432</v>
      </c>
      <c r="B817" s="37"/>
      <c r="C817" t="s" s="55">
        <v>21</v>
      </c>
      <c r="D817" t="s" s="18">
        <v>911</v>
      </c>
      <c r="E817" s="39"/>
      <c r="F817" s="40"/>
      <c r="G817" s="41">
        <v>102801.64</v>
      </c>
      <c r="H817" s="42" cm="1">
        <f t="array" ref="H817">G817/I817</f>
        <v>87.1200338983051</v>
      </c>
      <c r="I817" s="43">
        <v>1180</v>
      </c>
      <c r="J817" s="44"/>
      <c r="K817" s="40"/>
      <c r="L817" s="148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 ht="12.75" customHeight="1">
      <c r="A818" s="151">
        <v>45436</v>
      </c>
      <c r="B818" s="110"/>
      <c r="C818" t="s" s="156">
        <v>14</v>
      </c>
      <c r="D818" t="s" s="48">
        <v>911</v>
      </c>
      <c r="E818" s="49"/>
      <c r="F818" s="50"/>
      <c r="G818" s="51">
        <v>33048.29</v>
      </c>
      <c r="H818" s="52" cm="1">
        <f t="array" ref="H818">G818/I818</f>
        <v>27.088762295082</v>
      </c>
      <c r="I818" s="53">
        <v>1220</v>
      </c>
      <c r="J818" s="102"/>
      <c r="K818" s="50"/>
      <c r="L818" s="103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5"/>
    </row>
    <row r="819" ht="12.75" customHeight="1">
      <c r="A819" s="144">
        <v>45450</v>
      </c>
      <c r="B819" s="37"/>
      <c r="C819" t="s" s="55">
        <v>912</v>
      </c>
      <c r="D819" t="s" s="18">
        <v>913</v>
      </c>
      <c r="E819" s="39"/>
      <c r="F819" s="40"/>
      <c r="G819" s="41">
        <v>136575</v>
      </c>
      <c r="H819" s="42" cm="1">
        <f t="array" ref="H819">G819/I819</f>
        <v>107.964426877470</v>
      </c>
      <c r="I819" s="43">
        <v>1265</v>
      </c>
      <c r="J819" s="44"/>
      <c r="K819" s="40"/>
      <c r="L819" s="148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 ht="12.75" customHeight="1">
      <c r="A820" s="151">
        <v>45454</v>
      </c>
      <c r="B820" s="46"/>
      <c r="C820" t="s" s="54">
        <v>12</v>
      </c>
      <c r="D820" t="s" s="48">
        <v>914</v>
      </c>
      <c r="E820" s="49"/>
      <c r="F820" s="50"/>
      <c r="G820" s="51">
        <v>742435.3</v>
      </c>
      <c r="H820" s="52" cm="1">
        <f t="array" ref="H820">G820/I820</f>
        <v>573.309111969112</v>
      </c>
      <c r="I820" s="53">
        <v>1295</v>
      </c>
      <c r="J820" s="102"/>
      <c r="K820" s="50"/>
      <c r="L820" s="103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5"/>
    </row>
    <row r="821" ht="12.75" customHeight="1">
      <c r="A821" s="144">
        <v>45457</v>
      </c>
      <c r="B821" s="37"/>
      <c r="C821" t="s" s="55">
        <v>21</v>
      </c>
      <c r="D821" t="s" s="18">
        <v>915</v>
      </c>
      <c r="E821" s="39"/>
      <c r="F821" s="40"/>
      <c r="G821" s="41">
        <v>102801.64</v>
      </c>
      <c r="H821" s="42" cm="1">
        <f t="array" ref="H821">G821/I821</f>
        <v>82.57159839357431</v>
      </c>
      <c r="I821" s="43">
        <v>1245</v>
      </c>
      <c r="J821" s="44"/>
      <c r="K821" s="40"/>
      <c r="L821" s="148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 ht="12.75" customHeight="1">
      <c r="A822" s="151">
        <v>45460</v>
      </c>
      <c r="B822" s="110"/>
      <c r="C822" t="s" s="156">
        <v>129</v>
      </c>
      <c r="D822" t="s" s="48">
        <v>916</v>
      </c>
      <c r="E822" s="49"/>
      <c r="F822" s="50"/>
      <c r="G822" s="51">
        <v>323000</v>
      </c>
      <c r="H822" s="52" cm="1">
        <f t="array" ref="H822">G822/I822</f>
        <v>249.420849420849</v>
      </c>
      <c r="I822" s="53">
        <v>1295</v>
      </c>
      <c r="J822" s="102"/>
      <c r="K822" s="50"/>
      <c r="L822" s="103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5"/>
    </row>
    <row r="823" ht="12.75" customHeight="1">
      <c r="A823" s="144">
        <v>45460</v>
      </c>
      <c r="B823" s="37"/>
      <c r="C823" t="s" s="55">
        <v>917</v>
      </c>
      <c r="D823" t="s" s="18">
        <v>918</v>
      </c>
      <c r="E823" s="39"/>
      <c r="F823" s="40"/>
      <c r="G823" s="41">
        <v>40574.47</v>
      </c>
      <c r="H823" s="42" cm="1">
        <f t="array" ref="H823">G823/I823</f>
        <v>31.3316370656371</v>
      </c>
      <c r="I823" s="43">
        <v>1295</v>
      </c>
      <c r="J823" s="44"/>
      <c r="K823" s="40"/>
      <c r="L823" s="148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 ht="12.75" customHeight="1">
      <c r="A824" s="151">
        <v>45467</v>
      </c>
      <c r="B824" s="46"/>
      <c r="C824" t="s" s="54">
        <v>919</v>
      </c>
      <c r="D824" t="s" s="48">
        <v>915</v>
      </c>
      <c r="E824" s="49"/>
      <c r="F824" s="50"/>
      <c r="G824" s="51">
        <v>30728.68</v>
      </c>
      <c r="H824" s="52" cm="1">
        <f t="array" ref="H824">G824/I824</f>
        <v>23.3678174904943</v>
      </c>
      <c r="I824" s="53">
        <v>1315</v>
      </c>
      <c r="J824" s="102"/>
      <c r="K824" s="50"/>
      <c r="L824" s="103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5"/>
    </row>
    <row r="825" ht="12.75" customHeight="1">
      <c r="A825" s="144">
        <v>45467</v>
      </c>
      <c r="B825" s="37"/>
      <c r="C825" t="s" s="55">
        <v>79</v>
      </c>
      <c r="D825" t="s" s="18">
        <v>920</v>
      </c>
      <c r="E825" s="39"/>
      <c r="F825" s="40"/>
      <c r="G825" s="41">
        <v>488083.67</v>
      </c>
      <c r="H825" s="42" cm="1">
        <f t="array" ref="H825">G825/I825</f>
        <v>371.166288973384</v>
      </c>
      <c r="I825" s="43">
        <v>1315</v>
      </c>
      <c r="J825" s="44"/>
      <c r="K825" s="40"/>
      <c r="L825" s="148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 ht="12.75" customHeight="1">
      <c r="A826" s="151">
        <v>45476</v>
      </c>
      <c r="B826" s="63">
        <v>110367</v>
      </c>
      <c r="C826" t="s" s="54">
        <v>47</v>
      </c>
      <c r="D826" t="s" s="48">
        <v>921</v>
      </c>
      <c r="E826" s="49"/>
      <c r="F826" s="50"/>
      <c r="G826" s="51">
        <v>162721.41</v>
      </c>
      <c r="H826" s="52" cm="1">
        <f t="array" ref="H826">G826/I826</f>
        <v>117.065762589928</v>
      </c>
      <c r="I826" s="53">
        <v>1390</v>
      </c>
      <c r="J826" s="102"/>
      <c r="K826" s="50"/>
      <c r="L826" s="103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5"/>
    </row>
    <row r="827" ht="12.75" customHeight="1">
      <c r="A827" s="144">
        <v>45477</v>
      </c>
      <c r="B827" s="60">
        <v>36961</v>
      </c>
      <c r="C827" t="s" s="55">
        <v>47</v>
      </c>
      <c r="D827" t="s" s="18">
        <v>922</v>
      </c>
      <c r="E827" s="39"/>
      <c r="F827" s="40"/>
      <c r="G827" s="41">
        <v>174344.36</v>
      </c>
      <c r="H827" s="42" cm="1">
        <f t="array" ref="H827">G827/I827</f>
        <v>125.427597122302</v>
      </c>
      <c r="I827" s="43">
        <v>1390</v>
      </c>
      <c r="J827" s="44"/>
      <c r="K827" s="40"/>
      <c r="L827" s="148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 ht="12.75" customHeight="1">
      <c r="A828" s="151">
        <v>45491</v>
      </c>
      <c r="B828" s="46"/>
      <c r="C828" t="s" s="54">
        <v>79</v>
      </c>
      <c r="D828" t="s" s="48">
        <v>923</v>
      </c>
      <c r="E828" s="49"/>
      <c r="F828" s="50"/>
      <c r="G828" s="51">
        <v>474457.88</v>
      </c>
      <c r="H828" s="52" cm="1">
        <f t="array" ref="H828">G828/I828</f>
        <v>329.484638888889</v>
      </c>
      <c r="I828" s="53">
        <v>1440</v>
      </c>
      <c r="J828" s="102"/>
      <c r="K828" s="50"/>
      <c r="L828" s="103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5"/>
    </row>
    <row r="829" ht="12.75" customHeight="1">
      <c r="A829" s="144">
        <v>45492</v>
      </c>
      <c r="B829" s="37"/>
      <c r="C829" t="s" s="55">
        <v>21</v>
      </c>
      <c r="D829" t="s" s="18">
        <v>924</v>
      </c>
      <c r="E829" s="39"/>
      <c r="F829" s="40"/>
      <c r="G829" s="41">
        <v>115885.86</v>
      </c>
      <c r="H829" s="42" cm="1">
        <f t="array" ref="H829">G829/I829</f>
        <v>81.03906293706289</v>
      </c>
      <c r="I829" s="43">
        <v>1430</v>
      </c>
      <c r="J829" s="44"/>
      <c r="K829" s="40"/>
      <c r="L829" s="148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 ht="12.75" customHeight="1">
      <c r="A830" s="151">
        <v>45496</v>
      </c>
      <c r="B830" s="46"/>
      <c r="C830" t="s" s="54">
        <v>14</v>
      </c>
      <c r="D830" t="s" s="48">
        <v>924</v>
      </c>
      <c r="E830" s="49"/>
      <c r="F830" s="50"/>
      <c r="G830" s="51">
        <v>32628.97</v>
      </c>
      <c r="H830" s="52" cm="1">
        <f t="array" ref="H830">G830/I830</f>
        <v>22.8174615384615</v>
      </c>
      <c r="I830" s="53">
        <v>1430</v>
      </c>
      <c r="J830" s="102"/>
      <c r="K830" s="50"/>
      <c r="L830" s="103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5"/>
    </row>
    <row r="831" ht="12.75" customHeight="1">
      <c r="A831" s="144">
        <v>45504</v>
      </c>
      <c r="B831" s="60">
        <v>12402</v>
      </c>
      <c r="C831" t="s" s="55">
        <v>256</v>
      </c>
      <c r="D831" t="s" s="18">
        <v>925</v>
      </c>
      <c r="E831" s="39"/>
      <c r="F831" s="40"/>
      <c r="G831" s="41">
        <v>8423.969999999999</v>
      </c>
      <c r="H831" s="42" cm="1">
        <f t="array" ref="H831">G831/I831</f>
        <v>6.2169520295203</v>
      </c>
      <c r="I831" s="43">
        <v>1355</v>
      </c>
      <c r="J831" s="44"/>
      <c r="K831" s="40"/>
      <c r="L831" s="148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 ht="12.75" customHeight="1">
      <c r="A832" s="151">
        <v>45516</v>
      </c>
      <c r="B832" s="63">
        <v>111170</v>
      </c>
      <c r="C832" t="s" s="54">
        <v>47</v>
      </c>
      <c r="D832" t="s" s="48">
        <v>926</v>
      </c>
      <c r="E832" s="49"/>
      <c r="F832" s="50"/>
      <c r="G832" s="51">
        <v>28699.69</v>
      </c>
      <c r="H832" s="52" cm="1">
        <f t="array" ref="H832">G832/I832</f>
        <v>21.4176791044776</v>
      </c>
      <c r="I832" s="53">
        <v>1340</v>
      </c>
      <c r="J832" s="102"/>
      <c r="K832" s="50"/>
      <c r="L832" s="103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5"/>
    </row>
    <row r="833" ht="12.75" customHeight="1">
      <c r="A833" s="144">
        <v>45517</v>
      </c>
      <c r="B833" s="37"/>
      <c r="C833" t="s" s="55">
        <v>12</v>
      </c>
      <c r="D833" t="s" s="18">
        <v>927</v>
      </c>
      <c r="E833" s="39"/>
      <c r="F833" s="40"/>
      <c r="G833" s="41">
        <v>742435.3</v>
      </c>
      <c r="H833" s="42" cm="1">
        <f t="array" ref="H833">G833/I833</f>
        <v>551.9965055762081</v>
      </c>
      <c r="I833" s="43">
        <v>1345</v>
      </c>
      <c r="J833" s="44"/>
      <c r="K833" s="40"/>
      <c r="L833" s="148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 ht="12.75" customHeight="1">
      <c r="A834" s="151">
        <v>45517</v>
      </c>
      <c r="B834" s="63">
        <v>209</v>
      </c>
      <c r="C834" t="s" s="54">
        <v>928</v>
      </c>
      <c r="D834" t="s" s="48">
        <v>929</v>
      </c>
      <c r="E834" s="49"/>
      <c r="F834" s="50"/>
      <c r="G834" s="51">
        <v>80000</v>
      </c>
      <c r="H834" s="52" cm="1">
        <f t="array" ref="H834">G834/I834</f>
        <v>59.4795539033457</v>
      </c>
      <c r="I834" s="53">
        <v>1345</v>
      </c>
      <c r="J834" s="102"/>
      <c r="K834" s="50"/>
      <c r="L834" s="103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5"/>
    </row>
    <row r="835" ht="12.75" customHeight="1">
      <c r="A835" s="144">
        <v>45519</v>
      </c>
      <c r="B835" s="37"/>
      <c r="C835" t="s" s="55">
        <v>21</v>
      </c>
      <c r="D835" t="s" s="18">
        <v>930</v>
      </c>
      <c r="E835" s="39"/>
      <c r="F835" s="40"/>
      <c r="G835" s="41">
        <v>115885.86</v>
      </c>
      <c r="H835" s="42" cm="1">
        <f t="array" ref="H835">G835/I835</f>
        <v>86.8058876404494</v>
      </c>
      <c r="I835" s="43">
        <v>1335</v>
      </c>
      <c r="J835" s="44"/>
      <c r="K835" s="40"/>
      <c r="L835" s="148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 ht="12.75" customHeight="1">
      <c r="A836" s="151">
        <v>45526</v>
      </c>
      <c r="B836" s="46"/>
      <c r="C836" t="s" s="54">
        <v>79</v>
      </c>
      <c r="D836" t="s" s="48">
        <v>931</v>
      </c>
      <c r="E836" s="49"/>
      <c r="F836" s="50"/>
      <c r="G836" s="51">
        <v>496401.14</v>
      </c>
      <c r="H836" s="52" cm="1">
        <f t="array" ref="H836">G836/I836</f>
        <v>371.836059925094</v>
      </c>
      <c r="I836" s="53">
        <v>1335</v>
      </c>
      <c r="J836" s="102"/>
      <c r="K836" s="50"/>
      <c r="L836" s="103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5"/>
    </row>
    <row r="837" ht="12.75" customHeight="1">
      <c r="A837" s="144">
        <v>45527</v>
      </c>
      <c r="B837" s="37"/>
      <c r="C837" t="s" s="55">
        <v>14</v>
      </c>
      <c r="D837" t="s" s="18">
        <v>930</v>
      </c>
      <c r="E837" s="39"/>
      <c r="F837" s="40"/>
      <c r="G837" s="41">
        <v>34436.38</v>
      </c>
      <c r="H837" s="42" cm="1">
        <f t="array" ref="H837">G837/I837</f>
        <v>25.7950411985019</v>
      </c>
      <c r="I837" s="43">
        <v>1335</v>
      </c>
      <c r="J837" s="44"/>
      <c r="K837" s="40"/>
      <c r="L837" s="148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 ht="12.75" customHeight="1">
      <c r="A838" s="151">
        <v>45534</v>
      </c>
      <c r="B838" s="46"/>
      <c r="C838" s="47"/>
      <c r="D838" t="s" s="48">
        <v>932</v>
      </c>
      <c r="E838" s="49"/>
      <c r="F838" s="50"/>
      <c r="G838" s="51">
        <v>4100000</v>
      </c>
      <c r="H838" s="52">
        <v>3000</v>
      </c>
      <c r="I838" s="53">
        <v>1365</v>
      </c>
      <c r="J838" s="102"/>
      <c r="K838" s="50"/>
      <c r="L838" s="103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5"/>
    </row>
    <row r="839" ht="12.75" customHeight="1">
      <c r="A839" s="144">
        <v>45537</v>
      </c>
      <c r="B839" s="60">
        <v>6521</v>
      </c>
      <c r="C839" t="s" s="55">
        <v>129</v>
      </c>
      <c r="D839" t="s" s="18">
        <v>933</v>
      </c>
      <c r="E839" s="39"/>
      <c r="F839" s="40"/>
      <c r="G839" s="41">
        <v>120000</v>
      </c>
      <c r="H839" s="42" cm="1">
        <f t="array" ref="H839">G839/I839</f>
        <v>93.0232558139535</v>
      </c>
      <c r="I839" s="43">
        <v>1290</v>
      </c>
      <c r="J839" s="44"/>
      <c r="K839" s="40"/>
      <c r="L839" s="148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 ht="12.75" customHeight="1">
      <c r="A840" s="151">
        <v>45537</v>
      </c>
      <c r="B840" s="46"/>
      <c r="C840" t="s" s="54">
        <v>862</v>
      </c>
      <c r="D840" t="s" s="48">
        <v>934</v>
      </c>
      <c r="E840" s="49"/>
      <c r="F840" s="50"/>
      <c r="G840" s="51">
        <v>166813.63</v>
      </c>
      <c r="H840" s="52" cm="1">
        <f t="array" ref="H840">G840/I840</f>
        <v>129.312891472868</v>
      </c>
      <c r="I840" s="53">
        <v>1290</v>
      </c>
      <c r="J840" s="102"/>
      <c r="K840" s="50"/>
      <c r="L840" s="103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5"/>
    </row>
    <row r="841" ht="12.75" customHeight="1">
      <c r="A841" s="144">
        <v>45545</v>
      </c>
      <c r="B841" s="60">
        <v>111841</v>
      </c>
      <c r="C841" t="s" s="55">
        <v>47</v>
      </c>
      <c r="D841" t="s" s="18">
        <v>935</v>
      </c>
      <c r="E841" s="39"/>
      <c r="F841" s="40"/>
      <c r="G841" s="41">
        <v>5846913.69</v>
      </c>
      <c r="H841" s="42" cm="1">
        <f t="array" ref="H841">G841/I841</f>
        <v>4622.066158102770</v>
      </c>
      <c r="I841" s="43">
        <v>1265</v>
      </c>
      <c r="J841" s="44"/>
      <c r="K841" s="40"/>
      <c r="L841" s="148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 ht="12.75" customHeight="1">
      <c r="A842" s="151">
        <v>45547</v>
      </c>
      <c r="B842" s="63">
        <v>2991</v>
      </c>
      <c r="C842" t="s" s="54">
        <v>936</v>
      </c>
      <c r="D842" t="s" s="48">
        <v>937</v>
      </c>
      <c r="E842" s="49"/>
      <c r="F842" s="50"/>
      <c r="G842" s="51">
        <v>7329.3</v>
      </c>
      <c r="H842" s="52" cm="1">
        <f t="array" ref="H842">G842/I842</f>
        <v>5.79391304347826</v>
      </c>
      <c r="I842" s="53">
        <v>1265</v>
      </c>
      <c r="J842" s="102"/>
      <c r="K842" s="50"/>
      <c r="L842" s="103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5"/>
    </row>
    <row r="843" ht="12.75" customHeight="1">
      <c r="A843" s="144">
        <v>45548</v>
      </c>
      <c r="B843" s="60">
        <v>13359</v>
      </c>
      <c r="C843" t="s" s="55">
        <v>256</v>
      </c>
      <c r="D843" t="s" s="18">
        <v>938</v>
      </c>
      <c r="E843" s="39"/>
      <c r="F843" s="40"/>
      <c r="G843" s="41">
        <v>166848.17</v>
      </c>
      <c r="H843" s="42" cm="1">
        <f t="array" ref="H843">G843/I843</f>
        <v>132.946749003984</v>
      </c>
      <c r="I843" s="43">
        <v>1255</v>
      </c>
      <c r="J843" s="44"/>
      <c r="K843" s="40"/>
      <c r="L843" s="148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 ht="12.75" customHeight="1">
      <c r="A844" s="151">
        <v>45554</v>
      </c>
      <c r="B844" s="46"/>
      <c r="C844" t="s" s="54">
        <v>79</v>
      </c>
      <c r="D844" t="s" s="48">
        <v>939</v>
      </c>
      <c r="E844" s="49"/>
      <c r="F844" s="50"/>
      <c r="G844" s="51">
        <v>477886.33</v>
      </c>
      <c r="H844" s="52" cm="1">
        <f t="array" ref="H844">G844/I844</f>
        <v>390.111289795918</v>
      </c>
      <c r="I844" s="53">
        <v>1225</v>
      </c>
      <c r="J844" s="102"/>
      <c r="K844" s="50"/>
      <c r="L844" s="103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5"/>
    </row>
    <row r="845" ht="12.75" customHeight="1">
      <c r="A845" s="144">
        <v>45554</v>
      </c>
      <c r="B845" s="37"/>
      <c r="C845" t="s" s="55">
        <v>21</v>
      </c>
      <c r="D845" t="s" s="18">
        <v>940</v>
      </c>
      <c r="E845" s="39"/>
      <c r="F845" s="40"/>
      <c r="G845" s="41">
        <v>115885.86</v>
      </c>
      <c r="H845" s="42" cm="1">
        <f t="array" ref="H845">G845/I845</f>
        <v>94.6007020408163</v>
      </c>
      <c r="I845" s="43">
        <v>1225</v>
      </c>
      <c r="J845" s="44"/>
      <c r="K845" s="40"/>
      <c r="L845" s="148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 ht="12.75" customHeight="1">
      <c r="A846" s="151">
        <v>45559</v>
      </c>
      <c r="B846" s="63">
        <v>112119</v>
      </c>
      <c r="C846" t="s" s="54">
        <v>47</v>
      </c>
      <c r="D846" t="s" s="48">
        <v>941</v>
      </c>
      <c r="E846" s="49"/>
      <c r="F846" s="50"/>
      <c r="G846" s="51">
        <v>614170</v>
      </c>
      <c r="H846" s="52" cm="1">
        <f t="array" ref="H846">G846/I846</f>
        <v>499.325203252033</v>
      </c>
      <c r="I846" s="53">
        <v>1230</v>
      </c>
      <c r="J846" s="102"/>
      <c r="K846" s="50"/>
      <c r="L846" s="103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5"/>
    </row>
    <row r="847" ht="12.75" customHeight="1">
      <c r="A847" s="144">
        <v>45559</v>
      </c>
      <c r="B847" s="37"/>
      <c r="C847" t="s" s="55">
        <v>14</v>
      </c>
      <c r="D847" t="s" s="18">
        <v>940</v>
      </c>
      <c r="E847" s="39"/>
      <c r="F847" s="40"/>
      <c r="G847" s="41">
        <v>45567.78</v>
      </c>
      <c r="H847" s="42" cm="1">
        <f t="array" ref="H847">G847/I847</f>
        <v>37.0469756097561</v>
      </c>
      <c r="I847" s="43">
        <v>1230</v>
      </c>
      <c r="J847" s="44"/>
      <c r="K847" s="40"/>
      <c r="L847" s="148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 ht="12.75" customHeight="1">
      <c r="A848" s="151">
        <v>45570</v>
      </c>
      <c r="B848" s="63">
        <v>21238</v>
      </c>
      <c r="C848" t="s" s="54">
        <v>942</v>
      </c>
      <c r="D848" t="s" s="48">
        <v>943</v>
      </c>
      <c r="E848" s="49"/>
      <c r="F848" s="50"/>
      <c r="G848" s="51">
        <v>219790</v>
      </c>
      <c r="H848" s="52" cm="1">
        <f t="array" ref="H848">G848/I848</f>
        <v>187.854700854701</v>
      </c>
      <c r="I848" s="53">
        <v>1170</v>
      </c>
      <c r="J848" s="102"/>
      <c r="K848" s="50"/>
      <c r="L848" s="103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5"/>
    </row>
    <row r="849" ht="12.75" customHeight="1">
      <c r="A849" s="144">
        <v>45580</v>
      </c>
      <c r="B849" s="37"/>
      <c r="C849" t="s" s="55">
        <v>21</v>
      </c>
      <c r="D849" t="s" s="18">
        <v>944</v>
      </c>
      <c r="E849" s="39"/>
      <c r="F849" s="40"/>
      <c r="G849" s="41">
        <v>115885.86</v>
      </c>
      <c r="H849" s="42" cm="1">
        <f t="array" ref="H849">G849/I849</f>
        <v>94.9884098360656</v>
      </c>
      <c r="I849" s="43">
        <v>1220</v>
      </c>
      <c r="J849" s="44"/>
      <c r="K849" s="40"/>
      <c r="L849" s="148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 ht="12.75" customHeight="1">
      <c r="A850" s="151">
        <v>45586</v>
      </c>
      <c r="B850" s="46"/>
      <c r="C850" t="s" s="54">
        <v>79</v>
      </c>
      <c r="D850" t="s" s="48">
        <v>945</v>
      </c>
      <c r="E850" s="49"/>
      <c r="F850" s="50"/>
      <c r="G850" s="51">
        <v>499656.41</v>
      </c>
      <c r="H850" s="52" cm="1">
        <f t="array" ref="H850">G850/I850</f>
        <v>407.882783673469</v>
      </c>
      <c r="I850" s="53">
        <v>1225</v>
      </c>
      <c r="J850" s="102"/>
      <c r="K850" s="50"/>
      <c r="L850" s="103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5"/>
    </row>
    <row r="851" ht="12.75" customHeight="1">
      <c r="A851" s="144">
        <v>45589</v>
      </c>
      <c r="B851" s="37"/>
      <c r="C851" t="s" s="55">
        <v>14</v>
      </c>
      <c r="D851" t="s" s="18">
        <v>944</v>
      </c>
      <c r="E851" s="39"/>
      <c r="F851" s="40"/>
      <c r="G851" s="41">
        <v>36891.66</v>
      </c>
      <c r="H851" s="42" cm="1">
        <f t="array" ref="H851">G851/I851</f>
        <v>28.3782</v>
      </c>
      <c r="I851" s="43">
        <v>1300</v>
      </c>
      <c r="J851" s="44"/>
      <c r="K851" s="40"/>
      <c r="L851" s="148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 ht="12.75" customHeight="1">
      <c r="A852" s="151">
        <v>45608</v>
      </c>
      <c r="B852" s="63">
        <v>6732</v>
      </c>
      <c r="C852" t="s" s="54">
        <v>129</v>
      </c>
      <c r="D852" t="s" s="48">
        <v>946</v>
      </c>
      <c r="E852" s="49"/>
      <c r="F852" s="50"/>
      <c r="G852" s="51">
        <v>445000</v>
      </c>
      <c r="H852" s="52" cm="1">
        <f t="array" ref="H852">G852/I852</f>
        <v>399.103139013453</v>
      </c>
      <c r="I852" s="53">
        <v>1115</v>
      </c>
      <c r="J852" s="102"/>
      <c r="K852" s="50"/>
      <c r="L852" s="103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5"/>
    </row>
    <row r="853" ht="12.75" customHeight="1">
      <c r="A853" s="144">
        <v>45615</v>
      </c>
      <c r="B853" s="60">
        <v>13359</v>
      </c>
      <c r="C853" t="s" s="55">
        <v>256</v>
      </c>
      <c r="D853" t="s" s="18">
        <v>938</v>
      </c>
      <c r="E853" s="39"/>
      <c r="F853" s="40"/>
      <c r="G853" s="41">
        <v>166848.17</v>
      </c>
      <c r="H853" s="42" cm="1">
        <f t="array" ref="H853">G853/I853</f>
        <v>148.971580357143</v>
      </c>
      <c r="I853" s="43">
        <v>1120</v>
      </c>
      <c r="J853" s="44"/>
      <c r="K853" s="40"/>
      <c r="L853" s="148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 ht="12.75" customHeight="1">
      <c r="A854" s="151">
        <v>45616</v>
      </c>
      <c r="B854" s="46"/>
      <c r="C854" t="s" s="54">
        <v>21</v>
      </c>
      <c r="D854" t="s" s="48">
        <v>947</v>
      </c>
      <c r="E854" s="49"/>
      <c r="F854" s="50"/>
      <c r="G854" s="51">
        <v>115885.86</v>
      </c>
      <c r="H854" s="52" cm="1">
        <f t="array" ref="H854">G854/I854</f>
        <v>103.933506726457</v>
      </c>
      <c r="I854" s="53">
        <v>1115</v>
      </c>
      <c r="J854" s="102"/>
      <c r="K854" s="50"/>
      <c r="L854" s="103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5"/>
    </row>
    <row r="855" ht="12.75" customHeight="1">
      <c r="A855" t="s" s="17">
        <v>948</v>
      </c>
      <c r="B855" s="37"/>
      <c r="C855" t="s" s="55">
        <v>79</v>
      </c>
      <c r="D855" t="s" s="18">
        <v>949</v>
      </c>
      <c r="E855" s="39"/>
      <c r="F855" s="40"/>
      <c r="G855" s="41">
        <v>529928.24</v>
      </c>
      <c r="H855" s="42" cm="1">
        <f t="array" ref="H855">G855/I855</f>
        <v>475.271964125561</v>
      </c>
      <c r="I855" s="43">
        <v>1115</v>
      </c>
      <c r="J855" s="44"/>
      <c r="K855" s="40"/>
      <c r="L855" s="148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 ht="12.75" customHeight="1">
      <c r="A856" s="151">
        <v>45621</v>
      </c>
      <c r="B856" s="46"/>
      <c r="C856" t="s" s="54">
        <v>14</v>
      </c>
      <c r="D856" t="s" s="48">
        <v>947</v>
      </c>
      <c r="E856" s="49"/>
      <c r="F856" s="50"/>
      <c r="G856" s="51">
        <v>39761.78</v>
      </c>
      <c r="H856" s="52" cm="1">
        <f t="array" ref="H856">G856/I856</f>
        <v>35.5015892857143</v>
      </c>
      <c r="I856" s="53">
        <v>1120</v>
      </c>
      <c r="J856" s="102"/>
      <c r="K856" s="50"/>
      <c r="L856" s="103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5"/>
    </row>
    <row r="857" ht="12.75" customHeight="1">
      <c r="A857" s="144">
        <v>45642</v>
      </c>
      <c r="B857" s="37"/>
      <c r="C857" t="s" s="55">
        <v>21</v>
      </c>
      <c r="D857" t="s" s="18">
        <v>950</v>
      </c>
      <c r="E857" s="39"/>
      <c r="F857" s="40"/>
      <c r="G857" s="41">
        <v>115885.86</v>
      </c>
      <c r="H857" s="42" cm="1">
        <f t="array" ref="H857">G857/I857</f>
        <v>104.401675675676</v>
      </c>
      <c r="I857" s="43">
        <v>1110</v>
      </c>
      <c r="J857" s="44"/>
      <c r="K857" s="40"/>
      <c r="L857" s="148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 ht="12.75" customHeight="1">
      <c r="A858" s="151">
        <v>45645</v>
      </c>
      <c r="B858" s="46"/>
      <c r="C858" t="s" s="54">
        <v>79</v>
      </c>
      <c r="D858" t="s" s="48">
        <v>947</v>
      </c>
      <c r="E858" s="49"/>
      <c r="F858" s="50"/>
      <c r="G858" s="51">
        <v>556258.4</v>
      </c>
      <c r="H858" s="52" cm="1">
        <f t="array" ref="H858">G858/I858</f>
        <v>465.488200836820</v>
      </c>
      <c r="I858" s="53">
        <v>1195</v>
      </c>
      <c r="J858" s="102"/>
      <c r="K858" s="50"/>
      <c r="L858" s="103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5"/>
    </row>
    <row r="859" ht="12.75" customHeight="1">
      <c r="A859" s="144">
        <v>45649</v>
      </c>
      <c r="B859" s="37"/>
      <c r="C859" t="s" s="55">
        <v>14</v>
      </c>
      <c r="D859" t="s" s="18">
        <v>950</v>
      </c>
      <c r="E859" s="39"/>
      <c r="F859" s="40"/>
      <c r="G859" s="41">
        <v>41135.16</v>
      </c>
      <c r="H859" s="42" cm="1">
        <f t="array" ref="H859">G859/I859</f>
        <v>35.7697043478261</v>
      </c>
      <c r="I859" s="43">
        <v>1150</v>
      </c>
      <c r="J859" s="44"/>
      <c r="K859" s="40"/>
      <c r="L859" s="148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 ht="12.75" customHeight="1">
      <c r="A860" s="151">
        <v>45664</v>
      </c>
      <c r="B860" s="63">
        <v>6804</v>
      </c>
      <c r="C860" t="s" s="54">
        <v>129</v>
      </c>
      <c r="D860" t="s" s="48">
        <v>951</v>
      </c>
      <c r="E860" s="49"/>
      <c r="F860" s="50"/>
      <c r="G860" s="51">
        <v>110000</v>
      </c>
      <c r="H860" s="52" cm="1">
        <f t="array" ref="H860">G860/I860</f>
        <v>92.05020920502091</v>
      </c>
      <c r="I860" s="53">
        <v>1195</v>
      </c>
      <c r="J860" s="102"/>
      <c r="K860" s="50"/>
      <c r="L860" s="103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5"/>
    </row>
    <row r="861" ht="12.75" customHeight="1">
      <c r="A861" s="144">
        <v>45674</v>
      </c>
      <c r="B861" s="37"/>
      <c r="C861" t="s" s="55">
        <v>79</v>
      </c>
      <c r="D861" t="s" s="18">
        <v>952</v>
      </c>
      <c r="E861" s="39"/>
      <c r="F861" s="40"/>
      <c r="G861" s="41">
        <v>633290.47</v>
      </c>
      <c r="H861" s="42" cm="1">
        <f t="array" ref="H861">G861/I861</f>
        <v>516.971812244898</v>
      </c>
      <c r="I861" s="43">
        <v>1225</v>
      </c>
      <c r="J861" s="44"/>
      <c r="K861" s="40"/>
      <c r="L861" s="148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 ht="12.75" customHeight="1">
      <c r="A862" s="151">
        <v>45675</v>
      </c>
      <c r="B862" s="46"/>
      <c r="C862" t="s" s="54">
        <v>14</v>
      </c>
      <c r="D862" t="s" s="48">
        <v>953</v>
      </c>
      <c r="E862" s="49"/>
      <c r="F862" s="50"/>
      <c r="G862" s="51">
        <v>45323.18</v>
      </c>
      <c r="H862" s="52" cm="1">
        <f t="array" ref="H862">G862/I862</f>
        <v>36.9985142857143</v>
      </c>
      <c r="I862" s="53">
        <v>1225</v>
      </c>
      <c r="J862" s="102"/>
      <c r="K862" s="50"/>
      <c r="L862" s="103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5"/>
    </row>
    <row r="863" ht="12.75" customHeight="1">
      <c r="A863" s="144">
        <v>45675</v>
      </c>
      <c r="B863" s="37"/>
      <c r="C863" t="s" s="55">
        <v>21</v>
      </c>
      <c r="D863" t="s" s="18">
        <v>953</v>
      </c>
      <c r="E863" s="39"/>
      <c r="F863" s="40"/>
      <c r="G863" s="41">
        <v>162818.93</v>
      </c>
      <c r="H863" s="42" cm="1">
        <f t="array" ref="H863">G863/I863</f>
        <v>132.913412244898</v>
      </c>
      <c r="I863" s="43">
        <v>1225</v>
      </c>
      <c r="J863" s="44"/>
      <c r="K863" s="40"/>
      <c r="L863" s="148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 ht="12.75" customHeight="1">
      <c r="A864" s="151">
        <v>45679</v>
      </c>
      <c r="B864" s="46"/>
      <c r="C864" t="s" s="54">
        <v>855</v>
      </c>
      <c r="D864" t="s" s="48">
        <v>954</v>
      </c>
      <c r="E864" s="49"/>
      <c r="F864" s="50"/>
      <c r="G864" s="51">
        <v>6737500</v>
      </c>
      <c r="H864" s="52">
        <v>5500</v>
      </c>
      <c r="I864" s="53">
        <v>1225</v>
      </c>
      <c r="J864" s="102"/>
      <c r="K864" s="50"/>
      <c r="L864" s="103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5"/>
    </row>
    <row r="865" ht="12.75" customHeight="1">
      <c r="A865" s="144">
        <v>45694</v>
      </c>
      <c r="B865" s="60">
        <v>6890</v>
      </c>
      <c r="C865" t="s" s="55">
        <v>129</v>
      </c>
      <c r="D865" t="s" s="18">
        <v>955</v>
      </c>
      <c r="E865" s="39"/>
      <c r="F865" s="40"/>
      <c r="G865" s="41">
        <v>161500</v>
      </c>
      <c r="H865" s="42" cm="1">
        <f t="array" ref="H865">G865/I865</f>
        <v>134.024896265560</v>
      </c>
      <c r="I865" s="43">
        <v>1205</v>
      </c>
      <c r="J865" s="44"/>
      <c r="K865" s="40"/>
      <c r="L865" s="148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 ht="12.75" customHeight="1">
      <c r="A866" s="151">
        <v>45699</v>
      </c>
      <c r="B866" s="46"/>
      <c r="C866" t="s" s="54">
        <v>21</v>
      </c>
      <c r="D866" t="s" s="48">
        <v>956</v>
      </c>
      <c r="E866" s="49"/>
      <c r="F866" s="50"/>
      <c r="G866" s="51">
        <v>162818.93</v>
      </c>
      <c r="H866" s="52" cm="1">
        <f t="array" ref="H866">G866/I866</f>
        <v>136.250150627615</v>
      </c>
      <c r="I866" s="53">
        <v>1195</v>
      </c>
      <c r="J866" s="102"/>
      <c r="K866" s="50"/>
      <c r="L866" s="103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5"/>
    </row>
    <row r="867" ht="12.75" customHeight="1">
      <c r="A867" s="157">
        <v>45708</v>
      </c>
      <c r="B867" s="60">
        <v>6967</v>
      </c>
      <c r="C867" t="s" s="55">
        <v>129</v>
      </c>
      <c r="D867" t="s" s="18">
        <v>957</v>
      </c>
      <c r="E867" s="39"/>
      <c r="F867" s="40"/>
      <c r="G867" s="41">
        <v>161500</v>
      </c>
      <c r="H867" s="42" cm="1">
        <f t="array" ref="H867">G867/I867</f>
        <v>132.921810699588</v>
      </c>
      <c r="I867" s="43">
        <v>1215</v>
      </c>
      <c r="J867" s="44"/>
      <c r="K867" s="40"/>
      <c r="L867" s="148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 ht="12.75" customHeight="1">
      <c r="A868" s="151">
        <v>45708</v>
      </c>
      <c r="B868" s="46"/>
      <c r="C868" t="s" s="54">
        <v>79</v>
      </c>
      <c r="D868" t="s" s="48">
        <v>953</v>
      </c>
      <c r="E868" s="49"/>
      <c r="F868" s="50"/>
      <c r="G868" s="51">
        <v>745486.21</v>
      </c>
      <c r="H868" s="52" cm="1">
        <f t="array" ref="H868">G868/I868</f>
        <v>613.568897119342</v>
      </c>
      <c r="I868" s="53">
        <v>1215</v>
      </c>
      <c r="J868" s="102"/>
      <c r="K868" s="50"/>
      <c r="L868" s="103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5"/>
    </row>
    <row r="869" ht="12.75" customHeight="1">
      <c r="A869" s="157">
        <v>45708</v>
      </c>
      <c r="B869" s="37"/>
      <c r="C869" t="s" s="55">
        <v>14</v>
      </c>
      <c r="D869" t="s" s="18">
        <v>956</v>
      </c>
      <c r="E869" s="39"/>
      <c r="F869" s="40"/>
      <c r="G869" s="41">
        <v>46081.65</v>
      </c>
      <c r="H869" s="42" cm="1">
        <f t="array" ref="H869">G869/I869</f>
        <v>37.9272839506173</v>
      </c>
      <c r="I869" s="43">
        <v>1215</v>
      </c>
      <c r="J869" s="44"/>
      <c r="K869" s="40"/>
      <c r="L869" s="148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 ht="12.75" customHeight="1">
      <c r="A870" s="151">
        <v>45715</v>
      </c>
      <c r="B870" s="46"/>
      <c r="C870" t="s" s="54">
        <v>958</v>
      </c>
      <c r="D870" t="s" s="48">
        <v>959</v>
      </c>
      <c r="E870" s="49"/>
      <c r="F870" s="50"/>
      <c r="G870" s="51">
        <v>242000000</v>
      </c>
      <c r="H870" s="52">
        <v>203800</v>
      </c>
      <c r="I870" s="53">
        <v>1195</v>
      </c>
      <c r="J870" s="102"/>
      <c r="K870" s="50"/>
      <c r="L870" s="103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5"/>
    </row>
    <row r="871" ht="12.75" customHeight="1">
      <c r="A871" s="144">
        <v>45715</v>
      </c>
      <c r="B871" s="37"/>
      <c r="C871" t="s" s="55">
        <v>862</v>
      </c>
      <c r="D871" t="s" s="18">
        <v>960</v>
      </c>
      <c r="E871" s="39"/>
      <c r="F871" s="40"/>
      <c r="G871" s="41">
        <v>362007.89</v>
      </c>
      <c r="H871" s="42" cm="1">
        <f t="array" ref="H871">G871/I871</f>
        <v>302.935472803347</v>
      </c>
      <c r="I871" s="43">
        <v>1195</v>
      </c>
      <c r="J871" s="44"/>
      <c r="K871" s="40"/>
      <c r="L871" s="148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 ht="12.75" customHeight="1">
      <c r="A872" s="158">
        <v>45724</v>
      </c>
      <c r="B872" s="63">
        <v>17612</v>
      </c>
      <c r="C872" t="s" s="54">
        <v>256</v>
      </c>
      <c r="D872" t="s" s="48">
        <v>961</v>
      </c>
      <c r="E872" s="49"/>
      <c r="F872" s="50"/>
      <c r="G872" s="51">
        <v>101342.08</v>
      </c>
      <c r="H872" s="52" cm="1">
        <f t="array" ref="H872">G872/I872</f>
        <v>84.1013112033195</v>
      </c>
      <c r="I872" s="53">
        <v>1205</v>
      </c>
      <c r="J872" s="102"/>
      <c r="K872" s="50"/>
      <c r="L872" s="103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5"/>
    </row>
    <row r="873" ht="12.75" customHeight="1">
      <c r="A873" s="144">
        <v>45726</v>
      </c>
      <c r="B873" s="37"/>
      <c r="C873" t="s" s="55">
        <v>21</v>
      </c>
      <c r="D873" t="s" s="18">
        <v>962</v>
      </c>
      <c r="E873" s="39"/>
      <c r="F873" s="40"/>
      <c r="G873" s="41">
        <v>162818.93</v>
      </c>
      <c r="H873" s="42" cm="1">
        <f t="array" ref="H873">G873/I873</f>
        <v>134.007349794239</v>
      </c>
      <c r="I873" s="43">
        <v>1215</v>
      </c>
      <c r="J873" s="44"/>
      <c r="K873" s="40"/>
      <c r="L873" s="148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 ht="12.75" customHeight="1">
      <c r="A874" s="151">
        <v>45727</v>
      </c>
      <c r="B874" s="46"/>
      <c r="C874" t="s" s="54">
        <v>12</v>
      </c>
      <c r="D874" t="s" s="48">
        <v>963</v>
      </c>
      <c r="E874" s="49"/>
      <c r="F874" s="50"/>
      <c r="G874" s="51">
        <v>2115125.1</v>
      </c>
      <c r="H874" s="52" cm="1">
        <f t="array" ref="H874">G874/I874</f>
        <v>1748.037272727270</v>
      </c>
      <c r="I874" s="53">
        <v>1210</v>
      </c>
      <c r="J874" s="102"/>
      <c r="K874" s="50"/>
      <c r="L874" s="103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5"/>
    </row>
    <row r="875" ht="12.75" customHeight="1">
      <c r="A875" s="144">
        <v>45736</v>
      </c>
      <c r="B875" s="37"/>
      <c r="C875" t="s" s="55">
        <v>14</v>
      </c>
      <c r="D875" t="s" s="18">
        <v>962</v>
      </c>
      <c r="E875" s="39"/>
      <c r="F875" s="40"/>
      <c r="G875" s="41">
        <v>50183.55</v>
      </c>
      <c r="H875" s="42" cm="1">
        <f t="array" ref="H875">G875/I875</f>
        <v>39.5146062992126</v>
      </c>
      <c r="I875" s="43">
        <v>1270</v>
      </c>
      <c r="J875" s="44"/>
      <c r="K875" s="40"/>
      <c r="L875" s="148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 ht="12.75" customHeight="1">
      <c r="A876" s="151">
        <v>45737</v>
      </c>
      <c r="B876" s="46"/>
      <c r="C876" t="s" s="54">
        <v>79</v>
      </c>
      <c r="D876" t="s" s="48">
        <v>964</v>
      </c>
      <c r="E876" s="49"/>
      <c r="F876" s="50"/>
      <c r="G876" s="51">
        <v>1004797.66</v>
      </c>
      <c r="H876" s="52" cm="1">
        <f t="array" ref="H876">G876/I876</f>
        <v>800.6355856573711</v>
      </c>
      <c r="I876" s="53">
        <v>1255</v>
      </c>
      <c r="J876" s="102"/>
      <c r="K876" s="50"/>
      <c r="L876" s="103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5"/>
    </row>
    <row r="877" ht="12.75" customHeight="1">
      <c r="A877" s="144">
        <v>45742</v>
      </c>
      <c r="B877" s="60">
        <v>7003</v>
      </c>
      <c r="C877" t="s" s="55">
        <v>129</v>
      </c>
      <c r="D877" t="s" s="18">
        <v>965</v>
      </c>
      <c r="E877" s="39"/>
      <c r="F877" s="40"/>
      <c r="G877" s="41">
        <v>178500</v>
      </c>
      <c r="H877" s="42" cm="1">
        <f t="array" ref="H877">G877/I877</f>
        <v>138.910505836576</v>
      </c>
      <c r="I877" s="43">
        <v>1285</v>
      </c>
      <c r="J877" s="44"/>
      <c r="K877" s="40"/>
      <c r="L877" s="148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 ht="12.75" customHeight="1">
      <c r="A878" s="151">
        <v>45747</v>
      </c>
      <c r="B878" s="63">
        <v>4570</v>
      </c>
      <c r="C878" t="s" s="54">
        <v>966</v>
      </c>
      <c r="D878" t="s" s="48">
        <v>967</v>
      </c>
      <c r="E878" s="49"/>
      <c r="F878" s="50"/>
      <c r="G878" s="51">
        <v>67323.710000000006</v>
      </c>
      <c r="H878" s="52" cm="1">
        <f t="array" ref="H878">G878/I878</f>
        <v>51.1967376425856</v>
      </c>
      <c r="I878" s="53">
        <v>1315</v>
      </c>
      <c r="J878" s="102"/>
      <c r="K878" s="50"/>
      <c r="L878" s="103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5"/>
    </row>
    <row r="879" ht="12.75" customHeight="1">
      <c r="A879" s="144">
        <v>45748</v>
      </c>
      <c r="B879" s="60">
        <v>386250</v>
      </c>
      <c r="C879" t="s" s="55">
        <v>968</v>
      </c>
      <c r="D879" t="s" s="18">
        <v>969</v>
      </c>
      <c r="E879" s="39"/>
      <c r="F879" s="40"/>
      <c r="G879" s="41">
        <v>20518.08</v>
      </c>
      <c r="H879" s="42" cm="1">
        <f t="array" ref="H879">G879/I879</f>
        <v>15.7831384615385</v>
      </c>
      <c r="I879" s="43">
        <v>1300</v>
      </c>
      <c r="J879" s="44"/>
      <c r="K879" s="40"/>
      <c r="L879" s="148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 ht="12.75" customHeight="1">
      <c r="A880" s="151">
        <v>45750</v>
      </c>
      <c r="B880" s="63">
        <v>18099</v>
      </c>
      <c r="C880" t="s" s="54">
        <v>256</v>
      </c>
      <c r="D880" t="s" s="48">
        <v>970</v>
      </c>
      <c r="E880" s="49"/>
      <c r="F880" s="50"/>
      <c r="G880" s="51">
        <v>50616.91</v>
      </c>
      <c r="H880" s="52" cm="1">
        <f t="array" ref="H880">G880/I880</f>
        <v>38.9360846153846</v>
      </c>
      <c r="I880" s="53">
        <v>1300</v>
      </c>
      <c r="J880" s="102"/>
      <c r="K880" s="50"/>
      <c r="L880" s="103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5"/>
    </row>
    <row r="881" ht="12.75" customHeight="1">
      <c r="A881" s="144">
        <v>45750</v>
      </c>
      <c r="B881" s="60">
        <v>17911</v>
      </c>
      <c r="C881" t="s" s="55">
        <v>256</v>
      </c>
      <c r="D881" t="s" s="18">
        <v>971</v>
      </c>
      <c r="E881" s="39"/>
      <c r="F881" s="40"/>
      <c r="G881" s="41">
        <v>36550.64</v>
      </c>
      <c r="H881" s="42" cm="1">
        <f t="array" ref="H881">G881/I881</f>
        <v>28.1158769230769</v>
      </c>
      <c r="I881" s="43">
        <v>1300</v>
      </c>
      <c r="J881" s="44"/>
      <c r="K881" s="40"/>
      <c r="L881" s="148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 ht="12.75" customHeight="1">
      <c r="A882" s="151">
        <v>45757</v>
      </c>
      <c r="B882" s="46"/>
      <c r="C882" t="s" s="54">
        <v>21</v>
      </c>
      <c r="D882" t="s" s="48">
        <v>972</v>
      </c>
      <c r="E882" s="49"/>
      <c r="F882" s="50"/>
      <c r="G882" s="51">
        <v>175062.7</v>
      </c>
      <c r="H882" s="52" cm="1">
        <f t="array" ref="H882">G882/I882</f>
        <v>129.197564575646</v>
      </c>
      <c r="I882" s="53">
        <v>1355</v>
      </c>
      <c r="J882" s="102"/>
      <c r="K882" s="50"/>
      <c r="L882" s="103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5"/>
    </row>
    <row r="883" ht="12.75" customHeight="1">
      <c r="A883" s="144">
        <v>45757</v>
      </c>
      <c r="B883" s="37"/>
      <c r="C883" t="s" s="55">
        <v>14</v>
      </c>
      <c r="D883" t="s" s="18">
        <v>972</v>
      </c>
      <c r="E883" s="39"/>
      <c r="F883" s="40"/>
      <c r="G883" s="41">
        <v>51009.53</v>
      </c>
      <c r="H883" s="42" cm="1">
        <f t="array" ref="H883">G883/I883</f>
        <v>37.6454095940959</v>
      </c>
      <c r="I883" s="43">
        <v>1355</v>
      </c>
      <c r="J883" s="44"/>
      <c r="K883" s="40"/>
      <c r="L883" s="148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 ht="12.75" customHeight="1">
      <c r="A884" s="151">
        <v>45761</v>
      </c>
      <c r="B884" t="s" s="84">
        <v>973</v>
      </c>
      <c r="C884" t="s" s="54">
        <v>235</v>
      </c>
      <c r="D884" t="s" s="48">
        <v>974</v>
      </c>
      <c r="E884" s="49"/>
      <c r="F884" s="50"/>
      <c r="G884" s="51">
        <v>890167.54</v>
      </c>
      <c r="H884" s="52" cm="1">
        <f t="array" ref="H884">G884/I884</f>
        <v>698.170619607843</v>
      </c>
      <c r="I884" s="53">
        <v>1275</v>
      </c>
      <c r="J884" s="102"/>
      <c r="K884" s="50"/>
      <c r="L884" s="103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5"/>
    </row>
    <row r="885" ht="12.75" customHeight="1">
      <c r="A885" s="144">
        <v>45768</v>
      </c>
      <c r="B885" s="37"/>
      <c r="C885" t="s" s="55">
        <v>79</v>
      </c>
      <c r="D885" t="s" s="18">
        <v>975</v>
      </c>
      <c r="E885" s="39"/>
      <c r="F885" s="40"/>
      <c r="G885" s="41">
        <v>730152.64</v>
      </c>
      <c r="H885" s="42" cm="1">
        <f t="array" ref="H885">G885/I885</f>
        <v>640.484771929825</v>
      </c>
      <c r="I885" s="43">
        <v>1140</v>
      </c>
      <c r="J885" s="44"/>
      <c r="K885" s="40"/>
      <c r="L885" s="148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 ht="12.75" customHeight="1">
      <c r="A886" s="151">
        <v>45789</v>
      </c>
      <c r="B886" s="46"/>
      <c r="C886" t="s" s="54">
        <v>21</v>
      </c>
      <c r="D886" t="s" s="48">
        <v>976</v>
      </c>
      <c r="E886" s="49"/>
      <c r="F886" s="50"/>
      <c r="G886" s="51">
        <v>175062.7</v>
      </c>
      <c r="H886" s="52" cm="1">
        <f t="array" ref="H886">G886/I886</f>
        <v>150.916120689655</v>
      </c>
      <c r="I886" s="53">
        <v>1160</v>
      </c>
      <c r="J886" s="102"/>
      <c r="K886" s="50"/>
      <c r="L886" s="103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5"/>
    </row>
    <row r="887" ht="12.75" customHeight="1">
      <c r="A887" s="144">
        <v>45796</v>
      </c>
      <c r="B887" s="37"/>
      <c r="C887" t="s" s="55">
        <v>14</v>
      </c>
      <c r="D887" t="s" s="18">
        <v>976</v>
      </c>
      <c r="E887" s="39"/>
      <c r="F887" s="40"/>
      <c r="G887" s="41">
        <v>53221.97</v>
      </c>
      <c r="H887" s="42" cm="1">
        <f t="array" ref="H887">G887/I887</f>
        <v>46.0796277056277</v>
      </c>
      <c r="I887" s="43">
        <v>1155</v>
      </c>
      <c r="J887" s="44"/>
      <c r="K887" s="40"/>
      <c r="L887" s="148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 ht="12.75" customHeight="1">
      <c r="A888" s="151">
        <v>45797</v>
      </c>
      <c r="B888" s="46"/>
      <c r="C888" t="s" s="54">
        <v>79</v>
      </c>
      <c r="D888" t="s" s="48">
        <v>977</v>
      </c>
      <c r="E888" s="49"/>
      <c r="F888" s="50"/>
      <c r="G888" s="51">
        <v>716368.74</v>
      </c>
      <c r="H888" s="52" cm="1">
        <f t="array" ref="H888">G888/I888</f>
        <v>620.232675324675</v>
      </c>
      <c r="I888" s="53">
        <v>1155</v>
      </c>
      <c r="J888" s="102"/>
      <c r="K888" s="50"/>
      <c r="L888" s="103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5"/>
    </row>
    <row r="889" ht="12.75" customHeight="1">
      <c r="A889" s="144">
        <v>45814</v>
      </c>
      <c r="B889" s="37"/>
      <c r="C889" t="s" s="55">
        <v>855</v>
      </c>
      <c r="D889" t="s" s="18">
        <v>978</v>
      </c>
      <c r="E889" s="39"/>
      <c r="F889" s="40"/>
      <c r="G889" s="41">
        <v>620000</v>
      </c>
      <c r="H889" s="42" cm="1">
        <f t="array" ref="H889">G889/I889</f>
        <v>532.188841201717</v>
      </c>
      <c r="I889" s="43">
        <v>1165</v>
      </c>
      <c r="J889" s="44"/>
      <c r="K889" s="40"/>
      <c r="L889" s="148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 ht="12.75" customHeight="1">
      <c r="A890" s="151">
        <v>45818</v>
      </c>
      <c r="B890" s="46"/>
      <c r="C890" t="s" s="54">
        <v>21</v>
      </c>
      <c r="D890" t="s" s="48">
        <v>979</v>
      </c>
      <c r="E890" s="49"/>
      <c r="F890" s="50"/>
      <c r="G890" s="51">
        <v>175062.7</v>
      </c>
      <c r="H890" s="52" cm="1">
        <f t="array" ref="H890">G890/I890</f>
        <v>148.989531914894</v>
      </c>
      <c r="I890" s="53">
        <v>1175</v>
      </c>
      <c r="J890" s="102"/>
      <c r="K890" s="50"/>
      <c r="L890" s="103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5"/>
    </row>
    <row r="891" ht="12.75" customHeight="1">
      <c r="A891" s="144">
        <v>45827</v>
      </c>
      <c r="B891" s="37"/>
      <c r="C891" t="s" s="55">
        <v>79</v>
      </c>
      <c r="D891" t="s" s="18">
        <v>980</v>
      </c>
      <c r="E891" s="39"/>
      <c r="F891" s="40"/>
      <c r="G891" s="41">
        <v>731645.0699999999</v>
      </c>
      <c r="H891" s="42" cm="1">
        <f t="array" ref="H891">G891/I891</f>
        <v>620.0381949152541</v>
      </c>
      <c r="I891" s="43">
        <v>1180</v>
      </c>
      <c r="J891" s="44"/>
      <c r="K891" s="40"/>
      <c r="L891" s="148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 ht="12.75" customHeight="1">
      <c r="A892" s="151">
        <v>45827</v>
      </c>
      <c r="B892" s="46"/>
      <c r="C892" t="s" s="54">
        <v>14</v>
      </c>
      <c r="D892" t="s" s="48">
        <v>979</v>
      </c>
      <c r="E892" s="49"/>
      <c r="F892" s="50"/>
      <c r="G892" s="51">
        <v>48082.53</v>
      </c>
      <c r="H892" s="52" cm="1">
        <f t="array" ref="H892">G892/I892</f>
        <v>40.747906779661</v>
      </c>
      <c r="I892" s="53">
        <v>1180</v>
      </c>
      <c r="J892" s="102"/>
      <c r="K892" s="50"/>
      <c r="L892" s="103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5"/>
    </row>
    <row r="893" ht="12.75" customHeight="1">
      <c r="A893" s="144">
        <v>45842</v>
      </c>
      <c r="B893" s="60">
        <v>57265</v>
      </c>
      <c r="C893" t="s" s="55">
        <v>981</v>
      </c>
      <c r="D893" t="s" s="18">
        <v>982</v>
      </c>
      <c r="E893" s="39"/>
      <c r="F893" s="40"/>
      <c r="G893" s="41">
        <v>53594.07</v>
      </c>
      <c r="H893" s="42" cm="1">
        <f t="array" ref="H893">G893/I893</f>
        <v>44.1103456790123</v>
      </c>
      <c r="I893" s="43">
        <v>1215</v>
      </c>
      <c r="J893" s="44"/>
      <c r="K893" s="40"/>
      <c r="L893" s="148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 ht="12.75" customHeight="1">
      <c r="A894" s="151">
        <v>45842</v>
      </c>
      <c r="B894" s="63">
        <v>382</v>
      </c>
      <c r="C894" t="s" s="54">
        <v>928</v>
      </c>
      <c r="D894" t="s" s="48">
        <v>983</v>
      </c>
      <c r="E894" s="49"/>
      <c r="F894" s="50"/>
      <c r="G894" s="51">
        <v>65000</v>
      </c>
      <c r="H894" s="52" cm="1">
        <f t="array" ref="H894">G894/I894</f>
        <v>53.4979423868313</v>
      </c>
      <c r="I894" s="53">
        <v>1215</v>
      </c>
      <c r="J894" s="102"/>
      <c r="K894" s="50"/>
      <c r="L894" s="103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5"/>
    </row>
    <row r="895" ht="12.75" customHeight="1">
      <c r="A895" s="144">
        <v>45848</v>
      </c>
      <c r="B895" s="37"/>
      <c r="C895" t="s" s="55">
        <v>21</v>
      </c>
      <c r="D895" t="s" s="18">
        <v>984</v>
      </c>
      <c r="E895" s="39"/>
      <c r="F895" s="40"/>
      <c r="G895" s="41">
        <v>200853.04</v>
      </c>
      <c r="H895" s="42" cm="1">
        <f t="array" ref="H895">G895/I895</f>
        <v>158.152</v>
      </c>
      <c r="I895" s="43">
        <v>1270</v>
      </c>
      <c r="J895" s="44"/>
      <c r="K895" s="40"/>
      <c r="L895" s="148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 ht="12.75" customHeight="1">
      <c r="A896" s="151">
        <v>45852</v>
      </c>
      <c r="B896" s="46"/>
      <c r="C896" t="s" s="54">
        <v>981</v>
      </c>
      <c r="D896" t="s" s="48">
        <v>985</v>
      </c>
      <c r="E896" s="49"/>
      <c r="F896" s="50"/>
      <c r="G896" s="51">
        <v>84779.7</v>
      </c>
      <c r="H896" s="52" cm="1">
        <f t="array" ref="H896">G896/I896</f>
        <v>65.7206976744186</v>
      </c>
      <c r="I896" s="53">
        <v>1290</v>
      </c>
      <c r="J896" s="102"/>
      <c r="K896" s="50"/>
      <c r="L896" s="103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5"/>
    </row>
    <row r="897" ht="12.75" customHeight="1">
      <c r="A897" s="157">
        <v>45853</v>
      </c>
      <c r="B897" s="60">
        <v>118045</v>
      </c>
      <c r="C897" t="s" s="55">
        <v>47</v>
      </c>
      <c r="D897" t="s" s="18">
        <v>986</v>
      </c>
      <c r="E897" s="39"/>
      <c r="F897" s="40"/>
      <c r="G897" s="41">
        <v>3821933.51</v>
      </c>
      <c r="H897" s="42" cm="1">
        <f t="array" ref="H897">G897/I897</f>
        <v>3000.018454123720</v>
      </c>
      <c r="I897" s="43">
        <v>1273.97</v>
      </c>
      <c r="J897" s="44"/>
      <c r="K897" s="40"/>
      <c r="L897" s="148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 ht="12.75" customHeight="1">
      <c r="A898" s="151">
        <v>45855</v>
      </c>
      <c r="B898" s="46"/>
      <c r="C898" t="s" s="54">
        <v>79</v>
      </c>
      <c r="D898" t="s" s="48">
        <v>987</v>
      </c>
      <c r="E898" s="49"/>
      <c r="F898" s="50"/>
      <c r="G898" s="51">
        <v>778930.75</v>
      </c>
      <c r="H898" s="52" cm="1">
        <f t="array" ref="H898">G898/I898</f>
        <v>606.171789883268</v>
      </c>
      <c r="I898" s="53">
        <v>1285</v>
      </c>
      <c r="J898" s="102"/>
      <c r="K898" s="50"/>
      <c r="L898" s="103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5"/>
    </row>
    <row r="899" ht="12.75" customHeight="1">
      <c r="A899" s="144">
        <v>45859</v>
      </c>
      <c r="B899" s="37"/>
      <c r="C899" t="s" s="55">
        <v>14</v>
      </c>
      <c r="D899" t="s" s="18">
        <v>988</v>
      </c>
      <c r="E899" s="39"/>
      <c r="F899" s="40"/>
      <c r="G899" s="41">
        <v>49678.48</v>
      </c>
      <c r="H899" s="42" cm="1">
        <f t="array" ref="H899">G899/I899</f>
        <v>38.3617606177606</v>
      </c>
      <c r="I899" s="43">
        <v>1295</v>
      </c>
      <c r="J899" s="44"/>
      <c r="K899" s="40"/>
      <c r="L899" s="148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 ht="12.75" customHeight="1">
      <c r="A900" s="151">
        <v>45869</v>
      </c>
      <c r="B900" t="s" s="84">
        <v>989</v>
      </c>
      <c r="C900" t="s" s="54">
        <v>855</v>
      </c>
      <c r="D900" t="s" s="48">
        <v>990</v>
      </c>
      <c r="E900" s="49"/>
      <c r="F900" s="50"/>
      <c r="G900" s="51">
        <v>409333.86</v>
      </c>
      <c r="H900" s="52" cm="1">
        <f t="array" ref="H900">G900/I900</f>
        <v>312.468595419847</v>
      </c>
      <c r="I900" s="53">
        <v>1310</v>
      </c>
      <c r="J900" s="102"/>
      <c r="K900" s="50"/>
      <c r="L900" s="103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5"/>
    </row>
    <row r="901" ht="12.75" customHeight="1">
      <c r="A901" s="144">
        <v>45880</v>
      </c>
      <c r="B901" s="37"/>
      <c r="C901" t="s" s="55">
        <v>21</v>
      </c>
      <c r="D901" t="s" s="18">
        <v>991</v>
      </c>
      <c r="E901" s="39"/>
      <c r="F901" s="40"/>
      <c r="G901" s="41">
        <v>200853.04</v>
      </c>
      <c r="H901" s="42" cm="1">
        <f t="array" ref="H901">G901/I901</f>
        <v>153.910375478927</v>
      </c>
      <c r="I901" s="43">
        <v>1305</v>
      </c>
      <c r="J901" s="44"/>
      <c r="K901" s="40"/>
      <c r="L901" s="148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 ht="12.75" customHeight="1">
      <c r="A902" s="151">
        <v>45881</v>
      </c>
      <c r="B902" s="63">
        <v>400</v>
      </c>
      <c r="C902" t="s" s="54">
        <v>928</v>
      </c>
      <c r="D902" t="s" s="48">
        <v>983</v>
      </c>
      <c r="E902" s="49"/>
      <c r="F902" s="50"/>
      <c r="G902" s="51">
        <v>65000</v>
      </c>
      <c r="H902" s="52" cm="1">
        <f t="array" ref="H902">G902/I902</f>
        <v>49.4296577946768</v>
      </c>
      <c r="I902" s="53">
        <v>1315</v>
      </c>
      <c r="J902" s="102"/>
      <c r="K902" s="50"/>
      <c r="L902" s="103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5"/>
    </row>
    <row r="903" ht="12.75" customHeight="1">
      <c r="A903" s="144">
        <v>45888</v>
      </c>
      <c r="B903" s="37"/>
      <c r="C903" t="s" s="55">
        <v>79</v>
      </c>
      <c r="D903" t="s" s="18">
        <v>988</v>
      </c>
      <c r="E903" s="39"/>
      <c r="F903" s="40"/>
      <c r="G903" s="41">
        <v>812102.9</v>
      </c>
      <c r="H903" s="42" cm="1">
        <f t="array" ref="H903">G903/I903</f>
        <v>617.5687452471479</v>
      </c>
      <c r="I903" s="43">
        <v>1315</v>
      </c>
      <c r="J903" s="44"/>
      <c r="K903" s="40"/>
      <c r="L903" s="148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 ht="12.75" customHeight="1">
      <c r="A904" s="151">
        <v>45890</v>
      </c>
      <c r="B904" s="46"/>
      <c r="C904" t="s" s="54">
        <v>14</v>
      </c>
      <c r="D904" t="s" s="48">
        <v>992</v>
      </c>
      <c r="E904" s="49"/>
      <c r="F904" s="50"/>
      <c r="G904" s="51">
        <v>50577.28</v>
      </c>
      <c r="H904" s="52" cm="1">
        <f t="array" ref="H904">G904/I904</f>
        <v>38.028030075188</v>
      </c>
      <c r="I904" s="53">
        <v>1330</v>
      </c>
      <c r="J904" s="102"/>
      <c r="K904" s="50"/>
      <c r="L904" s="103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5"/>
    </row>
    <row r="905" ht="12.75" customHeight="1">
      <c r="A905" s="144">
        <v>45896</v>
      </c>
      <c r="B905" s="60">
        <v>208</v>
      </c>
      <c r="C905" t="s" s="55">
        <v>993</v>
      </c>
      <c r="D905" t="s" s="18">
        <v>994</v>
      </c>
      <c r="E905" s="39"/>
      <c r="F905" s="40"/>
      <c r="G905" s="41">
        <v>385000</v>
      </c>
      <c r="H905" s="52" cm="1">
        <f t="array" ref="H905">G905/I905</f>
        <v>284.132841328413</v>
      </c>
      <c r="I905" s="43">
        <v>1355</v>
      </c>
      <c r="J905" s="44"/>
      <c r="K905" s="40"/>
      <c r="L905" s="148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 ht="12.75" customHeight="1">
      <c r="A906" s="151">
        <v>45896</v>
      </c>
      <c r="B906" s="63">
        <v>265815049</v>
      </c>
      <c r="C906" t="s" s="54">
        <v>995</v>
      </c>
      <c r="D906" t="s" s="48">
        <v>996</v>
      </c>
      <c r="E906" s="49"/>
      <c r="F906" s="50"/>
      <c r="G906" s="51">
        <v>456200</v>
      </c>
      <c r="H906" s="52" cm="1">
        <f t="array" ref="H906">G906/I906</f>
        <v>336.678966789668</v>
      </c>
      <c r="I906" s="53">
        <v>1355</v>
      </c>
      <c r="J906" s="102"/>
      <c r="K906" s="50"/>
      <c r="L906" s="103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5"/>
    </row>
    <row r="907" ht="12.75" customHeight="1">
      <c r="A907" s="144">
        <v>45910</v>
      </c>
      <c r="B907" s="37"/>
      <c r="C907" t="s" s="55">
        <v>997</v>
      </c>
      <c r="D907" t="s" s="18">
        <v>998</v>
      </c>
      <c r="E907" s="39"/>
      <c r="F907" s="40"/>
      <c r="G907" s="51">
        <v>200853.04</v>
      </c>
      <c r="H907" s="52" cm="1">
        <f t="array" ref="H907">G907/I907</f>
        <v>146.074938181818</v>
      </c>
      <c r="I907" s="53">
        <v>1375</v>
      </c>
      <c r="J907" s="44"/>
      <c r="K907" s="40"/>
      <c r="L907" s="148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 ht="12.75" customHeight="1">
      <c r="A908" s="151">
        <v>45911</v>
      </c>
      <c r="B908" t="s" s="84">
        <v>999</v>
      </c>
      <c r="C908" t="s" s="54">
        <v>1000</v>
      </c>
      <c r="D908" t="s" s="48">
        <v>1001</v>
      </c>
      <c r="E908" s="49"/>
      <c r="F908" s="50"/>
      <c r="G908" s="41">
        <v>2230000</v>
      </c>
      <c r="H908" s="52" cm="1">
        <f t="array" ref="H908">G908/I908</f>
        <v>1610.1083032491</v>
      </c>
      <c r="I908" s="43">
        <v>1385</v>
      </c>
      <c r="J908" s="102"/>
      <c r="K908" s="50"/>
      <c r="L908" s="103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5"/>
    </row>
    <row r="909" ht="12.75" customHeight="1">
      <c r="A909" s="144">
        <v>45911</v>
      </c>
      <c r="B909" t="s" s="17">
        <v>1002</v>
      </c>
      <c r="C909" t="s" s="55">
        <v>1000</v>
      </c>
      <c r="D909" t="s" s="48">
        <v>1001</v>
      </c>
      <c r="E909" s="39"/>
      <c r="F909" s="40"/>
      <c r="G909" s="51">
        <v>71500.009999999995</v>
      </c>
      <c r="H909" s="52" cm="1">
        <f t="array" ref="H909">G909/I909</f>
        <v>51.6245559566787</v>
      </c>
      <c r="I909" s="53">
        <v>1385</v>
      </c>
      <c r="J909" s="44"/>
      <c r="K909" s="40"/>
      <c r="L909" s="148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 ht="12.75" customHeight="1">
      <c r="A910" s="151">
        <v>45915</v>
      </c>
      <c r="B910" t="s" s="84">
        <v>1003</v>
      </c>
      <c r="C910" t="s" s="54">
        <v>1004</v>
      </c>
      <c r="D910" t="s" s="48">
        <v>1005</v>
      </c>
      <c r="E910" s="49"/>
      <c r="F910" s="50"/>
      <c r="G910" s="41">
        <v>181058</v>
      </c>
      <c r="H910" s="52" cm="1">
        <f t="array" ref="H910">G910/I910</f>
        <v>127.956183745583</v>
      </c>
      <c r="I910" s="43">
        <v>1415</v>
      </c>
      <c r="J910" s="102"/>
      <c r="K910" s="50"/>
      <c r="L910" s="103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5"/>
    </row>
    <row r="911" ht="15.75" customHeight="1">
      <c r="A911" s="144">
        <v>45915</v>
      </c>
      <c r="B911" s="60">
        <v>2400021832</v>
      </c>
      <c r="C911" t="s" s="55">
        <v>1006</v>
      </c>
      <c r="D911" t="s" s="18">
        <v>1007</v>
      </c>
      <c r="E911" s="39"/>
      <c r="F911" s="40"/>
      <c r="G911" s="51">
        <v>9654.879999999999</v>
      </c>
      <c r="H911" s="52" cm="1">
        <f t="array" ref="H911">G911/I911</f>
        <v>6.82323674911661</v>
      </c>
      <c r="I911" s="53">
        <v>1415</v>
      </c>
      <c r="J911" s="44"/>
      <c r="K911" s="40"/>
      <c r="L911" s="148"/>
      <c r="M911" s="149"/>
      <c r="N911" s="149"/>
      <c r="O911" s="149"/>
      <c r="P911" s="149"/>
      <c r="Q911" s="149"/>
      <c r="R911" s="14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</row>
    <row r="912" ht="15.75" customHeight="1">
      <c r="A912" s="151">
        <v>45916</v>
      </c>
      <c r="B912" t="s" s="84">
        <v>1008</v>
      </c>
      <c r="C912" t="s" s="54">
        <v>1000</v>
      </c>
      <c r="D912" t="s" s="48">
        <v>1001</v>
      </c>
      <c r="E912" s="49"/>
      <c r="F912" s="50"/>
      <c r="G912" s="41">
        <v>41000.02</v>
      </c>
      <c r="H912" s="52" cm="1">
        <f t="array" ref="H912">G912/I912</f>
        <v>28.3737162629758</v>
      </c>
      <c r="I912" s="43">
        <v>1445</v>
      </c>
      <c r="J912" s="102"/>
      <c r="K912" s="50"/>
      <c r="L912" s="103"/>
      <c r="M912" s="104"/>
      <c r="N912" s="104"/>
      <c r="O912" s="104"/>
      <c r="P912" s="104"/>
      <c r="Q912" s="104"/>
      <c r="R912" s="104"/>
      <c r="S912" s="160"/>
      <c r="T912" s="161"/>
      <c r="U912" s="161"/>
      <c r="V912" s="161"/>
      <c r="W912" s="161"/>
      <c r="X912" s="161"/>
      <c r="Y912" s="161"/>
      <c r="Z912" s="161"/>
      <c r="AA912" s="161"/>
      <c r="AB912" s="161"/>
    </row>
    <row r="913" ht="15.75" customHeight="1">
      <c r="A913" s="144">
        <v>45916</v>
      </c>
      <c r="B913" t="s" s="17">
        <v>1009</v>
      </c>
      <c r="C913" t="s" s="55">
        <v>1004</v>
      </c>
      <c r="D913" t="s" s="18">
        <v>1010</v>
      </c>
      <c r="E913" s="39"/>
      <c r="F913" s="40"/>
      <c r="G913" s="41">
        <v>169787.2</v>
      </c>
      <c r="H913" s="52" cm="1">
        <f t="array" ref="H913">G913/I913</f>
        <v>117.499792387543</v>
      </c>
      <c r="I913" s="43">
        <v>1445</v>
      </c>
      <c r="J913" s="44"/>
      <c r="K913" s="40"/>
      <c r="L913" s="148"/>
      <c r="M913" s="149"/>
      <c r="N913" s="149"/>
      <c r="O913" s="149"/>
      <c r="P913" s="149"/>
      <c r="Q913" s="149"/>
      <c r="R913" s="149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</row>
    <row r="914" ht="15.75" customHeight="1">
      <c r="A914" s="151">
        <v>45917</v>
      </c>
      <c r="B914" t="s" s="84">
        <v>1011</v>
      </c>
      <c r="C914" t="s" s="54">
        <v>1000</v>
      </c>
      <c r="D914" t="s" s="48">
        <v>1012</v>
      </c>
      <c r="E914" s="49"/>
      <c r="F914" s="50"/>
      <c r="G914" s="51">
        <v>18845.7</v>
      </c>
      <c r="H914" s="52" cm="1">
        <f t="array" ref="H914">G914/I914</f>
        <v>12.9523711340206</v>
      </c>
      <c r="I914" s="53">
        <v>1455</v>
      </c>
      <c r="J914" s="102"/>
      <c r="K914" s="50"/>
      <c r="L914" s="103"/>
      <c r="M914" s="104"/>
      <c r="N914" s="104"/>
      <c r="O914" s="104"/>
      <c r="P914" s="104"/>
      <c r="Q914" s="104"/>
      <c r="R914" s="104"/>
      <c r="S914" s="160"/>
      <c r="T914" s="161"/>
      <c r="U914" s="161"/>
      <c r="V914" s="161"/>
      <c r="W914" s="161"/>
      <c r="X914" s="161"/>
      <c r="Y914" s="161"/>
      <c r="Z914" s="161"/>
      <c r="AA914" s="161"/>
      <c r="AB914" s="161"/>
    </row>
    <row r="915" ht="15.75" customHeight="1">
      <c r="A915" s="144">
        <v>45919</v>
      </c>
      <c r="B915" s="37"/>
      <c r="C915" t="s" s="55">
        <v>919</v>
      </c>
      <c r="D915" t="s" s="18">
        <v>1013</v>
      </c>
      <c r="E915" s="39"/>
      <c r="F915" s="40"/>
      <c r="G915" s="41">
        <v>52912.74</v>
      </c>
      <c r="H915" s="52" cm="1">
        <f t="array" ref="H915">G915/I915</f>
        <v>35.27516</v>
      </c>
      <c r="I915" s="43">
        <v>1500</v>
      </c>
      <c r="J915" s="44"/>
      <c r="K915" s="40"/>
      <c r="L915" s="162"/>
      <c r="M915" s="159"/>
      <c r="N915" s="159"/>
      <c r="O915" s="159"/>
      <c r="P915" s="159"/>
      <c r="Q915" s="159"/>
      <c r="R915" s="159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</row>
    <row r="916" ht="15.75" customHeight="1">
      <c r="A916" s="151">
        <v>45920</v>
      </c>
      <c r="B916" t="s" s="84">
        <v>1014</v>
      </c>
      <c r="C916" t="s" s="54">
        <v>1015</v>
      </c>
      <c r="D916" t="s" s="48">
        <v>1016</v>
      </c>
      <c r="E916" s="49"/>
      <c r="F916" s="50"/>
      <c r="G916" s="51">
        <v>401460.5</v>
      </c>
      <c r="H916" s="52" cm="1">
        <f t="array" ref="H916">G916/I916</f>
        <v>269.436577181208</v>
      </c>
      <c r="I916" s="53">
        <v>1490</v>
      </c>
      <c r="J916" s="102"/>
      <c r="K916" s="50"/>
      <c r="L916" s="163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</row>
    <row r="917" ht="15.75" customHeight="1">
      <c r="A917" s="144">
        <v>45923</v>
      </c>
      <c r="B917" t="s" s="17">
        <v>1017</v>
      </c>
      <c r="C917" t="s" s="55">
        <v>1018</v>
      </c>
      <c r="D917" t="s" s="18">
        <v>1019</v>
      </c>
      <c r="E917" s="39"/>
      <c r="F917" s="40"/>
      <c r="G917" s="41">
        <v>15547689.88</v>
      </c>
      <c r="H917" s="52" cm="1">
        <f t="array" ref="H917">G917/I917</f>
        <v>10612.7575972696</v>
      </c>
      <c r="I917" s="43">
        <v>1465</v>
      </c>
      <c r="J917" s="44"/>
      <c r="K917" s="40"/>
      <c r="L917" s="163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</row>
    <row r="918" ht="15.75" customHeight="1">
      <c r="A918" s="151">
        <v>45923</v>
      </c>
      <c r="B918" s="46"/>
      <c r="C918" t="s" s="54">
        <v>455</v>
      </c>
      <c r="D918" t="s" s="48">
        <v>992</v>
      </c>
      <c r="E918" s="49"/>
      <c r="F918" s="50"/>
      <c r="G918" s="51">
        <v>831916.99</v>
      </c>
      <c r="H918" s="52" cm="1">
        <f t="array" ref="H918">G918/I918</f>
        <v>567.861426621160</v>
      </c>
      <c r="I918" s="53">
        <v>1465</v>
      </c>
      <c r="J918" s="102"/>
      <c r="K918" s="50"/>
      <c r="L918" s="163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</row>
    <row r="919" ht="15.75" customHeight="1">
      <c r="A919" s="144">
        <v>45926</v>
      </c>
      <c r="B919" t="s" s="17">
        <v>1020</v>
      </c>
      <c r="C919" t="s" s="55">
        <v>1021</v>
      </c>
      <c r="D919" t="s" s="18">
        <v>1022</v>
      </c>
      <c r="E919" s="39"/>
      <c r="F919" s="40"/>
      <c r="G919" s="41">
        <v>963000</v>
      </c>
      <c r="H919" s="52" cm="1">
        <f t="array" ref="H919">G919/I919</f>
        <v>644.147157190635</v>
      </c>
      <c r="I919" s="43">
        <v>1495</v>
      </c>
      <c r="J919" s="44"/>
      <c r="K919" s="40"/>
      <c r="L919" s="163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</row>
    <row r="920" ht="15.75" customHeight="1">
      <c r="A920" s="151">
        <v>45926</v>
      </c>
      <c r="B920" t="s" s="84">
        <v>1023</v>
      </c>
      <c r="C920" t="s" s="54">
        <v>1000</v>
      </c>
      <c r="D920" t="s" s="48">
        <v>967</v>
      </c>
      <c r="E920" s="49"/>
      <c r="F920" s="50"/>
      <c r="G920" s="51">
        <v>44859.24</v>
      </c>
      <c r="H920" s="52" cm="1">
        <f t="array" ref="H920">G920/I920</f>
        <v>30.0061806020067</v>
      </c>
      <c r="I920" s="53">
        <v>1495</v>
      </c>
      <c r="J920" s="102"/>
      <c r="K920" s="50"/>
      <c r="L920" s="163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</row>
    <row r="921" ht="15.75" customHeight="1">
      <c r="A921" s="144">
        <v>45932</v>
      </c>
      <c r="B921" t="s" s="17">
        <v>1024</v>
      </c>
      <c r="C921" t="s" s="55">
        <v>1025</v>
      </c>
      <c r="D921" t="s" s="18">
        <v>1026</v>
      </c>
      <c r="E921" s="39"/>
      <c r="F921" s="40"/>
      <c r="G921" s="41">
        <v>22414279.5</v>
      </c>
      <c r="H921" s="52" cm="1">
        <f t="array" ref="H921">G921/I921</f>
        <v>15299.8494880546</v>
      </c>
      <c r="I921" s="43">
        <v>1465</v>
      </c>
      <c r="J921" s="44"/>
      <c r="K921" s="40"/>
      <c r="L921" s="163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</row>
    <row r="922" ht="15.75" customHeight="1">
      <c r="A922" s="164">
        <v>45932</v>
      </c>
      <c r="B922" t="s" s="84">
        <v>1027</v>
      </c>
      <c r="C922" t="s" s="54">
        <v>1025</v>
      </c>
      <c r="D922" t="s" s="48">
        <v>1026</v>
      </c>
      <c r="E922" s="49"/>
      <c r="F922" s="50"/>
      <c r="G922" s="51">
        <v>22542039.41</v>
      </c>
      <c r="H922" s="52" cm="1">
        <f t="array" ref="H922">G922/I922</f>
        <v>15387.0576177474</v>
      </c>
      <c r="I922" s="53">
        <v>1465</v>
      </c>
      <c r="J922" s="102"/>
      <c r="K922" s="50"/>
      <c r="L922" s="163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</row>
    <row r="923" ht="15.75" customHeight="1">
      <c r="A923" s="157">
        <v>45932</v>
      </c>
      <c r="B923" t="s" s="17">
        <v>1028</v>
      </c>
      <c r="C923" t="s" s="55">
        <v>1025</v>
      </c>
      <c r="D923" t="s" s="18">
        <v>1026</v>
      </c>
      <c r="E923" s="39"/>
      <c r="F923" s="40"/>
      <c r="G923" s="41">
        <v>955377.11</v>
      </c>
      <c r="H923" s="52" cm="1">
        <f t="array" ref="H923">G923/I923</f>
        <v>652.134546075085</v>
      </c>
      <c r="I923" s="43">
        <v>1465</v>
      </c>
      <c r="J923" s="44"/>
      <c r="K923" s="40"/>
      <c r="L923" s="92"/>
      <c r="M923" s="93"/>
      <c r="N923" s="93"/>
      <c r="O923" s="93"/>
      <c r="P923" s="93"/>
      <c r="Q923" s="93"/>
      <c r="R923" s="93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</row>
    <row r="924" ht="15.75" customHeight="1">
      <c r="A924" s="164">
        <v>45932</v>
      </c>
      <c r="B924" t="s" s="84">
        <v>1029</v>
      </c>
      <c r="C924" t="s" s="54">
        <v>1025</v>
      </c>
      <c r="D924" t="s" s="48">
        <v>1026</v>
      </c>
      <c r="E924" s="49"/>
      <c r="F924" s="50"/>
      <c r="G924" s="51">
        <v>1022530.98</v>
      </c>
      <c r="H924" s="52" cm="1">
        <f t="array" ref="H924">G924/I924</f>
        <v>697.9733651877129</v>
      </c>
      <c r="I924" s="53">
        <v>1465</v>
      </c>
      <c r="J924" s="102"/>
      <c r="K924" s="50"/>
      <c r="L924" s="103"/>
      <c r="M924" s="104"/>
      <c r="N924" s="104"/>
      <c r="O924" s="104"/>
      <c r="P924" s="104"/>
      <c r="Q924" s="104"/>
      <c r="R924" s="104"/>
      <c r="S924" s="160"/>
      <c r="T924" s="161"/>
      <c r="U924" s="161"/>
      <c r="V924" s="161"/>
      <c r="W924" s="161"/>
      <c r="X924" s="161"/>
      <c r="Y924" s="161"/>
      <c r="Z924" s="161"/>
      <c r="AA924" s="161"/>
      <c r="AB924" s="161"/>
    </row>
    <row r="925" ht="15.75" customHeight="1">
      <c r="A925" s="157">
        <v>45933</v>
      </c>
      <c r="B925" t="s" s="17">
        <v>1030</v>
      </c>
      <c r="C925" t="s" s="55">
        <v>1031</v>
      </c>
      <c r="D925" t="s" s="18">
        <v>1032</v>
      </c>
      <c r="E925" s="39"/>
      <c r="F925" s="40"/>
      <c r="G925" s="51">
        <v>70000</v>
      </c>
      <c r="H925" s="52" cm="1">
        <f t="array" ref="H925">G925/I925</f>
        <v>48.6111111111111</v>
      </c>
      <c r="I925" s="53">
        <v>1440</v>
      </c>
      <c r="J925" s="44"/>
      <c r="K925" s="40"/>
      <c r="L925" s="148"/>
      <c r="M925" s="149"/>
      <c r="N925" s="149"/>
      <c r="O925" s="149"/>
      <c r="P925" s="149"/>
      <c r="Q925" s="149"/>
      <c r="R925" s="149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</row>
    <row r="926" ht="15.75" customHeight="1">
      <c r="A926" s="164">
        <v>45938</v>
      </c>
      <c r="B926" t="s" s="84">
        <v>1033</v>
      </c>
      <c r="C926" t="s" s="54">
        <v>1034</v>
      </c>
      <c r="D926" t="s" s="48">
        <v>1035</v>
      </c>
      <c r="E926" s="49"/>
      <c r="F926" s="50"/>
      <c r="G926" s="41">
        <v>1840997.84</v>
      </c>
      <c r="H926" s="52" cm="1">
        <f t="array" ref="H926">G926/I926</f>
        <v>1265.290611683850</v>
      </c>
      <c r="I926" s="43">
        <v>1455</v>
      </c>
      <c r="J926" s="102"/>
      <c r="K926" s="50"/>
      <c r="L926" s="103"/>
      <c r="M926" s="104"/>
      <c r="N926" s="104"/>
      <c r="O926" s="104"/>
      <c r="P926" s="104"/>
      <c r="Q926" s="104"/>
      <c r="R926" s="104"/>
      <c r="S926" s="160"/>
      <c r="T926" s="161"/>
      <c r="U926" s="161"/>
      <c r="V926" s="161"/>
      <c r="W926" s="161"/>
      <c r="X926" s="161"/>
      <c r="Y926" s="161"/>
      <c r="Z926" s="161"/>
      <c r="AA926" s="161"/>
      <c r="AB926" s="161"/>
    </row>
    <row r="927" ht="15.75" customHeight="1">
      <c r="A927" s="157">
        <v>45939</v>
      </c>
      <c r="B927" t="s" s="17">
        <v>1036</v>
      </c>
      <c r="C927" t="s" s="55">
        <v>1037</v>
      </c>
      <c r="D927" t="s" s="48">
        <v>1038</v>
      </c>
      <c r="E927" s="39"/>
      <c r="F927" s="40"/>
      <c r="G927" s="51">
        <v>1584000.01</v>
      </c>
      <c r="H927" s="52" cm="1">
        <f t="array" ref="H927">G927/I927</f>
        <v>1073.898311864410</v>
      </c>
      <c r="I927" s="53">
        <v>1475</v>
      </c>
      <c r="J927" s="44"/>
      <c r="K927" s="40"/>
      <c r="L927" s="148"/>
      <c r="M927" s="149"/>
      <c r="N927" s="149"/>
      <c r="O927" s="149"/>
      <c r="P927" s="149"/>
      <c r="Q927" s="149"/>
      <c r="R927" s="149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</row>
    <row r="928" ht="15.75" customHeight="1">
      <c r="A928" s="151">
        <v>45939</v>
      </c>
      <c r="B928" s="46"/>
      <c r="C928" t="s" s="54">
        <v>919</v>
      </c>
      <c r="D928" t="s" s="48">
        <v>1039</v>
      </c>
      <c r="E928" s="49"/>
      <c r="F928" s="50"/>
      <c r="G928" s="41">
        <v>55935.05</v>
      </c>
      <c r="H928" s="52" cm="1">
        <f t="array" ref="H928">G928/I928</f>
        <v>37.9220677966102</v>
      </c>
      <c r="I928" s="43">
        <v>1475</v>
      </c>
      <c r="J928" s="102"/>
      <c r="K928" s="50"/>
      <c r="L928" s="103"/>
      <c r="M928" s="104"/>
      <c r="N928" s="104"/>
      <c r="O928" s="104"/>
      <c r="P928" s="104"/>
      <c r="Q928" s="104"/>
      <c r="R928" s="104"/>
      <c r="S928" s="160"/>
      <c r="T928" s="161"/>
      <c r="U928" s="161"/>
      <c r="V928" s="161"/>
      <c r="W928" s="161"/>
      <c r="X928" s="161"/>
      <c r="Y928" s="161"/>
      <c r="Z928" s="161"/>
      <c r="AA928" s="161"/>
      <c r="AB928" s="161"/>
    </row>
    <row r="929" ht="15.75" customHeight="1">
      <c r="A929" s="151">
        <v>45943</v>
      </c>
      <c r="B929" t="s" s="84">
        <v>1040</v>
      </c>
      <c r="C929" t="s" s="54">
        <v>1018</v>
      </c>
      <c r="D929" t="s" s="48">
        <v>1041</v>
      </c>
      <c r="E929" s="49"/>
      <c r="F929" s="50"/>
      <c r="G929" s="41">
        <v>662557.6899999999</v>
      </c>
      <c r="H929" s="52" cm="1">
        <f t="array" ref="H929">G929/I929</f>
        <v>452.257808873720</v>
      </c>
      <c r="I929" s="43">
        <v>1465</v>
      </c>
      <c r="J929" s="102"/>
      <c r="K929" s="50"/>
      <c r="L929" s="103"/>
      <c r="M929" s="104"/>
      <c r="N929" s="104"/>
      <c r="O929" s="104"/>
      <c r="P929" s="104"/>
      <c r="Q929" s="104"/>
      <c r="R929" s="104"/>
      <c r="S929" s="160"/>
      <c r="T929" s="161"/>
      <c r="U929" s="161"/>
      <c r="V929" s="161"/>
      <c r="W929" s="161"/>
      <c r="X929" s="161"/>
      <c r="Y929" s="161"/>
      <c r="Z929" s="161"/>
      <c r="AA929" s="161"/>
      <c r="AB929" s="161"/>
    </row>
    <row r="930" ht="15.75" customHeight="1">
      <c r="A930" s="144">
        <v>45943</v>
      </c>
      <c r="B930" t="s" s="17">
        <v>1042</v>
      </c>
      <c r="C930" t="s" s="55">
        <v>1043</v>
      </c>
      <c r="D930" t="s" s="18">
        <v>1044</v>
      </c>
      <c r="E930" s="39"/>
      <c r="F930" s="40"/>
      <c r="G930" s="51">
        <v>3630000</v>
      </c>
      <c r="H930" s="52" cm="1">
        <f t="array" ref="H930">G930/I930</f>
        <v>2477.8156996587</v>
      </c>
      <c r="I930" s="53">
        <v>1465</v>
      </c>
      <c r="J930" s="44"/>
      <c r="K930" s="40"/>
      <c r="L930" s="148"/>
      <c r="M930" s="149"/>
      <c r="N930" s="149"/>
      <c r="O930" s="149"/>
      <c r="P930" s="149"/>
      <c r="Q930" s="149"/>
      <c r="R930" s="149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</row>
    <row r="931" ht="15.75" customHeight="1">
      <c r="A931" s="151">
        <v>45950</v>
      </c>
      <c r="B931" t="s" s="84">
        <v>1045</v>
      </c>
      <c r="C931" t="s" s="54">
        <v>455</v>
      </c>
      <c r="D931" t="s" s="48">
        <v>1013</v>
      </c>
      <c r="E931" s="49"/>
      <c r="F931" s="50"/>
      <c r="G931" s="41">
        <v>836236.28</v>
      </c>
      <c r="H931" s="52" cm="1">
        <f t="array" ref="H931">G931/I931</f>
        <v>566.939850847458</v>
      </c>
      <c r="I931" s="43">
        <v>1475</v>
      </c>
      <c r="J931" s="102"/>
      <c r="K931" s="50"/>
      <c r="L931" s="103"/>
      <c r="M931" s="104"/>
      <c r="N931" s="104"/>
      <c r="O931" s="104"/>
      <c r="P931" s="104"/>
      <c r="Q931" s="104"/>
      <c r="R931" s="104"/>
      <c r="S931" s="160"/>
      <c r="T931" s="161"/>
      <c r="U931" s="161"/>
      <c r="V931" s="161"/>
      <c r="W931" s="161"/>
      <c r="X931" s="161"/>
      <c r="Y931" s="161"/>
      <c r="Z931" s="161"/>
      <c r="AA931" s="161"/>
      <c r="AB931" s="161"/>
    </row>
    <row r="932" ht="15.75" customHeight="1">
      <c r="A932" s="144">
        <v>45950</v>
      </c>
      <c r="B932" t="s" s="17">
        <v>1045</v>
      </c>
      <c r="C932" t="s" s="55">
        <v>997</v>
      </c>
      <c r="D932" t="s" s="18">
        <v>1013</v>
      </c>
      <c r="E932" s="39"/>
      <c r="F932" s="40"/>
      <c r="G932" s="41">
        <v>211101.97</v>
      </c>
      <c r="H932" s="52" cm="1">
        <f t="array" ref="H932">G932/I932</f>
        <v>143.119979661017</v>
      </c>
      <c r="I932" s="43">
        <v>1475</v>
      </c>
      <c r="J932" s="44"/>
      <c r="K932" s="40"/>
      <c r="L932" s="148"/>
      <c r="M932" s="149"/>
      <c r="N932" s="149"/>
      <c r="O932" s="149"/>
      <c r="P932" s="149"/>
      <c r="Q932" s="149"/>
      <c r="R932" s="149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</row>
    <row r="933" ht="15.75" customHeight="1">
      <c r="A933" s="63">
        <v>30102025</v>
      </c>
      <c r="B933" t="s" s="84">
        <v>1046</v>
      </c>
      <c r="C933" t="s" s="54">
        <v>1047</v>
      </c>
      <c r="D933" t="s" s="48">
        <v>1032</v>
      </c>
      <c r="E933" s="49"/>
      <c r="F933" s="50"/>
      <c r="G933" s="51">
        <v>70000</v>
      </c>
      <c r="H933" s="52" cm="1">
        <f t="array" ref="H933">G933/I933</f>
        <v>47.9452054794521</v>
      </c>
      <c r="I933" s="53">
        <v>1460</v>
      </c>
      <c r="J933" s="102"/>
      <c r="K933" s="50"/>
      <c r="L933" s="103"/>
      <c r="M933" s="104"/>
      <c r="N933" s="104"/>
      <c r="O933" s="104"/>
      <c r="P933" s="104"/>
      <c r="Q933" s="104"/>
      <c r="R933" s="104"/>
      <c r="S933" s="160"/>
      <c r="T933" s="161"/>
      <c r="U933" s="161"/>
      <c r="V933" s="161"/>
      <c r="W933" s="161"/>
      <c r="X933" s="161"/>
      <c r="Y933" s="161"/>
      <c r="Z933" s="161"/>
      <c r="AA933" s="161"/>
      <c r="AB933" s="161"/>
    </row>
    <row r="934" ht="15.75" customHeight="1">
      <c r="A934" s="157">
        <v>45964</v>
      </c>
      <c r="B934" t="s" s="17">
        <v>1048</v>
      </c>
      <c r="C934" t="s" s="55">
        <v>1043</v>
      </c>
      <c r="D934" t="s" s="18">
        <v>1044</v>
      </c>
      <c r="E934" s="39"/>
      <c r="F934" s="40"/>
      <c r="G934" s="41">
        <v>3630000</v>
      </c>
      <c r="H934" s="52" cm="1">
        <f t="array" ref="H934">G934/I934</f>
        <v>2529.616724738680</v>
      </c>
      <c r="I934" s="43">
        <v>1435</v>
      </c>
      <c r="J934" s="44"/>
      <c r="K934" s="40"/>
      <c r="L934" s="162"/>
      <c r="M934" s="159"/>
      <c r="N934" s="159"/>
      <c r="O934" s="159"/>
      <c r="P934" s="159"/>
      <c r="Q934" s="159"/>
      <c r="R934" s="159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</row>
    <row r="935" ht="15.75" customHeight="1">
      <c r="A935" s="151">
        <v>45971</v>
      </c>
      <c r="B935" s="46"/>
      <c r="C935" t="s" s="54">
        <v>919</v>
      </c>
      <c r="D935" t="s" s="48">
        <v>1049</v>
      </c>
      <c r="E935" s="49"/>
      <c r="F935" s="50"/>
      <c r="G935" s="51">
        <v>54371.64</v>
      </c>
      <c r="H935" s="52" cm="1">
        <f t="array" ref="H935">G935/I935</f>
        <v>38.6986761565836</v>
      </c>
      <c r="I935" s="53">
        <v>1405</v>
      </c>
      <c r="J935" s="102"/>
      <c r="K935" s="50"/>
      <c r="L935" s="163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</row>
    <row r="936" ht="15.75" customHeight="1">
      <c r="A936" s="144">
        <v>45971</v>
      </c>
      <c r="B936" s="37"/>
      <c r="C936" t="s" s="55">
        <v>21</v>
      </c>
      <c r="D936" t="s" s="18">
        <v>1050</v>
      </c>
      <c r="E936" s="39"/>
      <c r="F936" s="40"/>
      <c r="G936" s="41">
        <v>211101.97</v>
      </c>
      <c r="H936" s="42" cm="1">
        <f t="array" ref="H936">G936/I936</f>
        <v>150.250512455516</v>
      </c>
      <c r="I936" s="43">
        <v>1405</v>
      </c>
      <c r="J936" s="44"/>
      <c r="K936" s="40"/>
      <c r="L936" s="163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</row>
    <row r="937" ht="15.75" customHeight="1">
      <c r="A937" s="151">
        <v>45973</v>
      </c>
      <c r="B937" t="s" s="84">
        <v>1051</v>
      </c>
      <c r="C937" t="s" s="54">
        <v>1006</v>
      </c>
      <c r="D937" t="s" s="48">
        <v>1052</v>
      </c>
      <c r="E937" s="49"/>
      <c r="F937" s="50"/>
      <c r="G937" s="51">
        <v>33855.27</v>
      </c>
      <c r="H937" s="52" cm="1">
        <f t="array" ref="H937">G937/I937</f>
        <v>23.675013986014</v>
      </c>
      <c r="I937" s="53">
        <v>1430</v>
      </c>
      <c r="J937" s="102"/>
      <c r="K937" s="50"/>
      <c r="L937" s="163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</row>
    <row r="938" ht="15.75" customHeight="1">
      <c r="A938" s="144">
        <v>45973</v>
      </c>
      <c r="B938" t="s" s="17">
        <v>1053</v>
      </c>
      <c r="C938" t="s" s="55">
        <v>1006</v>
      </c>
      <c r="D938" t="s" s="18">
        <v>1054</v>
      </c>
      <c r="E938" s="39"/>
      <c r="F938" s="40"/>
      <c r="G938" s="41">
        <v>123772.78</v>
      </c>
      <c r="H938" s="52" cm="1">
        <f t="array" ref="H938">G938/I938</f>
        <v>86.5543916083916</v>
      </c>
      <c r="I938" s="43">
        <v>1430</v>
      </c>
      <c r="J938" s="44"/>
      <c r="K938" s="40"/>
      <c r="L938" s="163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</row>
    <row r="939" ht="15.75" customHeight="1">
      <c r="A939" s="151">
        <v>45973</v>
      </c>
      <c r="B939" t="s" s="84">
        <v>1055</v>
      </c>
      <c r="C939" t="s" s="54">
        <v>1056</v>
      </c>
      <c r="D939" t="s" s="48">
        <v>1057</v>
      </c>
      <c r="E939" s="49"/>
      <c r="F939" s="50"/>
      <c r="G939" s="51">
        <v>18817920</v>
      </c>
      <c r="H939" s="52" cm="1">
        <f t="array" ref="H939">G939/I939</f>
        <v>13159.3846153846</v>
      </c>
      <c r="I939" s="53">
        <v>1430</v>
      </c>
      <c r="J939" s="102"/>
      <c r="K939" s="50"/>
      <c r="L939" s="163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</row>
    <row r="940" ht="15.75" customHeight="1">
      <c r="A940" s="144">
        <v>45978</v>
      </c>
      <c r="B940" t="s" s="17">
        <v>1058</v>
      </c>
      <c r="C940" t="s" s="55">
        <v>1059</v>
      </c>
      <c r="D940" t="s" s="18">
        <v>1060</v>
      </c>
      <c r="E940" s="39"/>
      <c r="F940" s="40"/>
      <c r="G940" s="41">
        <v>340000</v>
      </c>
      <c r="H940" s="52" cm="1">
        <f t="array" ref="H940">G940/I940</f>
        <v>238.931834153197</v>
      </c>
      <c r="I940" s="43">
        <v>1423</v>
      </c>
      <c r="J940" s="44"/>
      <c r="K940" s="40"/>
      <c r="L940" s="163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</row>
    <row r="941" ht="15.75" customHeight="1">
      <c r="A941" s="151">
        <v>45980</v>
      </c>
      <c r="B941" s="46"/>
      <c r="C941" t="s" s="54">
        <v>455</v>
      </c>
      <c r="D941" t="s" s="48">
        <v>1050</v>
      </c>
      <c r="E941" s="49"/>
      <c r="F941" s="50"/>
      <c r="G941" s="51">
        <v>852986.09</v>
      </c>
      <c r="H941" s="52" cm="1">
        <f t="array" ref="H941">G941/I941</f>
        <v>600.694429577465</v>
      </c>
      <c r="I941" s="53">
        <v>1420</v>
      </c>
      <c r="J941" s="102"/>
      <c r="K941" s="50"/>
      <c r="L941" s="163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</row>
    <row r="942" ht="15.75" customHeight="1">
      <c r="A942" s="144">
        <v>45981</v>
      </c>
      <c r="B942" t="s" s="17">
        <v>1061</v>
      </c>
      <c r="C942" t="s" s="55">
        <v>1047</v>
      </c>
      <c r="D942" t="s" s="18">
        <v>1032</v>
      </c>
      <c r="E942" s="39"/>
      <c r="F942" s="40"/>
      <c r="G942" s="41">
        <v>70000</v>
      </c>
      <c r="H942" s="42" cm="1">
        <f t="array" ref="H942">G942/I942</f>
        <v>49.469964664311</v>
      </c>
      <c r="I942" s="43">
        <v>1415</v>
      </c>
      <c r="J942" s="44"/>
      <c r="K942" s="40"/>
      <c r="L942" s="163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</row>
    <row r="943" ht="15.75" customHeight="1">
      <c r="A943" s="151">
        <v>45989</v>
      </c>
      <c r="B943" t="s" s="84">
        <v>1062</v>
      </c>
      <c r="C943" t="s" s="54">
        <v>1063</v>
      </c>
      <c r="D943" t="s" s="48">
        <v>1064</v>
      </c>
      <c r="E943" s="49"/>
      <c r="F943" s="50"/>
      <c r="G943" s="51">
        <v>6000000</v>
      </c>
      <c r="H943" s="52" cm="1">
        <f t="array" ref="H943">G943/I943</f>
        <v>4192.872117400420</v>
      </c>
      <c r="I943" s="53">
        <v>1431</v>
      </c>
      <c r="J943" s="102"/>
      <c r="K943" s="50"/>
      <c r="L943" s="163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</row>
    <row r="944" ht="15.75" customHeight="1">
      <c r="A944" s="144">
        <v>45989</v>
      </c>
      <c r="B944" t="s" s="17">
        <v>1065</v>
      </c>
      <c r="C944" t="s" s="55">
        <v>1066</v>
      </c>
      <c r="D944" t="s" s="18">
        <v>1067</v>
      </c>
      <c r="E944" s="39"/>
      <c r="F944" s="40"/>
      <c r="G944" s="41">
        <v>16800000</v>
      </c>
      <c r="H944" s="52" cm="1">
        <f t="array" ref="H944">G944/I944</f>
        <v>10902.0116807268</v>
      </c>
      <c r="I944" s="43">
        <v>1541</v>
      </c>
      <c r="J944" s="44"/>
      <c r="K944" s="40"/>
      <c r="L944" s="163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</row>
    <row r="945" ht="15.75" customHeight="1">
      <c r="A945" s="151">
        <v>46000</v>
      </c>
      <c r="B945" s="46"/>
      <c r="C945" t="s" s="54">
        <v>21</v>
      </c>
      <c r="D945" t="s" s="48">
        <v>1068</v>
      </c>
      <c r="E945" s="49"/>
      <c r="F945" s="50"/>
      <c r="G945" s="51">
        <v>211101.97</v>
      </c>
      <c r="H945" s="52" cm="1">
        <f t="array" ref="H945">G945/I945</f>
        <v>147.109386759582</v>
      </c>
      <c r="I945" s="53">
        <v>1435</v>
      </c>
      <c r="J945" s="102"/>
      <c r="K945" s="50"/>
      <c r="L945" s="163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</row>
    <row r="946" ht="15.75" customHeight="1">
      <c r="A946" s="144">
        <v>46003</v>
      </c>
      <c r="B946" t="s" s="17">
        <v>1069</v>
      </c>
      <c r="C946" t="s" s="55">
        <v>1047</v>
      </c>
      <c r="D946" t="s" s="18">
        <v>1032</v>
      </c>
      <c r="E946" s="39"/>
      <c r="F946" s="40"/>
      <c r="G946" s="41">
        <v>75000</v>
      </c>
      <c r="H946" s="42" cm="1">
        <f t="array" ref="H946">G946/I946</f>
        <v>50.3355704697987</v>
      </c>
      <c r="I946" s="43">
        <v>1490</v>
      </c>
      <c r="J946" s="44"/>
      <c r="K946" s="40"/>
      <c r="L946" s="163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</row>
    <row r="947" ht="15.75" customHeight="1">
      <c r="A947" s="151">
        <v>46010</v>
      </c>
      <c r="B947" s="63">
        <v>17004</v>
      </c>
      <c r="C947" t="s" s="54">
        <v>1070</v>
      </c>
      <c r="D947" t="s" s="48">
        <v>1071</v>
      </c>
      <c r="E947" s="49"/>
      <c r="F947" s="50"/>
      <c r="G947" s="51">
        <v>6624.75</v>
      </c>
      <c r="H947" s="52" cm="1">
        <f t="array" ref="H947">G947/I947</f>
        <v>4.49135593220339</v>
      </c>
      <c r="I947" s="53">
        <v>1475</v>
      </c>
      <c r="J947" s="102"/>
      <c r="K947" s="50"/>
      <c r="L947" s="163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</row>
    <row r="948" ht="15.75" customHeight="1">
      <c r="A948" s="144">
        <v>46014</v>
      </c>
      <c r="B948" s="37"/>
      <c r="C948" t="s" s="55">
        <v>79</v>
      </c>
      <c r="D948" t="s" s="18">
        <v>1049</v>
      </c>
      <c r="E948" s="39"/>
      <c r="F948" s="40"/>
      <c r="G948" s="41">
        <v>942919.5699999999</v>
      </c>
      <c r="H948" s="42" cm="1">
        <f t="array" ref="H948">G948/I948</f>
        <v>630.715431438127</v>
      </c>
      <c r="I948" s="43">
        <v>1495</v>
      </c>
      <c r="J948" s="44"/>
      <c r="K948" s="40"/>
      <c r="L948" s="163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</row>
    <row r="949" ht="15.75" customHeight="1">
      <c r="A949" s="151">
        <v>46021</v>
      </c>
      <c r="B949" t="s" s="84">
        <v>1062</v>
      </c>
      <c r="C949" t="s" s="54">
        <v>1034</v>
      </c>
      <c r="D949" t="s" s="48">
        <v>1072</v>
      </c>
      <c r="E949" s="49"/>
      <c r="F949" s="50"/>
      <c r="G949" s="51">
        <v>299811</v>
      </c>
      <c r="H949" s="52" cm="1">
        <f t="array" ref="H949">G949/I949</f>
        <v>197.244078947368</v>
      </c>
      <c r="I949" s="53">
        <v>1520</v>
      </c>
      <c r="J949" s="102"/>
      <c r="K949" s="50"/>
      <c r="L949" s="163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</row>
    <row r="950" ht="15.75" customHeight="1">
      <c r="A950" s="157">
        <v>46031</v>
      </c>
      <c r="B950" s="37"/>
      <c r="C950" t="s" s="55">
        <v>21</v>
      </c>
      <c r="D950" t="s" s="18">
        <v>1073</v>
      </c>
      <c r="E950" s="39"/>
      <c r="F950" s="40"/>
      <c r="G950" s="41">
        <v>2576418.1</v>
      </c>
      <c r="H950" s="52" cm="1">
        <f t="array" ref="H950">G950/I950</f>
        <v>1723.356588628760</v>
      </c>
      <c r="I950" s="43">
        <v>1495</v>
      </c>
      <c r="J950" s="44"/>
      <c r="K950" s="40"/>
      <c r="L950" s="165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  <c r="AB950" s="166"/>
    </row>
    <row r="951" ht="15.75" customHeight="1">
      <c r="A951" s="167">
        <v>46042</v>
      </c>
      <c r="B951" s="129"/>
      <c r="C951" t="s" s="113">
        <v>79</v>
      </c>
      <c r="D951" t="s" s="114">
        <v>1068</v>
      </c>
      <c r="E951" s="115"/>
      <c r="F951" s="98"/>
      <c r="G951" s="130">
        <v>944360.2</v>
      </c>
      <c r="H951" s="118" cm="1">
        <f t="array" ref="H951">G951/I951</f>
        <v>631.6790635451511</v>
      </c>
      <c r="I951" s="119">
        <v>1495</v>
      </c>
      <c r="J951" s="97"/>
      <c r="K951" s="98"/>
      <c r="L951" s="168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  <c r="AA951" s="169"/>
      <c r="AB951" s="170"/>
    </row>
    <row r="952" ht="15.75" customHeight="1">
      <c r="A952" s="171">
        <v>46042</v>
      </c>
      <c r="B952" s="37"/>
      <c r="C952" t="s" s="55">
        <v>14</v>
      </c>
      <c r="D952" t="s" s="18">
        <v>1068</v>
      </c>
      <c r="E952" s="39"/>
      <c r="F952" s="40"/>
      <c r="G952" s="41">
        <v>57240.07</v>
      </c>
      <c r="H952" s="52" cm="1">
        <f t="array" ref="H952">G952/I952</f>
        <v>38.2876722408027</v>
      </c>
      <c r="I952" s="43">
        <v>1495</v>
      </c>
      <c r="J952" s="44"/>
      <c r="K952" s="40"/>
      <c r="L952" s="172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  <c r="AB952" s="173"/>
    </row>
    <row r="953" ht="15.75" customHeight="1">
      <c r="A953" s="167">
        <v>46044</v>
      </c>
      <c r="B953" s="129"/>
      <c r="C953" t="s" s="113">
        <v>14</v>
      </c>
      <c r="D953" t="s" s="114">
        <v>1074</v>
      </c>
      <c r="E953" s="115"/>
      <c r="F953" s="98"/>
      <c r="G953" s="130">
        <v>55062.8</v>
      </c>
      <c r="H953" s="118" cm="1">
        <f t="array" ref="H953">G953/I953</f>
        <v>36.9548993288591</v>
      </c>
      <c r="I953" s="119">
        <v>1490</v>
      </c>
      <c r="J953" s="97"/>
      <c r="K953" s="98"/>
      <c r="L953" s="168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  <c r="AB953" s="170"/>
    </row>
    <row r="954" ht="15.75" customHeight="1">
      <c r="A954" s="157">
        <v>46048</v>
      </c>
      <c r="B954" s="60">
        <v>12</v>
      </c>
      <c r="C954" t="s" s="55">
        <v>129</v>
      </c>
      <c r="D954" t="s" s="18">
        <v>1075</v>
      </c>
      <c r="E954" s="39"/>
      <c r="F954" s="40"/>
      <c r="G954" s="41">
        <v>246500</v>
      </c>
      <c r="H954" s="52" cm="1">
        <f t="array" ref="H954">G954/I954</f>
        <v>166.554054054054</v>
      </c>
      <c r="I954" s="43">
        <v>1480</v>
      </c>
      <c r="J954" s="44"/>
      <c r="K954" s="40"/>
      <c r="L954" s="162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</row>
    <row r="955" ht="15.75" customHeight="1">
      <c r="A955" s="157">
        <v>46051</v>
      </c>
      <c r="B955" t="s" s="17">
        <v>1076</v>
      </c>
      <c r="C955" t="s" s="55">
        <v>1077</v>
      </c>
      <c r="D955" t="s" s="18">
        <v>1044</v>
      </c>
      <c r="E955" s="39"/>
      <c r="F955" s="40"/>
      <c r="G955" s="41">
        <v>3700000</v>
      </c>
      <c r="H955" s="52" cm="1">
        <f t="array" ref="H955">G955/I955</f>
        <v>2508.474576271190</v>
      </c>
      <c r="I955" s="43">
        <v>1475</v>
      </c>
      <c r="J955" s="44"/>
      <c r="K955" s="40"/>
      <c r="L955" s="163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</row>
    <row r="956" ht="15.75" customHeight="1">
      <c r="A956" s="164">
        <v>46066</v>
      </c>
      <c r="B956" t="s" s="84">
        <v>1078</v>
      </c>
      <c r="C956" t="s" s="54">
        <v>129</v>
      </c>
      <c r="D956" t="s" s="48">
        <v>1079</v>
      </c>
      <c r="E956" s="49"/>
      <c r="F956" s="50"/>
      <c r="G956" s="51">
        <v>246500</v>
      </c>
      <c r="H956" s="52" cm="1">
        <f t="array" ref="H956">G956/I956</f>
        <v>172.377622377622</v>
      </c>
      <c r="I956" s="53">
        <v>1430</v>
      </c>
      <c r="J956" s="102"/>
      <c r="K956" s="50"/>
      <c r="L956" s="163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</row>
    <row r="957" ht="15.75" customHeight="1">
      <c r="A957" s="157">
        <v>46071</v>
      </c>
      <c r="B957" s="37"/>
      <c r="C957" t="s" s="55">
        <v>12</v>
      </c>
      <c r="D957" t="s" s="18">
        <v>1073</v>
      </c>
      <c r="E957" s="39"/>
      <c r="F957" s="40"/>
      <c r="G957" s="41">
        <v>1168893.1</v>
      </c>
      <c r="H957" s="42" cm="1">
        <f t="array" ref="H957">G957/I957</f>
        <v>820.275859649123</v>
      </c>
      <c r="I957" s="43">
        <v>1425</v>
      </c>
      <c r="J957" s="44"/>
      <c r="K957" s="40"/>
      <c r="L957" s="163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</row>
    <row r="958" ht="15.75" customHeight="1">
      <c r="A958" s="164">
        <v>46073</v>
      </c>
      <c r="B958" s="46"/>
      <c r="C958" t="s" s="54">
        <v>14</v>
      </c>
      <c r="D958" t="s" s="48">
        <v>956</v>
      </c>
      <c r="E958" s="49"/>
      <c r="F958" s="50"/>
      <c r="G958" s="51">
        <v>54353.5</v>
      </c>
      <c r="H958" s="52" cm="1">
        <f t="array" ref="H958">G958/I958</f>
        <v>38.2771126760563</v>
      </c>
      <c r="I958" s="53">
        <v>1420</v>
      </c>
      <c r="J958" s="102"/>
      <c r="K958" s="50"/>
      <c r="L958" s="163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</row>
    <row r="959" ht="15.75" customHeight="1">
      <c r="A959" s="157">
        <v>46076</v>
      </c>
      <c r="B959" s="37"/>
      <c r="C959" t="s" s="55">
        <v>79</v>
      </c>
      <c r="D959" t="s" s="18">
        <v>1074</v>
      </c>
      <c r="E959" s="39"/>
      <c r="F959" s="40"/>
      <c r="G959" s="41">
        <v>1035079.58</v>
      </c>
      <c r="H959" s="42" cm="1">
        <f t="array" ref="H959">G959/I959</f>
        <v>731.505003533569</v>
      </c>
      <c r="I959" s="43">
        <v>1415</v>
      </c>
      <c r="J959" s="44"/>
      <c r="K959" s="40"/>
      <c r="L959" s="163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</row>
    <row r="960" ht="15.75" customHeight="1">
      <c r="A960" t="s" s="84">
        <v>1080</v>
      </c>
      <c r="B960" t="s" s="84">
        <v>1081</v>
      </c>
      <c r="C960" t="s" s="54">
        <v>1082</v>
      </c>
      <c r="D960" t="s" s="48">
        <v>1083</v>
      </c>
      <c r="E960" s="49"/>
      <c r="F960" s="50"/>
      <c r="G960" s="51">
        <v>27900000</v>
      </c>
      <c r="H960" s="52">
        <v>20000</v>
      </c>
      <c r="I960" s="53">
        <v>1395</v>
      </c>
      <c r="J960" s="102"/>
      <c r="K960" s="50"/>
      <c r="L960" s="163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</row>
    <row r="961" ht="15.75" customHeight="1">
      <c r="A961" s="164">
        <v>46097</v>
      </c>
      <c r="B961" s="46"/>
      <c r="C961" t="s" s="54">
        <v>862</v>
      </c>
      <c r="D961" t="s" s="48">
        <v>1084</v>
      </c>
      <c r="E961" s="49"/>
      <c r="F961" s="50"/>
      <c r="G961" s="51">
        <v>470000</v>
      </c>
      <c r="H961" s="52" cm="1">
        <f t="array" ref="H961">G961/I961</f>
        <v>332.155477031802</v>
      </c>
      <c r="I961" s="53">
        <v>1415</v>
      </c>
      <c r="J961" s="102"/>
      <c r="K961" s="50"/>
      <c r="L961" s="163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</row>
    <row r="962" ht="15.75" customHeight="1">
      <c r="A962" s="157">
        <v>46097</v>
      </c>
      <c r="B962" t="s" s="17">
        <v>1045</v>
      </c>
      <c r="C962" t="s" s="55">
        <v>79</v>
      </c>
      <c r="D962" t="s" s="18">
        <v>1085</v>
      </c>
      <c r="E962" s="39"/>
      <c r="F962" s="40"/>
      <c r="G962" s="41">
        <v>1018416.78</v>
      </c>
      <c r="H962" s="42" cm="1">
        <f t="array" ref="H962">G962/I962</f>
        <v>719.729173144876</v>
      </c>
      <c r="I962" s="43">
        <v>1415</v>
      </c>
      <c r="J962" s="44"/>
      <c r="K962" s="40"/>
      <c r="L962" s="163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</row>
    <row r="963" ht="15.75" customHeight="1">
      <c r="A963" s="164">
        <v>46098</v>
      </c>
      <c r="B963" t="s" s="84">
        <v>1086</v>
      </c>
      <c r="C963" t="s" s="54">
        <v>903</v>
      </c>
      <c r="D963" t="s" s="48">
        <v>1087</v>
      </c>
      <c r="E963" s="174"/>
      <c r="F963" s="175"/>
      <c r="G963" s="51">
        <v>246500</v>
      </c>
      <c r="H963" s="52" cm="1">
        <f t="array" ref="H963">G963/I963</f>
        <v>174.204946996466</v>
      </c>
      <c r="I963" s="53">
        <v>1415</v>
      </c>
      <c r="J963" s="176"/>
      <c r="K963" s="175"/>
      <c r="L963" s="163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</row>
    <row r="964" ht="15.75" customHeight="1">
      <c r="A964" s="157">
        <v>46100</v>
      </c>
      <c r="B964" t="s" s="17">
        <v>1045</v>
      </c>
      <c r="C964" t="s" s="55">
        <v>14</v>
      </c>
      <c r="D964" t="s" s="18">
        <v>1088</v>
      </c>
      <c r="E964" s="177"/>
      <c r="F964" s="178"/>
      <c r="G964" s="41">
        <v>58096.52</v>
      </c>
      <c r="H964" s="52" cm="1">
        <f t="array" ref="H964">G964/I964</f>
        <v>40.7694877192982</v>
      </c>
      <c r="I964" s="43">
        <v>1425</v>
      </c>
      <c r="J964" s="179"/>
      <c r="K964" s="178"/>
      <c r="L964" s="163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</row>
    <row r="965" ht="15.75" customHeight="1">
      <c r="A965" s="164">
        <v>46126</v>
      </c>
      <c r="B965" t="s" s="84">
        <v>1045</v>
      </c>
      <c r="C965" t="s" s="54">
        <v>1089</v>
      </c>
      <c r="D965" t="s" s="48">
        <v>1090</v>
      </c>
      <c r="E965" s="174"/>
      <c r="F965" s="175"/>
      <c r="G965" s="51">
        <v>1218916.3</v>
      </c>
      <c r="H965" s="52" cm="1">
        <f t="array" ref="H965">G965/I965</f>
        <v>873.775125448029</v>
      </c>
      <c r="I965" s="53">
        <v>1395</v>
      </c>
      <c r="J965" s="176"/>
      <c r="K965" s="175"/>
      <c r="L965" s="163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</row>
    <row r="966" ht="15.75" customHeight="1">
      <c r="A966" s="164">
        <v>46130</v>
      </c>
      <c r="B966" t="s" s="84">
        <v>1045</v>
      </c>
      <c r="C966" t="s" s="54">
        <v>919</v>
      </c>
      <c r="D966" t="s" s="48">
        <v>1091</v>
      </c>
      <c r="E966" s="174"/>
      <c r="F966" s="175"/>
      <c r="G966" s="51">
        <v>57097.7</v>
      </c>
      <c r="H966" s="52" cm="1">
        <f t="array" ref="H966">G966/I966</f>
        <v>40.7840714285714</v>
      </c>
      <c r="I966" s="53">
        <v>1400</v>
      </c>
      <c r="J966" s="176"/>
      <c r="K966" s="175"/>
      <c r="L966" s="163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</row>
    <row r="967" ht="15.75" customHeight="1">
      <c r="A967" s="157">
        <v>46133</v>
      </c>
      <c r="B967" t="s" s="17">
        <v>1045</v>
      </c>
      <c r="C967" t="s" s="55">
        <v>455</v>
      </c>
      <c r="D967" t="s" s="18">
        <v>1088</v>
      </c>
      <c r="E967" t="s" s="180">
        <v>1045</v>
      </c>
      <c r="F967" s="181"/>
      <c r="G967" s="41">
        <v>970491.6</v>
      </c>
      <c r="H967" s="52" cm="1">
        <f t="array" ref="H967">G967/I967</f>
        <v>693.208285714286</v>
      </c>
      <c r="I967" s="43">
        <v>1400</v>
      </c>
      <c r="J967" s="179"/>
      <c r="K967" s="178"/>
      <c r="L967" s="163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</row>
    <row r="968" ht="15.75" customHeight="1">
      <c r="A968" s="164">
        <v>46155</v>
      </c>
      <c r="B968" t="s" s="84">
        <v>1092</v>
      </c>
      <c r="C968" t="s" s="54">
        <v>1034</v>
      </c>
      <c r="D968" t="s" s="48">
        <v>1093</v>
      </c>
      <c r="E968" s="174"/>
      <c r="F968" s="175"/>
      <c r="G968" s="51">
        <v>121078.82</v>
      </c>
      <c r="H968" s="52" cm="1">
        <f t="array" ref="H968">G968/I968</f>
        <v>85.87150354609931</v>
      </c>
      <c r="I968" s="53">
        <v>1410</v>
      </c>
      <c r="J968" s="176"/>
      <c r="K968" s="175"/>
      <c r="L968" s="163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</row>
    <row r="969" ht="15.75" customHeight="1">
      <c r="A969" s="164">
        <v>46161</v>
      </c>
      <c r="B969" t="s" s="84">
        <v>1045</v>
      </c>
      <c r="C969" t="s" s="54">
        <v>79</v>
      </c>
      <c r="D969" t="s" s="48">
        <v>1091</v>
      </c>
      <c r="E969" s="174"/>
      <c r="F969" s="175"/>
      <c r="G969" s="51">
        <v>985418.83</v>
      </c>
      <c r="H969" s="52" cm="1">
        <f t="array" ref="H969">G969/I969</f>
        <v>698.8786028368791</v>
      </c>
      <c r="I969" s="53">
        <v>1410</v>
      </c>
      <c r="J969" s="176"/>
      <c r="K969" s="175"/>
      <c r="L969" s="163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</row>
    <row r="970" ht="15.75" customHeight="1">
      <c r="A970" s="157">
        <v>46161</v>
      </c>
      <c r="B970" t="s" s="17">
        <v>1045</v>
      </c>
      <c r="C970" t="s" s="55">
        <v>14</v>
      </c>
      <c r="D970" t="s" s="18">
        <v>1094</v>
      </c>
      <c r="E970" s="177"/>
      <c r="F970" s="178"/>
      <c r="G970" s="41">
        <v>59351.35</v>
      </c>
      <c r="H970" s="52" cm="1">
        <f t="array" ref="H970">G970/I970</f>
        <v>42.0931560283688</v>
      </c>
      <c r="I970" s="43">
        <v>1410</v>
      </c>
      <c r="J970" s="179"/>
      <c r="K970" s="178"/>
      <c r="L970" s="163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</row>
    <row r="971" ht="15.75" customHeight="1">
      <c r="A971" s="164">
        <v>46168</v>
      </c>
      <c r="B971" t="s" s="84">
        <v>1095</v>
      </c>
      <c r="C971" t="s" s="54">
        <v>1096</v>
      </c>
      <c r="D971" t="s" s="48">
        <v>1097</v>
      </c>
      <c r="E971" s="174"/>
      <c r="F971" s="175"/>
      <c r="G971" s="51">
        <v>90000</v>
      </c>
      <c r="H971" s="52" cm="1">
        <f t="array" ref="H971">G971/I971</f>
        <v>62.9370629370629</v>
      </c>
      <c r="I971" s="53">
        <v>1430</v>
      </c>
      <c r="J971" s="176"/>
      <c r="K971" s="175"/>
      <c r="L971" s="163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</row>
    <row r="972" ht="15.75" customHeight="1">
      <c r="A972" s="164">
        <v>46171</v>
      </c>
      <c r="B972" t="s" s="84">
        <v>1098</v>
      </c>
      <c r="C972" t="s" s="54">
        <v>1082</v>
      </c>
      <c r="D972" t="s" s="48">
        <v>1083</v>
      </c>
      <c r="E972" s="174"/>
      <c r="F972" s="175"/>
      <c r="G972" s="51">
        <v>35750000.01</v>
      </c>
      <c r="H972" s="52">
        <v>25000</v>
      </c>
      <c r="I972" s="53">
        <v>1430</v>
      </c>
      <c r="J972" s="176"/>
      <c r="K972" s="175"/>
      <c r="L972" s="163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</row>
    <row r="973" ht="15.75" customHeight="1">
      <c r="A973" s="157">
        <v>46171</v>
      </c>
      <c r="B973" t="s" s="17">
        <v>1099</v>
      </c>
      <c r="C973" t="s" s="55">
        <v>1066</v>
      </c>
      <c r="D973" t="s" s="18">
        <v>1100</v>
      </c>
      <c r="E973" s="177"/>
      <c r="F973" s="178"/>
      <c r="G973" s="41">
        <v>29142861.1515</v>
      </c>
      <c r="H973" s="52">
        <v>21000</v>
      </c>
      <c r="I973" s="43">
        <v>1387</v>
      </c>
      <c r="J973" s="179"/>
      <c r="K973" s="178"/>
      <c r="L973" s="163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</row>
    <row r="974" ht="15.75" customHeight="1">
      <c r="A974" s="164">
        <v>46183</v>
      </c>
      <c r="B974" s="46"/>
      <c r="C974" t="s" s="54">
        <v>14</v>
      </c>
      <c r="D974" t="s" s="48">
        <v>1101</v>
      </c>
      <c r="E974" s="174"/>
      <c r="F974" s="175"/>
      <c r="G974" s="51">
        <v>59351.35</v>
      </c>
      <c r="H974" s="52" cm="1">
        <f t="array" ref="H974">(G974/I974)</f>
        <v>41.2735396383866</v>
      </c>
      <c r="I974" s="53">
        <v>1438</v>
      </c>
      <c r="J974" s="176"/>
      <c r="K974" s="175"/>
      <c r="L974" s="163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</row>
    <row r="975" ht="15.75" customHeight="1">
      <c r="A975" s="157">
        <v>46185</v>
      </c>
      <c r="B975" s="37"/>
      <c r="C975" t="s" s="55">
        <v>455</v>
      </c>
      <c r="D975" t="s" s="18">
        <v>1102</v>
      </c>
      <c r="E975" s="177"/>
      <c r="F975" s="178"/>
      <c r="G975" s="41">
        <v>1012140.55</v>
      </c>
      <c r="H975" s="42" cm="1">
        <f t="array" ref="H975">(G975/I975)</f>
        <v>710.274070175439</v>
      </c>
      <c r="I975" s="43">
        <v>1425</v>
      </c>
      <c r="J975" s="179"/>
      <c r="K975" s="178"/>
      <c r="L975" s="163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</row>
    <row r="976" ht="15.75" customHeight="1">
      <c r="A976" s="164">
        <v>46185</v>
      </c>
      <c r="B976" s="46"/>
      <c r="C976" t="s" s="54">
        <v>1103</v>
      </c>
      <c r="D976" t="s" s="48">
        <v>1104</v>
      </c>
      <c r="E976" s="174"/>
      <c r="F976" s="175"/>
      <c r="G976" s="51">
        <v>1286947.3</v>
      </c>
      <c r="H976" s="52" cm="1">
        <f t="array" ref="H976">(G976/I976)</f>
        <v>903.120912280702</v>
      </c>
      <c r="I976" s="53">
        <v>1425</v>
      </c>
      <c r="J976" s="176"/>
      <c r="K976" s="175"/>
      <c r="L976" s="163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</row>
    <row r="977" ht="15.75" customHeight="1">
      <c r="A977" s="164">
        <v>46186</v>
      </c>
      <c r="B977" s="46"/>
      <c r="C977" t="s" s="54">
        <v>14</v>
      </c>
      <c r="D977" t="s" s="48">
        <v>1105</v>
      </c>
      <c r="E977" s="174"/>
      <c r="F977" s="175"/>
      <c r="G977" s="51">
        <v>66165.679999999993</v>
      </c>
      <c r="H977" s="52" cm="1">
        <f t="array" ref="H977">(G977/I977)</f>
        <v>44.5560134680135</v>
      </c>
      <c r="I977" s="53">
        <v>1485</v>
      </c>
      <c r="J977" s="176"/>
      <c r="K977" s="175"/>
      <c r="L977" s="163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</row>
    <row r="978" ht="15.75" customHeight="1">
      <c r="A978" s="157">
        <v>46224</v>
      </c>
      <c r="B978" s="37"/>
      <c r="C978" t="s" s="55">
        <v>455</v>
      </c>
      <c r="D978" t="s" s="18">
        <v>1101</v>
      </c>
      <c r="E978" s="177"/>
      <c r="F978" s="178"/>
      <c r="G978" s="41">
        <v>1074321.57</v>
      </c>
      <c r="H978" s="42" cm="1">
        <f t="array" ref="H978">(G978/I978)</f>
        <v>699.883758957655</v>
      </c>
      <c r="I978" s="43">
        <v>1535</v>
      </c>
      <c r="J978" s="179"/>
      <c r="K978" s="178"/>
      <c r="L978" s="163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</row>
    <row r="979" ht="15.75" customHeight="1">
      <c r="A979" s="164">
        <v>46237</v>
      </c>
      <c r="B979" t="s" s="84">
        <v>1106</v>
      </c>
      <c r="C979" t="s" s="54">
        <v>1107</v>
      </c>
      <c r="D979" t="s" s="48">
        <v>1108</v>
      </c>
      <c r="E979" s="174"/>
      <c r="F979" s="175"/>
      <c r="G979" s="51">
        <v>700000</v>
      </c>
      <c r="H979" s="42" cm="1">
        <f t="array" ref="H979">(G979/I979)</f>
        <v>459.016393442623</v>
      </c>
      <c r="I979" s="53">
        <v>1525</v>
      </c>
      <c r="J979" s="176"/>
      <c r="K979" s="175"/>
      <c r="L979" s="163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</row>
    <row r="980" ht="15.75" customHeight="1">
      <c r="A980" s="182">
        <v>46244</v>
      </c>
      <c r="B980" s="183"/>
      <c r="C980" t="s" s="184">
        <v>14</v>
      </c>
      <c r="D980" t="s" s="185">
        <v>1109</v>
      </c>
      <c r="E980" s="186"/>
      <c r="F980" s="187"/>
      <c r="G980" s="188">
        <v>66815.19</v>
      </c>
      <c r="H980" s="189" cm="1">
        <f t="array" ref="H980">(G980/I980)</f>
        <v>43.8132393442623</v>
      </c>
      <c r="I980" s="190">
        <v>1525</v>
      </c>
      <c r="J980" s="179"/>
      <c r="K980" s="178"/>
      <c r="L980" s="163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</row>
    <row r="981" ht="15.75" customHeight="1">
      <c r="A981" s="182">
        <v>46249</v>
      </c>
      <c r="B981" s="183"/>
      <c r="C981" t="s" s="184">
        <v>12</v>
      </c>
      <c r="D981" t="s" s="185">
        <v>1110</v>
      </c>
      <c r="E981" s="186"/>
      <c r="F981" s="187"/>
      <c r="G981" s="188">
        <v>1499093.5</v>
      </c>
      <c r="H981" s="189" cm="1">
        <f t="array" ref="H981">(G981/$I$981)</f>
        <v>983.012131147541</v>
      </c>
      <c r="I981" s="190">
        <v>1525</v>
      </c>
      <c r="J981" s="176"/>
      <c r="K981" s="178"/>
      <c r="L981" s="163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</row>
    <row r="982" ht="15.75" customHeight="1">
      <c r="A982" s="182">
        <v>46248</v>
      </c>
      <c r="B982" s="37"/>
      <c r="C982" t="s" s="55">
        <v>79</v>
      </c>
      <c r="D982" t="s" s="18">
        <v>1111</v>
      </c>
      <c r="E982" s="177"/>
      <c r="F982" s="178"/>
      <c r="G982" s="188">
        <v>1145723.63</v>
      </c>
      <c r="H982" s="189" cm="1">
        <f t="array" ref="H982">(G982/$I$982)</f>
        <v>771.531063973064</v>
      </c>
      <c r="I982" s="43">
        <v>1485</v>
      </c>
      <c r="J982" s="176"/>
      <c r="K982" s="178"/>
      <c r="L982" s="163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</row>
    <row r="983" ht="15.75" customHeight="1">
      <c r="A983" s="182">
        <v>46259</v>
      </c>
      <c r="B983" s="37"/>
      <c r="C983" t="s" s="55">
        <v>1112</v>
      </c>
      <c r="D983" t="s" s="18">
        <v>1113</v>
      </c>
      <c r="E983" s="177"/>
      <c r="F983" s="178"/>
      <c r="G983" s="188">
        <v>2041403.36</v>
      </c>
      <c r="H983" s="189" cm="1">
        <f t="array" ref="H983">(G983/I983)</f>
        <v>1321.296673139160</v>
      </c>
      <c r="I983" s="43">
        <v>1545</v>
      </c>
      <c r="J983" s="176"/>
      <c r="K983" s="178"/>
      <c r="L983" s="163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</row>
    <row r="984" ht="15.75" customHeight="1">
      <c r="A984" s="182">
        <v>46259</v>
      </c>
      <c r="B984" s="46"/>
      <c r="C984" t="s" s="54">
        <v>862</v>
      </c>
      <c r="D984" t="s" s="48">
        <v>1114</v>
      </c>
      <c r="E984" s="174"/>
      <c r="F984" s="175"/>
      <c r="G984" s="51">
        <v>491484.79</v>
      </c>
      <c r="H984" s="189" cm="1">
        <f t="array" ref="H984">(G984/I984)</f>
        <v>318.113132686084</v>
      </c>
      <c r="I984" s="53">
        <v>1545</v>
      </c>
      <c r="J984" s="176"/>
      <c r="K984" s="178"/>
      <c r="L984" s="163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</row>
    <row r="985" ht="15.75" customHeight="1">
      <c r="A985" t="s" s="84">
        <v>1045</v>
      </c>
      <c r="B985" t="s" s="84">
        <v>1045</v>
      </c>
      <c r="C985" t="s" s="54">
        <v>1045</v>
      </c>
      <c r="D985" t="s" s="48">
        <v>1045</v>
      </c>
      <c r="E985" s="174"/>
      <c r="F985" s="175"/>
      <c r="G985" t="s" s="191">
        <v>1045</v>
      </c>
      <c r="H985" s="52">
        <v>0</v>
      </c>
      <c r="I985" t="s" s="192">
        <v>1045</v>
      </c>
      <c r="J985" s="176"/>
      <c r="K985" s="175"/>
      <c r="L985" s="163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</row>
    <row r="986" ht="15.75" customHeight="1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</row>
    <row r="987" ht="15.75" customHeight="1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</row>
    <row r="988" ht="15.75" customHeight="1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</row>
    <row r="989" ht="15.75" customHeight="1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</row>
    <row r="990" ht="15.75" customHeight="1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</row>
    <row r="991" ht="15.75" customHeight="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</row>
    <row r="992" ht="15.75" customHeight="1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</row>
    <row r="993" ht="15.75" customHeight="1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</row>
    <row r="994" ht="15.75" customHeight="1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</row>
    <row r="995" ht="15.75" customHeight="1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</row>
    <row r="996" ht="15.75" customHeight="1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</row>
    <row r="997" ht="15.75" customHeight="1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</row>
    <row r="998" ht="15.75" customHeight="1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</row>
    <row r="999" ht="15.75" customHeight="1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</row>
    <row r="1000" ht="15.75" customHeight="1">
      <c r="A1000" s="16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</row>
    <row r="1001" ht="15.75" customHeight="1">
      <c r="A1001" s="161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</row>
    <row r="1002" ht="15.75" customHeight="1">
      <c r="A1002" s="161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</row>
    <row r="1003" ht="15.75" customHeight="1">
      <c r="A1003" t="s" s="194">
        <v>244</v>
      </c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</row>
    <row r="1004" ht="15.75" customHeight="1">
      <c r="A1004" s="161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</row>
    <row r="1005" ht="15.75" customHeight="1">
      <c r="A1005" s="161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  <c r="Z1005" s="161"/>
      <c r="AA1005" s="161"/>
      <c r="AB1005" s="161"/>
    </row>
    <row r="1006" ht="15.75" customHeight="1">
      <c r="A1006" s="161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  <c r="Z1006" s="161"/>
      <c r="AA1006" s="161"/>
      <c r="AB1006" s="161"/>
    </row>
    <row r="1007" ht="15.75" customHeight="1">
      <c r="A1007" s="161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  <c r="Z1007" s="161"/>
      <c r="AA1007" s="161"/>
      <c r="AB1007" s="161"/>
    </row>
    <row r="1008" ht="15.75" customHeight="1">
      <c r="A1008" s="161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  <c r="Z1008" s="161"/>
      <c r="AA1008" s="161"/>
      <c r="AB1008" s="161"/>
    </row>
    <row r="1009" ht="15.75" customHeight="1">
      <c r="A1009" s="161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  <c r="Z1009" s="161"/>
      <c r="AA1009" s="161"/>
      <c r="AB1009" s="161"/>
    </row>
    <row r="1010" ht="15.75" customHeight="1">
      <c r="A1010" s="161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  <c r="Z1010" s="161"/>
      <c r="AA1010" s="161"/>
      <c r="AB1010" s="161"/>
    </row>
    <row r="1011" ht="15.75" customHeight="1">
      <c r="A1011" s="161"/>
      <c r="B1011" s="161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  <c r="Z1011" s="161"/>
      <c r="AA1011" s="161"/>
      <c r="AB1011" s="161"/>
    </row>
    <row r="1012" ht="15.75" customHeight="1">
      <c r="A1012" s="161"/>
      <c r="B1012" s="161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  <c r="Z1012" s="161"/>
      <c r="AA1012" s="161"/>
      <c r="AB1012" s="161"/>
    </row>
    <row r="1013" ht="15.75" customHeight="1">
      <c r="A1013" s="161"/>
      <c r="B1013" s="161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  <c r="Z1013" s="161"/>
      <c r="AA1013" s="161"/>
      <c r="AB1013" s="161"/>
    </row>
    <row r="1014" ht="15.75" customHeight="1">
      <c r="A1014" s="161"/>
      <c r="B1014" s="161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  <c r="Z1014" s="161"/>
      <c r="AA1014" s="161"/>
      <c r="AB1014" s="161"/>
    </row>
    <row r="1015" ht="15.75" customHeight="1">
      <c r="A1015" s="161"/>
      <c r="B1015" s="161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  <c r="Z1015" s="161"/>
      <c r="AA1015" s="161"/>
      <c r="AB1015" s="161"/>
    </row>
    <row r="1016" ht="15.75" customHeight="1">
      <c r="A1016" s="161"/>
      <c r="B1016" s="161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  <c r="Z1016" s="161"/>
      <c r="AA1016" s="161"/>
      <c r="AB1016" s="161"/>
    </row>
    <row r="1017" ht="15.75" customHeight="1">
      <c r="A1017" s="161"/>
      <c r="B1017" s="161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  <c r="Z1017" s="161"/>
      <c r="AA1017" s="161"/>
      <c r="AB1017" s="161"/>
    </row>
    <row r="1018" ht="15.75" customHeight="1">
      <c r="A1018" s="161"/>
      <c r="B1018" s="161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  <c r="Z1018" s="161"/>
      <c r="AA1018" s="161"/>
      <c r="AB1018" s="161"/>
    </row>
    <row r="1019" ht="15.75" customHeight="1">
      <c r="A1019" s="161"/>
      <c r="B1019" s="161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  <c r="Z1019" s="161"/>
      <c r="AA1019" s="161"/>
      <c r="AB1019" s="161"/>
    </row>
    <row r="1020" ht="15.75" customHeight="1">
      <c r="A1020" s="161"/>
      <c r="B1020" s="161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  <c r="Z1020" s="161"/>
      <c r="AA1020" s="161"/>
      <c r="AB1020" s="161"/>
    </row>
    <row r="1021" ht="15.75" customHeight="1">
      <c r="A1021" s="161"/>
      <c r="B1021" s="161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  <c r="Z1021" s="161"/>
      <c r="AA1021" s="161"/>
      <c r="AB1021" s="161"/>
    </row>
    <row r="1022" ht="15.75" customHeight="1">
      <c r="A1022" s="161"/>
      <c r="B1022" s="161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  <c r="Z1022" s="161"/>
      <c r="AA1022" s="161"/>
      <c r="AB1022" s="161"/>
    </row>
    <row r="1023" ht="15.75" customHeight="1">
      <c r="A1023" s="161"/>
      <c r="B1023" s="161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  <c r="Z1023" s="161"/>
      <c r="AA1023" s="161"/>
      <c r="AB1023" s="161"/>
    </row>
    <row r="1024" ht="15.75" customHeight="1">
      <c r="A1024" s="161"/>
      <c r="B1024" s="161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  <c r="Z1024" s="161"/>
      <c r="AA1024" s="161"/>
      <c r="AB1024" s="161"/>
    </row>
    <row r="1025" ht="15.75" customHeight="1">
      <c r="A1025" s="161"/>
      <c r="B1025" s="161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  <c r="Z1025" s="161"/>
      <c r="AA1025" s="161"/>
      <c r="AB1025" s="161"/>
    </row>
    <row r="1026" ht="15.75" customHeight="1">
      <c r="A1026" s="161"/>
      <c r="B1026" s="161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  <c r="Z1026" s="161"/>
      <c r="AA1026" s="161"/>
      <c r="AB1026" s="161"/>
    </row>
    <row r="1027" ht="15.75" customHeight="1">
      <c r="A1027" s="161"/>
      <c r="B1027" s="161"/>
      <c r="C1027" s="161"/>
      <c r="D1027" s="161"/>
      <c r="E1027" s="161"/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  <c r="S1027" s="161"/>
      <c r="T1027" s="161"/>
      <c r="U1027" s="161"/>
      <c r="V1027" s="161"/>
      <c r="W1027" s="161"/>
      <c r="X1027" s="161"/>
      <c r="Y1027" s="161"/>
      <c r="Z1027" s="161"/>
      <c r="AA1027" s="161"/>
      <c r="AB1027" s="161"/>
    </row>
    <row r="1028" ht="15.75" customHeight="1">
      <c r="A1028" s="161"/>
      <c r="B1028" s="161"/>
      <c r="C1028" s="161"/>
      <c r="D1028" s="161"/>
      <c r="E1028" s="161"/>
      <c r="F1028" s="161"/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161"/>
      <c r="R1028" s="161"/>
      <c r="S1028" s="161"/>
      <c r="T1028" s="161"/>
      <c r="U1028" s="161"/>
      <c r="V1028" s="161"/>
      <c r="W1028" s="161"/>
      <c r="X1028" s="161"/>
      <c r="Y1028" s="161"/>
      <c r="Z1028" s="161"/>
      <c r="AA1028" s="161"/>
      <c r="AB1028" s="161"/>
    </row>
    <row r="1029" ht="15.75" customHeight="1">
      <c r="A1029" s="161"/>
      <c r="B1029" s="161"/>
      <c r="C1029" s="161"/>
      <c r="D1029" s="161"/>
      <c r="E1029" s="161"/>
      <c r="F1029" s="161"/>
      <c r="G1029" s="161"/>
      <c r="H1029" s="161"/>
      <c r="I1029" s="161"/>
      <c r="J1029" s="161"/>
      <c r="K1029" s="161"/>
      <c r="L1029" s="161"/>
      <c r="M1029" s="161"/>
      <c r="N1029" s="161"/>
      <c r="O1029" s="161"/>
      <c r="P1029" s="161"/>
      <c r="Q1029" s="161"/>
      <c r="R1029" s="161"/>
      <c r="S1029" s="161"/>
      <c r="T1029" s="161"/>
      <c r="U1029" s="161"/>
      <c r="V1029" s="161"/>
      <c r="W1029" s="161"/>
      <c r="X1029" s="161"/>
      <c r="Y1029" s="161"/>
      <c r="Z1029" s="161"/>
      <c r="AA1029" s="161"/>
      <c r="AB1029" s="161"/>
    </row>
    <row r="1030" ht="15.75" customHeight="1">
      <c r="A1030" s="161"/>
      <c r="B1030" s="161"/>
      <c r="C1030" s="161"/>
      <c r="D1030" s="161"/>
      <c r="E1030" s="161"/>
      <c r="F1030" s="161"/>
      <c r="G1030" s="161"/>
      <c r="H1030" s="161"/>
      <c r="I1030" s="161"/>
      <c r="J1030" s="161"/>
      <c r="K1030" s="161"/>
      <c r="L1030" s="161"/>
      <c r="M1030" s="161"/>
      <c r="N1030" s="161"/>
      <c r="O1030" s="161"/>
      <c r="P1030" s="161"/>
      <c r="Q1030" s="161"/>
      <c r="R1030" s="161"/>
      <c r="S1030" s="161"/>
      <c r="T1030" s="161"/>
      <c r="U1030" s="161"/>
      <c r="V1030" s="161"/>
      <c r="W1030" s="161"/>
      <c r="X1030" s="161"/>
      <c r="Y1030" s="161"/>
      <c r="Z1030" s="161"/>
      <c r="AA1030" s="161"/>
      <c r="AB1030" s="161"/>
    </row>
    <row r="1031" ht="15.75" customHeight="1">
      <c r="A1031" s="161"/>
      <c r="B1031" s="161"/>
      <c r="C1031" s="161"/>
      <c r="D1031" s="161"/>
      <c r="E1031" s="161"/>
      <c r="F1031" s="161"/>
      <c r="G1031" s="161"/>
      <c r="H1031" s="161"/>
      <c r="I1031" s="161"/>
      <c r="J1031" s="161"/>
      <c r="K1031" s="161"/>
      <c r="L1031" s="161"/>
      <c r="M1031" s="161"/>
      <c r="N1031" s="161"/>
      <c r="O1031" s="161"/>
      <c r="P1031" s="161"/>
      <c r="Q1031" s="161"/>
      <c r="R1031" s="161"/>
      <c r="S1031" s="161"/>
      <c r="T1031" s="161"/>
      <c r="U1031" s="161"/>
      <c r="V1031" s="161"/>
      <c r="W1031" s="161"/>
      <c r="X1031" s="161"/>
      <c r="Y1031" s="161"/>
      <c r="Z1031" s="161"/>
      <c r="AA1031" s="161"/>
      <c r="AB1031" s="161"/>
    </row>
    <row r="1032" ht="15.75" customHeight="1">
      <c r="A1032" s="161"/>
      <c r="B1032" s="161"/>
      <c r="C1032" s="161"/>
      <c r="D1032" s="161"/>
      <c r="E1032" s="161"/>
      <c r="F1032" s="161"/>
      <c r="G1032" s="161"/>
      <c r="H1032" s="161"/>
      <c r="I1032" s="161"/>
      <c r="J1032" s="161"/>
      <c r="K1032" s="161"/>
      <c r="L1032" s="161"/>
      <c r="M1032" s="161"/>
      <c r="N1032" s="161"/>
      <c r="O1032" s="161"/>
      <c r="P1032" s="161"/>
      <c r="Q1032" s="161"/>
      <c r="R1032" s="161"/>
      <c r="S1032" s="161"/>
      <c r="T1032" s="161"/>
      <c r="U1032" s="161"/>
      <c r="V1032" s="161"/>
      <c r="W1032" s="161"/>
      <c r="X1032" s="161"/>
      <c r="Y1032" s="161"/>
      <c r="Z1032" s="161"/>
      <c r="AA1032" s="161"/>
      <c r="AB1032" s="161"/>
    </row>
    <row r="1033" ht="15.75" customHeight="1">
      <c r="A1033" s="161"/>
      <c r="B1033" s="161"/>
      <c r="C1033" s="161"/>
      <c r="D1033" s="161"/>
      <c r="E1033" s="161"/>
      <c r="F1033" s="161"/>
      <c r="G1033" s="161"/>
      <c r="H1033" s="161"/>
      <c r="I1033" s="161"/>
      <c r="J1033" s="161"/>
      <c r="K1033" s="161"/>
      <c r="L1033" s="161"/>
      <c r="M1033" s="161"/>
      <c r="N1033" s="161"/>
      <c r="O1033" s="161"/>
      <c r="P1033" s="161"/>
      <c r="Q1033" s="161"/>
      <c r="R1033" s="161"/>
      <c r="S1033" s="161"/>
      <c r="T1033" s="161"/>
      <c r="U1033" s="161"/>
      <c r="V1033" s="161"/>
      <c r="W1033" s="161"/>
      <c r="X1033" s="161"/>
      <c r="Y1033" s="161"/>
      <c r="Z1033" s="161"/>
      <c r="AA1033" s="161"/>
      <c r="AB1033" s="161"/>
    </row>
    <row r="1034" ht="15.75" customHeight="1">
      <c r="A1034" s="161"/>
      <c r="B1034" s="161"/>
      <c r="C1034" s="161"/>
      <c r="D1034" s="161"/>
      <c r="E1034" s="161"/>
      <c r="F1034" s="161"/>
      <c r="G1034" s="161"/>
      <c r="H1034" s="161"/>
      <c r="I1034" s="161"/>
      <c r="J1034" s="161"/>
      <c r="K1034" s="161"/>
      <c r="L1034" s="161"/>
      <c r="M1034" s="161"/>
      <c r="N1034" s="161"/>
      <c r="O1034" s="161"/>
      <c r="P1034" s="161"/>
      <c r="Q1034" s="161"/>
      <c r="R1034" s="161"/>
      <c r="S1034" s="161"/>
      <c r="T1034" s="161"/>
      <c r="U1034" s="161"/>
      <c r="V1034" s="161"/>
      <c r="W1034" s="161"/>
      <c r="X1034" s="161"/>
      <c r="Y1034" s="161"/>
      <c r="Z1034" s="161"/>
      <c r="AA1034" s="161"/>
      <c r="AB1034" s="161"/>
    </row>
    <row r="1035" ht="15.75" customHeight="1">
      <c r="A1035" s="161"/>
      <c r="B1035" s="161"/>
      <c r="C1035" s="161"/>
      <c r="D1035" s="161"/>
      <c r="E1035" s="161"/>
      <c r="F1035" s="161"/>
      <c r="G1035" s="161"/>
      <c r="H1035" s="161"/>
      <c r="I1035" s="161"/>
      <c r="J1035" s="161"/>
      <c r="K1035" s="161"/>
      <c r="L1035" s="161"/>
      <c r="M1035" s="161"/>
      <c r="N1035" s="161"/>
      <c r="O1035" s="161"/>
      <c r="P1035" s="161"/>
      <c r="Q1035" s="161"/>
      <c r="R1035" s="161"/>
      <c r="S1035" s="161"/>
      <c r="T1035" s="161"/>
      <c r="U1035" s="161"/>
      <c r="V1035" s="161"/>
      <c r="W1035" s="161"/>
      <c r="X1035" s="161"/>
      <c r="Y1035" s="161"/>
      <c r="Z1035" s="161"/>
      <c r="AA1035" s="161"/>
      <c r="AB1035" s="161"/>
    </row>
    <row r="1036" ht="15.75" customHeight="1">
      <c r="A1036" s="161"/>
      <c r="B1036" s="161"/>
      <c r="C1036" s="161"/>
      <c r="D1036" s="161"/>
      <c r="E1036" s="161"/>
      <c r="F1036" s="161"/>
      <c r="G1036" s="161"/>
      <c r="H1036" s="161"/>
      <c r="I1036" s="161"/>
      <c r="J1036" s="161"/>
      <c r="K1036" s="161"/>
      <c r="L1036" s="161"/>
      <c r="M1036" s="161"/>
      <c r="N1036" s="161"/>
      <c r="O1036" s="161"/>
      <c r="P1036" s="161"/>
      <c r="Q1036" s="161"/>
      <c r="R1036" s="161"/>
      <c r="S1036" s="161"/>
      <c r="T1036" s="161"/>
      <c r="U1036" s="161"/>
      <c r="V1036" s="161"/>
      <c r="W1036" s="161"/>
      <c r="X1036" s="161"/>
      <c r="Y1036" s="161"/>
      <c r="Z1036" s="161"/>
      <c r="AA1036" s="161"/>
      <c r="AB1036" s="161"/>
    </row>
    <row r="1037" ht="15.75" customHeight="1">
      <c r="A1037" s="161"/>
      <c r="B1037" s="161"/>
      <c r="C1037" s="161"/>
      <c r="D1037" s="161"/>
      <c r="E1037" s="161"/>
      <c r="F1037" s="161"/>
      <c r="G1037" s="161"/>
      <c r="H1037" s="161"/>
      <c r="I1037" s="161"/>
      <c r="J1037" s="161"/>
      <c r="K1037" s="161"/>
      <c r="L1037" s="161"/>
      <c r="M1037" s="161"/>
      <c r="N1037" s="161"/>
      <c r="O1037" s="161"/>
      <c r="P1037" s="161"/>
      <c r="Q1037" s="161"/>
      <c r="R1037" s="161"/>
      <c r="S1037" s="161"/>
      <c r="T1037" s="161"/>
      <c r="U1037" s="161"/>
      <c r="V1037" s="161"/>
      <c r="W1037" s="161"/>
      <c r="X1037" s="161"/>
      <c r="Y1037" s="161"/>
      <c r="Z1037" s="161"/>
      <c r="AA1037" s="161"/>
      <c r="AB1037" s="161"/>
    </row>
    <row r="1038" ht="15.75" customHeight="1">
      <c r="A1038" s="161"/>
      <c r="B1038" s="161"/>
      <c r="C1038" s="161"/>
      <c r="D1038" s="161"/>
      <c r="E1038" s="161"/>
      <c r="F1038" s="161"/>
      <c r="G1038" s="161"/>
      <c r="H1038" s="161"/>
      <c r="I1038" s="161"/>
      <c r="J1038" s="161"/>
      <c r="K1038" s="161"/>
      <c r="L1038" s="161"/>
      <c r="M1038" s="161"/>
      <c r="N1038" s="161"/>
      <c r="O1038" s="161"/>
      <c r="P1038" s="161"/>
      <c r="Q1038" s="161"/>
      <c r="R1038" s="161"/>
      <c r="S1038" s="161"/>
      <c r="T1038" s="161"/>
      <c r="U1038" s="161"/>
      <c r="V1038" s="161"/>
      <c r="W1038" s="161"/>
      <c r="X1038" s="161"/>
      <c r="Y1038" s="161"/>
      <c r="Z1038" s="161"/>
      <c r="AA1038" s="161"/>
      <c r="AB1038" s="161"/>
    </row>
    <row r="1039" ht="15.75" customHeight="1">
      <c r="A1039" s="161"/>
      <c r="B1039" s="161"/>
      <c r="C1039" s="161"/>
      <c r="D1039" s="161"/>
      <c r="E1039" s="161"/>
      <c r="F1039" s="161"/>
      <c r="G1039" s="161"/>
      <c r="H1039" s="161"/>
      <c r="I1039" s="161"/>
      <c r="J1039" s="161"/>
      <c r="K1039" s="161"/>
      <c r="L1039" s="161"/>
      <c r="M1039" s="161"/>
      <c r="N1039" s="161"/>
      <c r="O1039" s="161"/>
      <c r="P1039" s="161"/>
      <c r="Q1039" s="161"/>
      <c r="R1039" s="161"/>
      <c r="S1039" s="161"/>
      <c r="T1039" s="161"/>
      <c r="U1039" s="161"/>
      <c r="V1039" s="161"/>
      <c r="W1039" s="161"/>
      <c r="X1039" s="161"/>
      <c r="Y1039" s="161"/>
      <c r="Z1039" s="161"/>
      <c r="AA1039" s="161"/>
      <c r="AB1039" s="161"/>
    </row>
    <row r="1040" ht="15.75" customHeight="1">
      <c r="A1040" s="161"/>
      <c r="B1040" s="161"/>
      <c r="C1040" s="161"/>
      <c r="D1040" s="161"/>
      <c r="E1040" s="161"/>
      <c r="F1040" s="161"/>
      <c r="G1040" s="161"/>
      <c r="H1040" s="161"/>
      <c r="I1040" s="161"/>
      <c r="J1040" s="161"/>
      <c r="K1040" s="161"/>
      <c r="L1040" s="161"/>
      <c r="M1040" s="161"/>
      <c r="N1040" s="161"/>
      <c r="O1040" s="161"/>
      <c r="P1040" s="161"/>
      <c r="Q1040" s="161"/>
      <c r="R1040" s="161"/>
      <c r="S1040" s="161"/>
      <c r="T1040" s="161"/>
      <c r="U1040" s="161"/>
      <c r="V1040" s="161"/>
      <c r="W1040" s="161"/>
      <c r="X1040" s="161"/>
      <c r="Y1040" s="161"/>
      <c r="Z1040" s="161"/>
      <c r="AA1040" s="161"/>
      <c r="AB1040" s="161"/>
    </row>
    <row r="1041" ht="15.75" customHeight="1">
      <c r="A1041" s="161"/>
      <c r="B1041" s="161"/>
      <c r="C1041" s="161"/>
      <c r="D1041" s="161"/>
      <c r="E1041" s="161"/>
      <c r="F1041" s="161"/>
      <c r="G1041" s="161"/>
      <c r="H1041" s="161"/>
      <c r="I1041" s="161"/>
      <c r="J1041" s="161"/>
      <c r="K1041" s="161"/>
      <c r="L1041" s="161"/>
      <c r="M1041" s="161"/>
      <c r="N1041" s="161"/>
      <c r="O1041" s="161"/>
      <c r="P1041" s="161"/>
      <c r="Q1041" s="161"/>
      <c r="R1041" s="161"/>
      <c r="S1041" s="161"/>
      <c r="T1041" s="161"/>
      <c r="U1041" s="161"/>
      <c r="V1041" s="161"/>
      <c r="W1041" s="161"/>
      <c r="X1041" s="161"/>
      <c r="Y1041" s="161"/>
      <c r="Z1041" s="161"/>
      <c r="AA1041" s="161"/>
      <c r="AB1041" s="161"/>
    </row>
    <row r="1042" ht="15.75" customHeight="1">
      <c r="A1042" s="161"/>
      <c r="B1042" s="161"/>
      <c r="C1042" s="161"/>
      <c r="D1042" s="161"/>
      <c r="E1042" s="161"/>
      <c r="F1042" s="161"/>
      <c r="G1042" s="161"/>
      <c r="H1042" s="161"/>
      <c r="I1042" s="161"/>
      <c r="J1042" s="161"/>
      <c r="K1042" s="161"/>
      <c r="L1042" s="161"/>
      <c r="M1042" s="161"/>
      <c r="N1042" s="161"/>
      <c r="O1042" s="161"/>
      <c r="P1042" s="161"/>
      <c r="Q1042" s="161"/>
      <c r="R1042" s="161"/>
      <c r="S1042" s="161"/>
      <c r="T1042" s="161"/>
      <c r="U1042" s="161"/>
      <c r="V1042" s="161"/>
      <c r="W1042" s="161"/>
      <c r="X1042" s="161"/>
      <c r="Y1042" s="161"/>
      <c r="Z1042" s="161"/>
      <c r="AA1042" s="161"/>
      <c r="AB1042" s="161"/>
    </row>
    <row r="1043" ht="15.75" customHeight="1">
      <c r="A1043" s="161"/>
      <c r="B1043" s="161"/>
      <c r="C1043" s="161"/>
      <c r="D1043" s="161"/>
      <c r="E1043" s="161"/>
      <c r="F1043" s="161"/>
      <c r="G1043" s="161"/>
      <c r="H1043" s="161"/>
      <c r="I1043" s="161"/>
      <c r="J1043" s="161"/>
      <c r="K1043" s="161"/>
      <c r="L1043" s="161"/>
      <c r="M1043" s="161"/>
      <c r="N1043" s="161"/>
      <c r="O1043" s="161"/>
      <c r="P1043" s="161"/>
      <c r="Q1043" s="161"/>
      <c r="R1043" s="161"/>
      <c r="S1043" s="161"/>
      <c r="T1043" s="161"/>
      <c r="U1043" s="161"/>
      <c r="V1043" s="161"/>
      <c r="W1043" s="161"/>
      <c r="X1043" s="161"/>
      <c r="Y1043" s="161"/>
      <c r="Z1043" s="161"/>
      <c r="AA1043" s="161"/>
      <c r="AB1043" s="161"/>
    </row>
    <row r="1044" ht="15.75" customHeight="1">
      <c r="A1044" s="161"/>
      <c r="B1044" s="161"/>
      <c r="C1044" s="161"/>
      <c r="D1044" s="161"/>
      <c r="E1044" s="161"/>
      <c r="F1044" s="161"/>
      <c r="G1044" s="161"/>
      <c r="H1044" s="161"/>
      <c r="I1044" s="161"/>
      <c r="J1044" s="161"/>
      <c r="K1044" s="161"/>
      <c r="L1044" s="161"/>
      <c r="M1044" s="161"/>
      <c r="N1044" s="161"/>
      <c r="O1044" s="161"/>
      <c r="P1044" s="161"/>
      <c r="Q1044" s="161"/>
      <c r="R1044" s="161"/>
      <c r="S1044" s="161"/>
      <c r="T1044" s="161"/>
      <c r="U1044" s="161"/>
      <c r="V1044" s="161"/>
      <c r="W1044" s="161"/>
      <c r="X1044" s="161"/>
      <c r="Y1044" s="161"/>
      <c r="Z1044" s="161"/>
      <c r="AA1044" s="161"/>
      <c r="AB1044" s="161"/>
    </row>
    <row r="1045" ht="15.75" customHeight="1">
      <c r="A1045" s="161"/>
      <c r="B1045" s="161"/>
      <c r="C1045" s="161"/>
      <c r="D1045" s="161"/>
      <c r="E1045" s="161"/>
      <c r="F1045" s="161"/>
      <c r="G1045" s="161"/>
      <c r="H1045" s="161"/>
      <c r="I1045" s="161"/>
      <c r="J1045" s="161"/>
      <c r="K1045" s="161"/>
      <c r="L1045" s="161"/>
      <c r="M1045" s="161"/>
      <c r="N1045" s="161"/>
      <c r="O1045" s="161"/>
      <c r="P1045" s="161"/>
      <c r="Q1045" s="161"/>
      <c r="R1045" s="161"/>
      <c r="S1045" s="161"/>
      <c r="T1045" s="161"/>
      <c r="U1045" s="161"/>
      <c r="V1045" s="161"/>
      <c r="W1045" s="161"/>
      <c r="X1045" s="161"/>
      <c r="Y1045" s="161"/>
      <c r="Z1045" s="161"/>
      <c r="AA1045" s="161"/>
      <c r="AB1045" s="161"/>
    </row>
    <row r="1046" ht="15.75" customHeight="1">
      <c r="A1046" s="161"/>
      <c r="B1046" s="161"/>
      <c r="C1046" s="161"/>
      <c r="D1046" s="161"/>
      <c r="E1046" s="161"/>
      <c r="F1046" s="161"/>
      <c r="G1046" s="161"/>
      <c r="H1046" s="161"/>
      <c r="I1046" s="161"/>
      <c r="J1046" s="161"/>
      <c r="K1046" s="161"/>
      <c r="L1046" s="161"/>
      <c r="M1046" s="161"/>
      <c r="N1046" s="161"/>
      <c r="O1046" s="161"/>
      <c r="P1046" s="161"/>
      <c r="Q1046" s="161"/>
      <c r="R1046" s="161"/>
      <c r="S1046" s="161"/>
      <c r="T1046" s="161"/>
      <c r="U1046" s="161"/>
      <c r="V1046" s="161"/>
      <c r="W1046" s="161"/>
      <c r="X1046" s="161"/>
      <c r="Y1046" s="161"/>
      <c r="Z1046" s="161"/>
      <c r="AA1046" s="161"/>
      <c r="AB1046" s="161"/>
    </row>
    <row r="1047" ht="15.75" customHeight="1">
      <c r="A1047" s="161"/>
      <c r="B1047" s="161"/>
      <c r="C1047" s="161"/>
      <c r="D1047" s="161"/>
      <c r="E1047" s="161"/>
      <c r="F1047" s="161"/>
      <c r="G1047" s="161"/>
      <c r="H1047" s="161"/>
      <c r="I1047" s="161"/>
      <c r="J1047" s="161"/>
      <c r="K1047" s="161"/>
      <c r="L1047" s="161"/>
      <c r="M1047" s="161"/>
      <c r="N1047" s="161"/>
      <c r="O1047" s="161"/>
      <c r="P1047" s="161"/>
      <c r="Q1047" s="161"/>
      <c r="R1047" s="161"/>
      <c r="S1047" s="161"/>
      <c r="T1047" s="161"/>
      <c r="U1047" s="161"/>
      <c r="V1047" s="161"/>
      <c r="W1047" s="161"/>
      <c r="X1047" s="161"/>
      <c r="Y1047" s="161"/>
      <c r="Z1047" s="161"/>
      <c r="AA1047" s="161"/>
      <c r="AB1047" s="161"/>
    </row>
    <row r="1048" ht="15.75" customHeight="1">
      <c r="A1048" s="161"/>
      <c r="B1048" s="161"/>
      <c r="C1048" s="161"/>
      <c r="D1048" s="161"/>
      <c r="E1048" s="161"/>
      <c r="F1048" s="161"/>
      <c r="G1048" s="161"/>
      <c r="H1048" s="161"/>
      <c r="I1048" s="161"/>
      <c r="J1048" s="161"/>
      <c r="K1048" s="161"/>
      <c r="L1048" s="161"/>
      <c r="M1048" s="161"/>
      <c r="N1048" s="161"/>
      <c r="O1048" s="161"/>
      <c r="P1048" s="161"/>
      <c r="Q1048" s="161"/>
      <c r="R1048" s="161"/>
      <c r="S1048" s="161"/>
      <c r="T1048" s="161"/>
      <c r="U1048" s="161"/>
      <c r="V1048" s="161"/>
      <c r="W1048" s="161"/>
      <c r="X1048" s="161"/>
      <c r="Y1048" s="161"/>
      <c r="Z1048" s="161"/>
      <c r="AA1048" s="161"/>
      <c r="AB1048" s="161"/>
    </row>
    <row r="1049" ht="15.75" customHeight="1">
      <c r="A1049" s="161"/>
      <c r="B1049" s="161"/>
      <c r="C1049" s="161"/>
      <c r="D1049" s="161"/>
      <c r="E1049" s="161"/>
      <c r="F1049" s="161"/>
      <c r="G1049" s="161"/>
      <c r="H1049" s="161"/>
      <c r="I1049" s="161"/>
      <c r="J1049" s="161"/>
      <c r="K1049" s="161"/>
      <c r="L1049" s="161"/>
      <c r="M1049" s="161"/>
      <c r="N1049" s="161"/>
      <c r="O1049" s="161"/>
      <c r="P1049" s="161"/>
      <c r="Q1049" s="161"/>
      <c r="R1049" s="161"/>
      <c r="S1049" s="161"/>
      <c r="T1049" s="161"/>
      <c r="U1049" s="161"/>
      <c r="V1049" s="161"/>
      <c r="W1049" s="161"/>
      <c r="X1049" s="161"/>
      <c r="Y1049" s="161"/>
      <c r="Z1049" s="161"/>
      <c r="AA1049" s="161"/>
      <c r="AB1049" s="161"/>
    </row>
    <row r="1050" ht="15.75" customHeight="1">
      <c r="A1050" s="161"/>
      <c r="B1050" s="161"/>
      <c r="C1050" s="161"/>
      <c r="D1050" s="161"/>
      <c r="E1050" s="161"/>
      <c r="F1050" s="161"/>
      <c r="G1050" s="161"/>
      <c r="H1050" s="161"/>
      <c r="I1050" s="161"/>
      <c r="J1050" s="161"/>
      <c r="K1050" s="161"/>
      <c r="L1050" s="161"/>
      <c r="M1050" s="161"/>
      <c r="N1050" s="161"/>
      <c r="O1050" s="161"/>
      <c r="P1050" s="161"/>
      <c r="Q1050" s="161"/>
      <c r="R1050" s="161"/>
      <c r="S1050" s="161"/>
      <c r="T1050" s="161"/>
      <c r="U1050" s="161"/>
      <c r="V1050" s="161"/>
      <c r="W1050" s="161"/>
      <c r="X1050" s="161"/>
      <c r="Y1050" s="161"/>
      <c r="Z1050" s="161"/>
      <c r="AA1050" s="161"/>
      <c r="AB1050" s="161"/>
    </row>
    <row r="1051" ht="15.75" customHeight="1">
      <c r="A1051" s="161"/>
      <c r="B1051" s="161"/>
      <c r="C1051" s="161"/>
      <c r="D1051" s="161"/>
      <c r="E1051" s="161"/>
      <c r="F1051" s="161"/>
      <c r="G1051" s="161"/>
      <c r="H1051" s="161"/>
      <c r="I1051" s="161"/>
      <c r="J1051" s="161"/>
      <c r="K1051" s="161"/>
      <c r="L1051" s="161"/>
      <c r="M1051" s="161"/>
      <c r="N1051" s="161"/>
      <c r="O1051" s="161"/>
      <c r="P1051" s="161"/>
      <c r="Q1051" s="161"/>
      <c r="R1051" s="161"/>
      <c r="S1051" s="161"/>
      <c r="T1051" s="161"/>
      <c r="U1051" s="161"/>
      <c r="V1051" s="161"/>
      <c r="W1051" s="161"/>
      <c r="X1051" s="161"/>
      <c r="Y1051" s="161"/>
      <c r="Z1051" s="161"/>
      <c r="AA1051" s="161"/>
      <c r="AB1051" s="161"/>
    </row>
    <row r="1052" ht="15.75" customHeight="1">
      <c r="A1052" s="161"/>
      <c r="B1052" s="161"/>
      <c r="C1052" s="161"/>
      <c r="D1052" s="161"/>
      <c r="E1052" s="161"/>
      <c r="F1052" s="161"/>
      <c r="G1052" s="161"/>
      <c r="H1052" s="161"/>
      <c r="I1052" s="161"/>
      <c r="J1052" s="161"/>
      <c r="K1052" s="161"/>
      <c r="L1052" s="161"/>
      <c r="M1052" s="161"/>
      <c r="N1052" s="161"/>
      <c r="O1052" s="161"/>
      <c r="P1052" s="161"/>
      <c r="Q1052" s="161"/>
      <c r="R1052" s="161"/>
      <c r="S1052" s="161"/>
      <c r="T1052" s="161"/>
      <c r="U1052" s="161"/>
      <c r="V1052" s="161"/>
      <c r="W1052" s="161"/>
      <c r="X1052" s="161"/>
      <c r="Y1052" s="161"/>
      <c r="Z1052" s="161"/>
      <c r="AA1052" s="161"/>
      <c r="AB1052" s="161"/>
    </row>
    <row r="1053" ht="15.75" customHeight="1">
      <c r="A1053" s="161"/>
      <c r="B1053" s="161"/>
      <c r="C1053" s="161"/>
      <c r="D1053" s="161"/>
      <c r="E1053" s="161"/>
      <c r="F1053" s="161"/>
      <c r="G1053" s="161"/>
      <c r="H1053" s="161"/>
      <c r="I1053" s="161"/>
      <c r="J1053" s="161"/>
      <c r="K1053" s="161"/>
      <c r="L1053" s="161"/>
      <c r="M1053" s="161"/>
      <c r="N1053" s="161"/>
      <c r="O1053" s="161"/>
      <c r="P1053" s="161"/>
      <c r="Q1053" s="161"/>
      <c r="R1053" s="161"/>
      <c r="S1053" s="161"/>
      <c r="T1053" s="161"/>
      <c r="U1053" s="161"/>
      <c r="V1053" s="161"/>
      <c r="W1053" s="161"/>
      <c r="X1053" s="161"/>
      <c r="Y1053" s="161"/>
      <c r="Z1053" s="161"/>
      <c r="AA1053" s="161"/>
      <c r="AB1053" s="161"/>
    </row>
    <row r="1054" ht="15.75" customHeight="1">
      <c r="A1054" s="161"/>
      <c r="B1054" s="161"/>
      <c r="C1054" s="161"/>
      <c r="D1054" s="161"/>
      <c r="E1054" s="161"/>
      <c r="F1054" s="161"/>
      <c r="G1054" s="161"/>
      <c r="H1054" s="161"/>
      <c r="I1054" s="161"/>
      <c r="J1054" s="161"/>
      <c r="K1054" s="161"/>
      <c r="L1054" s="161"/>
      <c r="M1054" s="161"/>
      <c r="N1054" s="161"/>
      <c r="O1054" s="161"/>
      <c r="P1054" s="161"/>
      <c r="Q1054" s="161"/>
      <c r="R1054" s="161"/>
      <c r="S1054" s="161"/>
      <c r="T1054" s="161"/>
      <c r="U1054" s="161"/>
      <c r="V1054" s="161"/>
      <c r="W1054" s="161"/>
      <c r="X1054" s="161"/>
      <c r="Y1054" s="161"/>
      <c r="Z1054" s="161"/>
      <c r="AA1054" s="161"/>
      <c r="AB1054" s="161"/>
    </row>
    <row r="1055" ht="15.75" customHeight="1">
      <c r="A1055" s="161"/>
      <c r="B1055" s="161"/>
      <c r="C1055" s="161"/>
      <c r="D1055" s="161"/>
      <c r="E1055" s="161"/>
      <c r="F1055" s="161"/>
      <c r="G1055" s="161"/>
      <c r="H1055" s="161"/>
      <c r="I1055" s="161"/>
      <c r="J1055" s="161"/>
      <c r="K1055" s="161"/>
      <c r="L1055" s="161"/>
      <c r="M1055" s="161"/>
      <c r="N1055" s="161"/>
      <c r="O1055" s="161"/>
      <c r="P1055" s="161"/>
      <c r="Q1055" s="161"/>
      <c r="R1055" s="161"/>
      <c r="S1055" s="161"/>
      <c r="T1055" s="161"/>
      <c r="U1055" s="161"/>
      <c r="V1055" s="161"/>
      <c r="W1055" s="161"/>
      <c r="X1055" s="161"/>
      <c r="Y1055" s="161"/>
      <c r="Z1055" s="161"/>
      <c r="AA1055" s="161"/>
      <c r="AB1055" s="161"/>
    </row>
    <row r="1056" ht="15.75" customHeight="1">
      <c r="A1056" s="161"/>
      <c r="B1056" s="161"/>
      <c r="C1056" s="161"/>
      <c r="D1056" s="161"/>
      <c r="E1056" s="161"/>
      <c r="F1056" s="161"/>
      <c r="G1056" s="161"/>
      <c r="H1056" s="161"/>
      <c r="I1056" s="161"/>
      <c r="J1056" s="161"/>
      <c r="K1056" s="161"/>
      <c r="L1056" s="161"/>
      <c r="M1056" s="161"/>
      <c r="N1056" s="161"/>
      <c r="O1056" s="161"/>
      <c r="P1056" s="161"/>
      <c r="Q1056" s="161"/>
      <c r="R1056" s="161"/>
      <c r="S1056" s="161"/>
      <c r="T1056" s="161"/>
      <c r="U1056" s="161"/>
      <c r="V1056" s="161"/>
      <c r="W1056" s="161"/>
      <c r="X1056" s="161"/>
      <c r="Y1056" s="161"/>
      <c r="Z1056" s="161"/>
      <c r="AA1056" s="161"/>
      <c r="AB1056" s="161"/>
    </row>
    <row r="1057" ht="15.75" customHeight="1">
      <c r="A1057" s="161"/>
      <c r="B1057" s="161"/>
      <c r="C1057" s="161"/>
      <c r="D1057" s="161"/>
      <c r="E1057" s="161"/>
      <c r="F1057" s="161"/>
      <c r="G1057" s="161"/>
      <c r="H1057" s="161"/>
      <c r="I1057" s="161"/>
      <c r="J1057" s="161"/>
      <c r="K1057" s="161"/>
      <c r="L1057" s="161"/>
      <c r="M1057" s="161"/>
      <c r="N1057" s="161"/>
      <c r="O1057" s="161"/>
      <c r="P1057" s="161"/>
      <c r="Q1057" s="161"/>
      <c r="R1057" s="161"/>
      <c r="S1057" s="161"/>
      <c r="T1057" s="161"/>
      <c r="U1057" s="161"/>
      <c r="V1057" s="161"/>
      <c r="W1057" s="161"/>
      <c r="X1057" s="161"/>
      <c r="Y1057" s="161"/>
      <c r="Z1057" s="161"/>
      <c r="AA1057" s="161"/>
      <c r="AB1057" s="161"/>
    </row>
    <row r="1058" ht="15.75" customHeight="1">
      <c r="A1058" s="161"/>
      <c r="B1058" s="161"/>
      <c r="C1058" s="161"/>
      <c r="D1058" s="161"/>
      <c r="E1058" s="161"/>
      <c r="F1058" s="161"/>
      <c r="G1058" s="161"/>
      <c r="H1058" s="161"/>
      <c r="I1058" s="161"/>
      <c r="J1058" s="161"/>
      <c r="K1058" s="161"/>
      <c r="L1058" s="161"/>
      <c r="M1058" s="161"/>
      <c r="N1058" s="161"/>
      <c r="O1058" s="161"/>
      <c r="P1058" s="161"/>
      <c r="Q1058" s="161"/>
      <c r="R1058" s="161"/>
      <c r="S1058" s="161"/>
      <c r="T1058" s="161"/>
      <c r="U1058" s="161"/>
      <c r="V1058" s="161"/>
      <c r="W1058" s="161"/>
      <c r="X1058" s="161"/>
      <c r="Y1058" s="161"/>
      <c r="Z1058" s="161"/>
      <c r="AA1058" s="161"/>
      <c r="AB1058" s="161"/>
    </row>
    <row r="1059" ht="15.75" customHeight="1">
      <c r="A1059" s="161"/>
      <c r="B1059" s="161"/>
      <c r="C1059" s="161"/>
      <c r="D1059" s="161"/>
      <c r="E1059" s="161"/>
      <c r="F1059" s="161"/>
      <c r="G1059" s="161"/>
      <c r="H1059" s="161"/>
      <c r="I1059" s="161"/>
      <c r="J1059" s="161"/>
      <c r="K1059" s="161"/>
      <c r="L1059" s="161"/>
      <c r="M1059" s="161"/>
      <c r="N1059" s="161"/>
      <c r="O1059" s="161"/>
      <c r="P1059" s="161"/>
      <c r="Q1059" s="161"/>
      <c r="R1059" s="161"/>
      <c r="S1059" s="161"/>
      <c r="T1059" s="161"/>
      <c r="U1059" s="161"/>
      <c r="V1059" s="161"/>
      <c r="W1059" s="161"/>
      <c r="X1059" s="161"/>
      <c r="Y1059" s="161"/>
      <c r="Z1059" s="161"/>
      <c r="AA1059" s="161"/>
      <c r="AB1059" s="161"/>
    </row>
    <row r="1060" ht="15.75" customHeight="1">
      <c r="A1060" s="161"/>
      <c r="B1060" s="161"/>
      <c r="C1060" s="161"/>
      <c r="D1060" s="161"/>
      <c r="E1060" s="161"/>
      <c r="F1060" s="161"/>
      <c r="G1060" s="161"/>
      <c r="H1060" s="161"/>
      <c r="I1060" s="161"/>
      <c r="J1060" s="161"/>
      <c r="K1060" s="161"/>
      <c r="L1060" s="161"/>
      <c r="M1060" s="161"/>
      <c r="N1060" s="161"/>
      <c r="O1060" s="161"/>
      <c r="P1060" s="161"/>
      <c r="Q1060" s="161"/>
      <c r="R1060" s="161"/>
      <c r="S1060" s="161"/>
      <c r="T1060" s="161"/>
      <c r="U1060" s="161"/>
      <c r="V1060" s="161"/>
      <c r="W1060" s="161"/>
      <c r="X1060" s="161"/>
      <c r="Y1060" s="161"/>
      <c r="Z1060" s="161"/>
      <c r="AA1060" s="161"/>
      <c r="AB1060" s="161"/>
    </row>
    <row r="1061" ht="15.75" customHeight="1">
      <c r="A1061" s="161"/>
      <c r="B1061" s="161"/>
      <c r="C1061" s="161"/>
      <c r="D1061" s="161"/>
      <c r="E1061" s="161"/>
      <c r="F1061" s="161"/>
      <c r="G1061" s="161"/>
      <c r="H1061" s="161"/>
      <c r="I1061" s="161"/>
      <c r="J1061" s="161"/>
      <c r="K1061" s="161"/>
      <c r="L1061" s="161"/>
      <c r="M1061" s="161"/>
      <c r="N1061" s="161"/>
      <c r="O1061" s="161"/>
      <c r="P1061" s="161"/>
      <c r="Q1061" s="161"/>
      <c r="R1061" s="161"/>
      <c r="S1061" s="161"/>
      <c r="T1061" s="161"/>
      <c r="U1061" s="161"/>
      <c r="V1061" s="161"/>
      <c r="W1061" s="161"/>
      <c r="X1061" s="161"/>
      <c r="Y1061" s="161"/>
      <c r="Z1061" s="161"/>
      <c r="AA1061" s="161"/>
      <c r="AB1061" s="161"/>
    </row>
    <row r="1062" ht="15.75" customHeight="1">
      <c r="A1062" s="161"/>
      <c r="B1062" s="161"/>
      <c r="C1062" s="161"/>
      <c r="D1062" s="161"/>
      <c r="E1062" s="161"/>
      <c r="F1062" s="161"/>
      <c r="G1062" s="161"/>
      <c r="H1062" s="161"/>
      <c r="I1062" s="161"/>
      <c r="J1062" s="161"/>
      <c r="K1062" s="161"/>
      <c r="L1062" s="161"/>
      <c r="M1062" s="161"/>
      <c r="N1062" s="161"/>
      <c r="O1062" s="161"/>
      <c r="P1062" s="161"/>
      <c r="Q1062" s="161"/>
      <c r="R1062" s="161"/>
      <c r="S1062" s="161"/>
      <c r="T1062" s="161"/>
      <c r="U1062" s="161"/>
      <c r="V1062" s="161"/>
      <c r="W1062" s="161"/>
      <c r="X1062" s="161"/>
      <c r="Y1062" s="161"/>
      <c r="Z1062" s="161"/>
      <c r="AA1062" s="161"/>
      <c r="AB1062" s="161"/>
    </row>
    <row r="1063" ht="15.75" customHeight="1">
      <c r="A1063" s="161"/>
      <c r="B1063" s="161"/>
      <c r="C1063" s="161"/>
      <c r="D1063" s="161"/>
      <c r="E1063" s="161"/>
      <c r="F1063" s="161"/>
      <c r="G1063" s="161"/>
      <c r="H1063" s="161"/>
      <c r="I1063" s="161"/>
      <c r="J1063" s="161"/>
      <c r="K1063" s="161"/>
      <c r="L1063" s="161"/>
      <c r="M1063" s="161"/>
      <c r="N1063" s="161"/>
      <c r="O1063" s="161"/>
      <c r="P1063" s="161"/>
      <c r="Q1063" s="161"/>
      <c r="R1063" s="161"/>
      <c r="S1063" s="161"/>
      <c r="T1063" s="161"/>
      <c r="U1063" s="161"/>
      <c r="V1063" s="161"/>
      <c r="W1063" s="161"/>
      <c r="X1063" s="161"/>
      <c r="Y1063" s="161"/>
      <c r="Z1063" s="161"/>
      <c r="AA1063" s="161"/>
      <c r="AB1063" s="161"/>
    </row>
    <row r="1064" ht="15.75" customHeight="1">
      <c r="A1064" s="161"/>
      <c r="B1064" s="161"/>
      <c r="C1064" s="161"/>
      <c r="D1064" s="161"/>
      <c r="E1064" s="161"/>
      <c r="F1064" s="161"/>
      <c r="G1064" s="161"/>
      <c r="H1064" s="161"/>
      <c r="I1064" s="161"/>
      <c r="J1064" s="161"/>
      <c r="K1064" s="161"/>
      <c r="L1064" s="161"/>
      <c r="M1064" s="161"/>
      <c r="N1064" s="161"/>
      <c r="O1064" s="161"/>
      <c r="P1064" s="161"/>
      <c r="Q1064" s="161"/>
      <c r="R1064" s="161"/>
      <c r="S1064" s="161"/>
      <c r="T1064" s="161"/>
      <c r="U1064" s="161"/>
      <c r="V1064" s="161"/>
      <c r="W1064" s="161"/>
      <c r="X1064" s="161"/>
      <c r="Y1064" s="161"/>
      <c r="Z1064" s="161"/>
      <c r="AA1064" s="161"/>
      <c r="AB1064" s="161"/>
    </row>
    <row r="1065" ht="15.75" customHeight="1">
      <c r="A1065" s="161"/>
      <c r="B1065" s="161"/>
      <c r="C1065" s="161"/>
      <c r="D1065" s="161"/>
      <c r="E1065" s="161"/>
      <c r="F1065" s="161"/>
      <c r="G1065" s="161"/>
      <c r="H1065" s="161"/>
      <c r="I1065" s="161"/>
      <c r="J1065" s="161"/>
      <c r="K1065" s="161"/>
      <c r="L1065" s="161"/>
      <c r="M1065" s="161"/>
      <c r="N1065" s="161"/>
      <c r="O1065" s="161"/>
      <c r="P1065" s="161"/>
      <c r="Q1065" s="161"/>
      <c r="R1065" s="161"/>
      <c r="S1065" s="161"/>
      <c r="T1065" s="161"/>
      <c r="U1065" s="161"/>
      <c r="V1065" s="161"/>
      <c r="W1065" s="161"/>
      <c r="X1065" s="161"/>
      <c r="Y1065" s="161"/>
      <c r="Z1065" s="161"/>
      <c r="AA1065" s="161"/>
      <c r="AB1065" s="161"/>
    </row>
    <row r="1066" ht="15.75" customHeight="1">
      <c r="A1066" s="161"/>
      <c r="B1066" s="161"/>
      <c r="C1066" s="161"/>
      <c r="D1066" s="161"/>
      <c r="E1066" s="161"/>
      <c r="F1066" s="161"/>
      <c r="G1066" s="161"/>
      <c r="H1066" s="161"/>
      <c r="I1066" s="161"/>
      <c r="J1066" s="161"/>
      <c r="K1066" s="161"/>
      <c r="L1066" s="161"/>
      <c r="M1066" s="161"/>
      <c r="N1066" s="161"/>
      <c r="O1066" s="161"/>
      <c r="P1066" s="161"/>
      <c r="Q1066" s="161"/>
      <c r="R1066" s="161"/>
      <c r="S1066" s="161"/>
      <c r="T1066" s="161"/>
      <c r="U1066" s="161"/>
      <c r="V1066" s="161"/>
      <c r="W1066" s="161"/>
      <c r="X1066" s="161"/>
      <c r="Y1066" s="161"/>
      <c r="Z1066" s="161"/>
      <c r="AA1066" s="161"/>
      <c r="AB1066" s="161"/>
    </row>
    <row r="1067" ht="15.75" customHeight="1">
      <c r="A1067" s="161"/>
      <c r="B1067" s="161"/>
      <c r="C1067" s="161"/>
      <c r="D1067" s="161"/>
      <c r="E1067" s="161"/>
      <c r="F1067" s="161"/>
      <c r="G1067" s="161"/>
      <c r="H1067" s="161"/>
      <c r="I1067" s="161"/>
      <c r="J1067" s="161"/>
      <c r="K1067" s="161"/>
      <c r="L1067" s="161"/>
      <c r="M1067" s="161"/>
      <c r="N1067" s="161"/>
      <c r="O1067" s="161"/>
      <c r="P1067" s="161"/>
      <c r="Q1067" s="161"/>
      <c r="R1067" s="161"/>
      <c r="S1067" s="161"/>
      <c r="T1067" s="161"/>
      <c r="U1067" s="161"/>
      <c r="V1067" s="161"/>
      <c r="W1067" s="161"/>
      <c r="X1067" s="161"/>
      <c r="Y1067" s="161"/>
      <c r="Z1067" s="161"/>
      <c r="AA1067" s="161"/>
      <c r="AB1067" s="161"/>
    </row>
    <row r="1068" ht="15.75" customHeight="1">
      <c r="A1068" s="161"/>
      <c r="B1068" s="161"/>
      <c r="C1068" s="161"/>
      <c r="D1068" s="161"/>
      <c r="E1068" s="161"/>
      <c r="F1068" s="161"/>
      <c r="G1068" s="161"/>
      <c r="H1068" s="161"/>
      <c r="I1068" s="161"/>
      <c r="J1068" s="161"/>
      <c r="K1068" s="161"/>
      <c r="L1068" s="161"/>
      <c r="M1068" s="161"/>
      <c r="N1068" s="161"/>
      <c r="O1068" s="161"/>
      <c r="P1068" s="161"/>
      <c r="Q1068" s="161"/>
      <c r="R1068" s="161"/>
      <c r="S1068" s="161"/>
      <c r="T1068" s="161"/>
      <c r="U1068" s="161"/>
      <c r="V1068" s="161"/>
      <c r="W1068" s="161"/>
      <c r="X1068" s="161"/>
      <c r="Y1068" s="161"/>
      <c r="Z1068" s="161"/>
      <c r="AA1068" s="161"/>
      <c r="AB1068" s="161"/>
    </row>
    <row r="1069" ht="15.75" customHeight="1">
      <c r="A1069" s="161"/>
      <c r="B1069" s="161"/>
      <c r="C1069" s="161"/>
      <c r="D1069" s="161"/>
      <c r="E1069" s="161"/>
      <c r="F1069" s="161"/>
      <c r="G1069" s="161"/>
      <c r="H1069" s="161"/>
      <c r="I1069" s="161"/>
      <c r="J1069" s="161"/>
      <c r="K1069" s="161"/>
      <c r="L1069" s="161"/>
      <c r="M1069" s="161"/>
      <c r="N1069" s="161"/>
      <c r="O1069" s="161"/>
      <c r="P1069" s="161"/>
      <c r="Q1069" s="161"/>
      <c r="R1069" s="161"/>
      <c r="S1069" s="161"/>
      <c r="T1069" s="161"/>
      <c r="U1069" s="161"/>
      <c r="V1069" s="161"/>
      <c r="W1069" s="161"/>
      <c r="X1069" s="161"/>
      <c r="Y1069" s="161"/>
      <c r="Z1069" s="161"/>
      <c r="AA1069" s="161"/>
      <c r="AB1069" s="161"/>
    </row>
    <row r="1070" ht="15.75" customHeight="1">
      <c r="A1070" s="161"/>
      <c r="B1070" s="161"/>
      <c r="C1070" s="161"/>
      <c r="D1070" s="161"/>
      <c r="E1070" s="161"/>
      <c r="F1070" s="161"/>
      <c r="G1070" s="161"/>
      <c r="H1070" s="161"/>
      <c r="I1070" s="161"/>
      <c r="J1070" s="161"/>
      <c r="K1070" s="161"/>
      <c r="L1070" s="161"/>
      <c r="M1070" s="161"/>
      <c r="N1070" s="161"/>
      <c r="O1070" s="161"/>
      <c r="P1070" s="161"/>
      <c r="Q1070" s="161"/>
      <c r="R1070" s="161"/>
      <c r="S1070" s="161"/>
      <c r="T1070" s="161"/>
      <c r="U1070" s="161"/>
      <c r="V1070" s="161"/>
      <c r="W1070" s="161"/>
      <c r="X1070" s="161"/>
      <c r="Y1070" s="161"/>
      <c r="Z1070" s="161"/>
      <c r="AA1070" s="161"/>
      <c r="AB1070" s="161"/>
    </row>
    <row r="1071" ht="15.75" customHeight="1">
      <c r="A1071" s="161"/>
      <c r="B1071" s="161"/>
      <c r="C1071" s="161"/>
      <c r="D1071" s="161"/>
      <c r="E1071" s="161"/>
      <c r="F1071" s="161"/>
      <c r="G1071" s="161"/>
      <c r="H1071" s="161"/>
      <c r="I1071" s="161"/>
      <c r="J1071" s="161"/>
      <c r="K1071" s="161"/>
      <c r="L1071" s="161"/>
      <c r="M1071" s="161"/>
      <c r="N1071" s="161"/>
      <c r="O1071" s="161"/>
      <c r="P1071" s="161"/>
      <c r="Q1071" s="161"/>
      <c r="R1071" s="161"/>
      <c r="S1071" s="161"/>
      <c r="T1071" s="161"/>
      <c r="U1071" s="161"/>
      <c r="V1071" s="161"/>
      <c r="W1071" s="161"/>
      <c r="X1071" s="161"/>
      <c r="Y1071" s="161"/>
      <c r="Z1071" s="161"/>
      <c r="AA1071" s="161"/>
      <c r="AB1071" s="161"/>
    </row>
    <row r="1072" ht="15.75" customHeight="1">
      <c r="A1072" s="161"/>
      <c r="B1072" s="161"/>
      <c r="C1072" s="161"/>
      <c r="D1072" s="161"/>
      <c r="E1072" s="161"/>
      <c r="F1072" s="161"/>
      <c r="G1072" s="161"/>
      <c r="H1072" s="161"/>
      <c r="I1072" s="161"/>
      <c r="J1072" s="161"/>
      <c r="K1072" s="161"/>
      <c r="L1072" s="161"/>
      <c r="M1072" s="161"/>
      <c r="N1072" s="161"/>
      <c r="O1072" s="161"/>
      <c r="P1072" s="161"/>
      <c r="Q1072" s="161"/>
      <c r="R1072" s="161"/>
      <c r="S1072" s="161"/>
      <c r="T1072" s="161"/>
      <c r="U1072" s="161"/>
      <c r="V1072" s="161"/>
      <c r="W1072" s="161"/>
      <c r="X1072" s="161"/>
      <c r="Y1072" s="161"/>
      <c r="Z1072" s="161"/>
      <c r="AA1072" s="161"/>
      <c r="AB1072" s="161"/>
    </row>
    <row r="1073" ht="15.75" customHeight="1">
      <c r="A1073" s="161"/>
      <c r="B1073" s="161"/>
      <c r="C1073" s="161"/>
      <c r="D1073" s="161"/>
      <c r="E1073" s="161"/>
      <c r="F1073" s="161"/>
      <c r="G1073" s="161"/>
      <c r="H1073" s="161"/>
      <c r="I1073" s="161"/>
      <c r="J1073" s="161"/>
      <c r="K1073" s="161"/>
      <c r="L1073" s="161"/>
      <c r="M1073" s="161"/>
      <c r="N1073" s="161"/>
      <c r="O1073" s="161"/>
      <c r="P1073" s="161"/>
      <c r="Q1073" s="161"/>
      <c r="R1073" s="161"/>
      <c r="S1073" s="161"/>
      <c r="T1073" s="161"/>
      <c r="U1073" s="161"/>
      <c r="V1073" s="161"/>
      <c r="W1073" s="161"/>
      <c r="X1073" s="161"/>
      <c r="Y1073" s="161"/>
      <c r="Z1073" s="161"/>
      <c r="AA1073" s="161"/>
      <c r="AB1073" s="161"/>
    </row>
    <row r="1074" ht="15.75" customHeight="1">
      <c r="A1074" s="161"/>
      <c r="B1074" s="161"/>
      <c r="C1074" s="161"/>
      <c r="D1074" s="161"/>
      <c r="E1074" s="161"/>
      <c r="F1074" s="161"/>
      <c r="G1074" s="161"/>
      <c r="H1074" s="161"/>
      <c r="I1074" s="161"/>
      <c r="J1074" s="161"/>
      <c r="K1074" s="161"/>
      <c r="L1074" s="161"/>
      <c r="M1074" s="161"/>
      <c r="N1074" s="161"/>
      <c r="O1074" s="161"/>
      <c r="P1074" s="161"/>
      <c r="Q1074" s="161"/>
      <c r="R1074" s="161"/>
      <c r="S1074" s="161"/>
      <c r="T1074" s="161"/>
      <c r="U1074" s="161"/>
      <c r="V1074" s="161"/>
      <c r="W1074" s="161"/>
      <c r="X1074" s="161"/>
      <c r="Y1074" s="161"/>
      <c r="Z1074" s="161"/>
      <c r="AA1074" s="161"/>
      <c r="AB1074" s="161"/>
    </row>
    <row r="1075" ht="15.75" customHeight="1">
      <c r="A1075" s="161"/>
      <c r="B1075" s="161"/>
      <c r="C1075" s="161"/>
      <c r="D1075" s="161"/>
      <c r="E1075" s="161"/>
      <c r="F1075" s="161"/>
      <c r="G1075" s="161"/>
      <c r="H1075" s="161"/>
      <c r="I1075" s="161"/>
      <c r="J1075" s="161"/>
      <c r="K1075" s="161"/>
      <c r="L1075" s="161"/>
      <c r="M1075" s="161"/>
      <c r="N1075" s="161"/>
      <c r="O1075" s="161"/>
      <c r="P1075" s="161"/>
      <c r="Q1075" s="161"/>
      <c r="R1075" s="161"/>
      <c r="S1075" s="161"/>
      <c r="T1075" s="161"/>
      <c r="U1075" s="161"/>
      <c r="V1075" s="161"/>
      <c r="W1075" s="161"/>
      <c r="X1075" s="161"/>
      <c r="Y1075" s="161"/>
      <c r="Z1075" s="161"/>
      <c r="AA1075" s="161"/>
      <c r="AB1075" s="161"/>
    </row>
    <row r="1076" ht="15.75" customHeight="1">
      <c r="A1076" s="161"/>
      <c r="B1076" s="161"/>
      <c r="C1076" s="161"/>
      <c r="D1076" s="161"/>
      <c r="E1076" s="161"/>
      <c r="F1076" s="161"/>
      <c r="G1076" s="161"/>
      <c r="H1076" s="161"/>
      <c r="I1076" s="161"/>
      <c r="J1076" s="161"/>
      <c r="K1076" s="161"/>
      <c r="L1076" s="161"/>
      <c r="M1076" s="161"/>
      <c r="N1076" s="161"/>
      <c r="O1076" s="161"/>
      <c r="P1076" s="161"/>
      <c r="Q1076" s="161"/>
      <c r="R1076" s="161"/>
      <c r="S1076" s="161"/>
      <c r="T1076" s="161"/>
      <c r="U1076" s="161"/>
      <c r="V1076" s="161"/>
      <c r="W1076" s="161"/>
      <c r="X1076" s="161"/>
      <c r="Y1076" s="161"/>
      <c r="Z1076" s="161"/>
      <c r="AA1076" s="161"/>
      <c r="AB1076" s="161"/>
    </row>
    <row r="1077" ht="15.75" customHeight="1">
      <c r="A1077" s="161"/>
      <c r="B1077" s="161"/>
      <c r="C1077" s="161"/>
      <c r="D1077" s="161"/>
      <c r="E1077" s="161"/>
      <c r="F1077" s="161"/>
      <c r="G1077" s="161"/>
      <c r="H1077" s="161"/>
      <c r="I1077" s="161"/>
      <c r="J1077" s="161"/>
      <c r="K1077" s="161"/>
      <c r="L1077" s="161"/>
      <c r="M1077" s="161"/>
      <c r="N1077" s="161"/>
      <c r="O1077" s="161"/>
      <c r="P1077" s="161"/>
      <c r="Q1077" s="161"/>
      <c r="R1077" s="161"/>
      <c r="S1077" s="161"/>
      <c r="T1077" s="161"/>
      <c r="U1077" s="161"/>
      <c r="V1077" s="161"/>
      <c r="W1077" s="161"/>
      <c r="X1077" s="161"/>
      <c r="Y1077" s="161"/>
      <c r="Z1077" s="161"/>
      <c r="AA1077" s="161"/>
      <c r="AB1077" s="161"/>
    </row>
    <row r="1078" ht="15.75" customHeight="1">
      <c r="A1078" s="161"/>
      <c r="B1078" s="161"/>
      <c r="C1078" s="161"/>
      <c r="D1078" s="161"/>
      <c r="E1078" s="161"/>
      <c r="F1078" s="161"/>
      <c r="G1078" s="161"/>
      <c r="H1078" s="161"/>
      <c r="I1078" s="161"/>
      <c r="J1078" s="161"/>
      <c r="K1078" s="161"/>
      <c r="L1078" s="161"/>
      <c r="M1078" s="161"/>
      <c r="N1078" s="161"/>
      <c r="O1078" s="161"/>
      <c r="P1078" s="161"/>
      <c r="Q1078" s="161"/>
      <c r="R1078" s="161"/>
      <c r="S1078" s="161"/>
      <c r="T1078" s="161"/>
      <c r="U1078" s="161"/>
      <c r="V1078" s="161"/>
      <c r="W1078" s="161"/>
      <c r="X1078" s="161"/>
      <c r="Y1078" s="161"/>
      <c r="Z1078" s="161"/>
      <c r="AA1078" s="161"/>
      <c r="AB1078" s="161"/>
    </row>
    <row r="1079" ht="15.75" customHeight="1">
      <c r="A1079" s="161"/>
      <c r="B1079" s="161"/>
      <c r="C1079" s="161"/>
      <c r="D1079" s="161"/>
      <c r="E1079" s="161"/>
      <c r="F1079" s="161"/>
      <c r="G1079" s="161"/>
      <c r="H1079" s="161"/>
      <c r="I1079" s="161"/>
      <c r="J1079" s="161"/>
      <c r="K1079" s="161"/>
      <c r="L1079" s="161"/>
      <c r="M1079" s="161"/>
      <c r="N1079" s="161"/>
      <c r="O1079" s="161"/>
      <c r="P1079" s="161"/>
      <c r="Q1079" s="161"/>
      <c r="R1079" s="161"/>
      <c r="S1079" s="161"/>
      <c r="T1079" s="161"/>
      <c r="U1079" s="161"/>
      <c r="V1079" s="161"/>
      <c r="W1079" s="161"/>
      <c r="X1079" s="161"/>
      <c r="Y1079" s="161"/>
      <c r="Z1079" s="161"/>
      <c r="AA1079" s="161"/>
      <c r="AB1079" s="161"/>
    </row>
    <row r="1080" ht="15.75" customHeight="1">
      <c r="A1080" s="161"/>
      <c r="B1080" s="161"/>
      <c r="C1080" s="161"/>
      <c r="D1080" s="161"/>
      <c r="E1080" s="161"/>
      <c r="F1080" s="161"/>
      <c r="G1080" s="161"/>
      <c r="H1080" s="161"/>
      <c r="I1080" s="161"/>
      <c r="J1080" s="161"/>
      <c r="K1080" s="161"/>
      <c r="L1080" s="161"/>
      <c r="M1080" s="161"/>
      <c r="N1080" s="161"/>
      <c r="O1080" s="161"/>
      <c r="P1080" s="161"/>
      <c r="Q1080" s="161"/>
      <c r="R1080" s="161"/>
      <c r="S1080" s="161"/>
      <c r="T1080" s="161"/>
      <c r="U1080" s="161"/>
      <c r="V1080" s="161"/>
      <c r="W1080" s="161"/>
      <c r="X1080" s="161"/>
      <c r="Y1080" s="161"/>
      <c r="Z1080" s="161"/>
      <c r="AA1080" s="161"/>
      <c r="AB1080" s="161"/>
    </row>
    <row r="1081" ht="15.75" customHeight="1">
      <c r="A1081" s="161"/>
      <c r="B1081" s="161"/>
      <c r="C1081" s="161"/>
      <c r="D1081" s="161"/>
      <c r="E1081" s="161"/>
      <c r="F1081" s="161"/>
      <c r="G1081" s="161"/>
      <c r="H1081" s="161"/>
      <c r="I1081" s="161"/>
      <c r="J1081" s="161"/>
      <c r="K1081" s="161"/>
      <c r="L1081" s="161"/>
      <c r="M1081" s="161"/>
      <c r="N1081" s="161"/>
      <c r="O1081" s="161"/>
      <c r="P1081" s="161"/>
      <c r="Q1081" s="161"/>
      <c r="R1081" s="161"/>
      <c r="S1081" s="161"/>
      <c r="T1081" s="161"/>
      <c r="U1081" s="161"/>
      <c r="V1081" s="161"/>
      <c r="W1081" s="161"/>
      <c r="X1081" s="161"/>
      <c r="Y1081" s="161"/>
      <c r="Z1081" s="161"/>
      <c r="AA1081" s="161"/>
      <c r="AB1081" s="161"/>
    </row>
    <row r="1082" ht="15.75" customHeight="1">
      <c r="A1082" s="161"/>
      <c r="B1082" s="161"/>
      <c r="C1082" s="161"/>
      <c r="D1082" s="161"/>
      <c r="E1082" s="161"/>
      <c r="F1082" s="161"/>
      <c r="G1082" s="161"/>
      <c r="H1082" s="161"/>
      <c r="I1082" s="161"/>
      <c r="J1082" s="161"/>
      <c r="K1082" s="161"/>
      <c r="L1082" s="161"/>
      <c r="M1082" s="161"/>
      <c r="N1082" s="161"/>
      <c r="O1082" s="161"/>
      <c r="P1082" s="161"/>
      <c r="Q1082" s="161"/>
      <c r="R1082" s="161"/>
      <c r="S1082" s="161"/>
      <c r="T1082" s="161"/>
      <c r="U1082" s="161"/>
      <c r="V1082" s="161"/>
      <c r="W1082" s="161"/>
      <c r="X1082" s="161"/>
      <c r="Y1082" s="161"/>
      <c r="Z1082" s="161"/>
      <c r="AA1082" s="161"/>
      <c r="AB1082" s="161"/>
    </row>
    <row r="1083" ht="15.75" customHeight="1">
      <c r="A1083" s="161"/>
      <c r="B1083" s="161"/>
      <c r="C1083" s="161"/>
      <c r="D1083" s="161"/>
      <c r="E1083" s="161"/>
      <c r="F1083" s="161"/>
      <c r="G1083" s="161"/>
      <c r="H1083" s="161"/>
      <c r="I1083" s="161"/>
      <c r="J1083" s="161"/>
      <c r="K1083" s="161"/>
      <c r="L1083" s="161"/>
      <c r="M1083" s="161"/>
      <c r="N1083" s="161"/>
      <c r="O1083" s="161"/>
      <c r="P1083" s="161"/>
      <c r="Q1083" s="161"/>
      <c r="R1083" s="161"/>
      <c r="S1083" s="161"/>
      <c r="T1083" s="161"/>
      <c r="U1083" s="161"/>
      <c r="V1083" s="161"/>
      <c r="W1083" s="161"/>
      <c r="X1083" s="161"/>
      <c r="Y1083" s="161"/>
      <c r="Z1083" s="161"/>
      <c r="AA1083" s="161"/>
      <c r="AB1083" s="161"/>
    </row>
    <row r="1084" ht="15.75" customHeight="1">
      <c r="A1084" s="161"/>
      <c r="B1084" s="161"/>
      <c r="C1084" s="161"/>
      <c r="D1084" s="161"/>
      <c r="E1084" s="161"/>
      <c r="F1084" s="161"/>
      <c r="G1084" s="161"/>
      <c r="H1084" s="161"/>
      <c r="I1084" s="161"/>
      <c r="J1084" s="161"/>
      <c r="K1084" s="161"/>
      <c r="L1084" s="161"/>
      <c r="M1084" s="161"/>
      <c r="N1084" s="161"/>
      <c r="O1084" s="161"/>
      <c r="P1084" s="161"/>
      <c r="Q1084" s="161"/>
      <c r="R1084" s="161"/>
      <c r="S1084" s="161"/>
      <c r="T1084" s="161"/>
      <c r="U1084" s="161"/>
      <c r="V1084" s="161"/>
      <c r="W1084" s="161"/>
      <c r="X1084" s="161"/>
      <c r="Y1084" s="161"/>
      <c r="Z1084" s="161"/>
      <c r="AA1084" s="161"/>
      <c r="AB1084" s="161"/>
    </row>
    <row r="1085" ht="15.75" customHeight="1">
      <c r="A1085" s="161"/>
      <c r="B1085" s="161"/>
      <c r="C1085" s="161"/>
      <c r="D1085" s="161"/>
      <c r="E1085" s="161"/>
      <c r="F1085" s="161"/>
      <c r="G1085" s="161"/>
      <c r="H1085" s="161"/>
      <c r="I1085" s="161"/>
      <c r="J1085" s="161"/>
      <c r="K1085" s="161"/>
      <c r="L1085" s="161"/>
      <c r="M1085" s="161"/>
      <c r="N1085" s="161"/>
      <c r="O1085" s="161"/>
      <c r="P1085" s="161"/>
      <c r="Q1085" s="161"/>
      <c r="R1085" s="161"/>
      <c r="S1085" s="161"/>
      <c r="T1085" s="161"/>
      <c r="U1085" s="161"/>
      <c r="V1085" s="161"/>
      <c r="W1085" s="161"/>
      <c r="X1085" s="161"/>
      <c r="Y1085" s="161"/>
      <c r="Z1085" s="161"/>
      <c r="AA1085" s="161"/>
      <c r="AB1085" s="161"/>
    </row>
    <row r="1086" ht="15.75" customHeight="1">
      <c r="A1086" s="161"/>
      <c r="B1086" s="161"/>
      <c r="C1086" s="161"/>
      <c r="D1086" s="161"/>
      <c r="E1086" s="161"/>
      <c r="F1086" s="161"/>
      <c r="G1086" s="161"/>
      <c r="H1086" s="161"/>
      <c r="I1086" s="161"/>
      <c r="J1086" s="161"/>
      <c r="K1086" s="161"/>
      <c r="L1086" s="161"/>
      <c r="M1086" s="161"/>
      <c r="N1086" s="161"/>
      <c r="O1086" s="161"/>
      <c r="P1086" s="161"/>
      <c r="Q1086" s="161"/>
      <c r="R1086" s="161"/>
      <c r="S1086" s="161"/>
      <c r="T1086" s="161"/>
      <c r="U1086" s="161"/>
      <c r="V1086" s="161"/>
      <c r="W1086" s="161"/>
      <c r="X1086" s="161"/>
      <c r="Y1086" s="161"/>
      <c r="Z1086" s="161"/>
      <c r="AA1086" s="161"/>
      <c r="AB1086" s="161"/>
    </row>
    <row r="1087" ht="15.75" customHeight="1">
      <c r="A1087" s="161"/>
      <c r="B1087" s="161"/>
      <c r="C1087" s="161"/>
      <c r="D1087" s="161"/>
      <c r="E1087" s="161"/>
      <c r="F1087" s="161"/>
      <c r="G1087" s="161"/>
      <c r="H1087" s="161"/>
      <c r="I1087" s="161"/>
      <c r="J1087" s="161"/>
      <c r="K1087" s="161"/>
      <c r="L1087" s="161"/>
      <c r="M1087" s="161"/>
      <c r="N1087" s="161"/>
      <c r="O1087" s="161"/>
      <c r="P1087" s="161"/>
      <c r="Q1087" s="161"/>
      <c r="R1087" s="161"/>
      <c r="S1087" s="161"/>
      <c r="T1087" s="161"/>
      <c r="U1087" s="161"/>
      <c r="V1087" s="161"/>
      <c r="W1087" s="161"/>
      <c r="X1087" s="161"/>
      <c r="Y1087" s="161"/>
      <c r="Z1087" s="161"/>
      <c r="AA1087" s="161"/>
      <c r="AB1087" s="161"/>
    </row>
    <row r="1088" ht="13.75" customHeight="1">
      <c r="A1088" s="161"/>
      <c r="B1088" s="161"/>
      <c r="C1088" s="161"/>
      <c r="D1088" s="161"/>
      <c r="E1088" s="161"/>
      <c r="F1088" s="161"/>
      <c r="G1088" s="161"/>
      <c r="H1088" s="161"/>
      <c r="I1088" s="161"/>
      <c r="J1088" s="161"/>
      <c r="K1088" s="161"/>
      <c r="L1088" s="161"/>
      <c r="M1088" s="161"/>
      <c r="N1088" s="161"/>
      <c r="O1088" s="161"/>
      <c r="P1088" s="161"/>
      <c r="Q1088" s="161"/>
      <c r="R1088" s="161"/>
      <c r="S1088" s="161"/>
      <c r="T1088" s="161"/>
      <c r="U1088" s="161"/>
      <c r="V1088" s="161"/>
      <c r="W1088" s="161"/>
      <c r="X1088" s="161"/>
      <c r="Y1088" s="161"/>
      <c r="Z1088" s="161"/>
      <c r="AA1088" s="161"/>
      <c r="AB1088" s="161"/>
    </row>
    <row r="1089" ht="13.75" customHeight="1">
      <c r="A1089" s="161"/>
      <c r="B1089" s="161"/>
      <c r="C1089" s="161"/>
      <c r="D1089" s="161"/>
      <c r="E1089" s="161"/>
      <c r="F1089" s="161"/>
      <c r="G1089" s="161"/>
      <c r="H1089" s="161"/>
      <c r="I1089" s="161"/>
      <c r="J1089" s="161"/>
      <c r="K1089" s="161"/>
      <c r="L1089" s="161"/>
      <c r="M1089" s="161"/>
      <c r="N1089" s="161"/>
      <c r="O1089" s="161"/>
      <c r="P1089" s="161"/>
      <c r="Q1089" s="161"/>
      <c r="R1089" s="161"/>
      <c r="S1089" s="161"/>
      <c r="T1089" s="161"/>
      <c r="U1089" s="161"/>
      <c r="V1089" s="161"/>
      <c r="W1089" s="161"/>
      <c r="X1089" s="161"/>
      <c r="Y1089" s="161"/>
      <c r="Z1089" s="161"/>
      <c r="AA1089" s="161"/>
      <c r="AB1089" s="161"/>
    </row>
    <row r="1090" ht="13.75" customHeight="1">
      <c r="A1090" s="161"/>
      <c r="B1090" s="161"/>
      <c r="C1090" s="161"/>
      <c r="D1090" s="161"/>
      <c r="E1090" s="161"/>
      <c r="F1090" s="161"/>
      <c r="G1090" s="161"/>
      <c r="H1090" s="161"/>
      <c r="I1090" s="161"/>
      <c r="J1090" s="161"/>
      <c r="K1090" s="161"/>
      <c r="L1090" s="161"/>
      <c r="M1090" s="161"/>
      <c r="N1090" s="161"/>
      <c r="O1090" s="161"/>
      <c r="P1090" s="161"/>
      <c r="Q1090" s="161"/>
      <c r="R1090" s="161"/>
      <c r="S1090" s="161"/>
      <c r="T1090" s="161"/>
      <c r="U1090" s="161"/>
      <c r="V1090" s="161"/>
      <c r="W1090" s="161"/>
      <c r="X1090" s="161"/>
      <c r="Y1090" s="161"/>
      <c r="Z1090" s="161"/>
      <c r="AA1090" s="161"/>
      <c r="AB1090" s="161"/>
    </row>
    <row r="1091" ht="13.75" customHeight="1">
      <c r="A1091" s="161"/>
      <c r="B1091" s="161"/>
      <c r="C1091" s="161"/>
      <c r="D1091" s="161"/>
      <c r="E1091" s="161"/>
      <c r="F1091" s="161"/>
      <c r="G1091" s="161"/>
      <c r="H1091" s="161"/>
      <c r="I1091" s="161"/>
      <c r="J1091" s="161"/>
      <c r="K1091" s="161"/>
      <c r="L1091" s="161"/>
      <c r="M1091" s="161"/>
      <c r="N1091" s="161"/>
      <c r="O1091" s="161"/>
      <c r="P1091" s="161"/>
      <c r="Q1091" s="161"/>
      <c r="R1091" s="161"/>
      <c r="S1091" s="161"/>
      <c r="T1091" s="161"/>
      <c r="U1091" s="161"/>
      <c r="V1091" s="161"/>
      <c r="W1091" s="161"/>
      <c r="X1091" s="161"/>
      <c r="Y1091" s="161"/>
      <c r="Z1091" s="161"/>
      <c r="AA1091" s="161"/>
      <c r="AB1091" s="161"/>
    </row>
    <row r="1092" ht="13.75" customHeight="1">
      <c r="A1092" s="161"/>
      <c r="B1092" s="161"/>
      <c r="C1092" s="161"/>
      <c r="D1092" s="161"/>
      <c r="E1092" s="161"/>
      <c r="F1092" s="161"/>
      <c r="G1092" s="161"/>
      <c r="H1092" s="161"/>
      <c r="I1092" s="161"/>
      <c r="J1092" s="161"/>
      <c r="K1092" s="161"/>
      <c r="L1092" s="161"/>
      <c r="M1092" s="161"/>
      <c r="N1092" s="161"/>
      <c r="O1092" s="161"/>
      <c r="P1092" s="161"/>
      <c r="Q1092" s="161"/>
      <c r="R1092" s="161"/>
      <c r="S1092" s="161"/>
      <c r="T1092" s="161"/>
      <c r="U1092" s="161"/>
      <c r="V1092" s="161"/>
      <c r="W1092" s="161"/>
      <c r="X1092" s="161"/>
      <c r="Y1092" s="161"/>
      <c r="Z1092" s="161"/>
      <c r="AA1092" s="161"/>
      <c r="AB1092" s="161"/>
    </row>
    <row r="1093" ht="13.75" customHeight="1">
      <c r="A1093" s="161"/>
      <c r="B1093" s="161"/>
      <c r="C1093" s="161"/>
      <c r="D1093" s="161"/>
      <c r="E1093" s="161"/>
      <c r="F1093" s="161"/>
      <c r="G1093" s="161"/>
      <c r="H1093" s="161"/>
      <c r="I1093" s="161"/>
      <c r="J1093" s="161"/>
      <c r="K1093" s="161"/>
      <c r="L1093" s="161"/>
      <c r="M1093" s="161"/>
      <c r="N1093" s="161"/>
      <c r="O1093" s="161"/>
      <c r="P1093" s="161"/>
      <c r="Q1093" s="161"/>
      <c r="R1093" s="161"/>
      <c r="S1093" s="161"/>
      <c r="T1093" s="161"/>
      <c r="U1093" s="161"/>
      <c r="V1093" s="161"/>
      <c r="W1093" s="161"/>
      <c r="X1093" s="161"/>
      <c r="Y1093" s="161"/>
      <c r="Z1093" s="161"/>
      <c r="AA1093" s="161"/>
      <c r="AB1093" s="161"/>
    </row>
    <row r="1094" ht="13.75" customHeight="1">
      <c r="A1094" s="161"/>
      <c r="B1094" s="161"/>
      <c r="C1094" s="161"/>
      <c r="D1094" s="161"/>
      <c r="E1094" s="161"/>
      <c r="F1094" s="161"/>
      <c r="G1094" s="161"/>
      <c r="H1094" s="161"/>
      <c r="I1094" s="161"/>
      <c r="J1094" s="161"/>
      <c r="K1094" s="161"/>
      <c r="L1094" s="161"/>
      <c r="M1094" s="161"/>
      <c r="N1094" s="161"/>
      <c r="O1094" s="161"/>
      <c r="P1094" s="161"/>
      <c r="Q1094" s="161"/>
      <c r="R1094" s="161"/>
      <c r="S1094" s="161"/>
      <c r="T1094" s="161"/>
      <c r="U1094" s="161"/>
      <c r="V1094" s="161"/>
      <c r="W1094" s="161"/>
      <c r="X1094" s="161"/>
      <c r="Y1094" s="161"/>
      <c r="Z1094" s="161"/>
      <c r="AA1094" s="161"/>
      <c r="AB1094" s="161"/>
    </row>
    <row r="1095" ht="13.75" customHeight="1">
      <c r="A1095" s="161"/>
      <c r="B1095" s="161"/>
      <c r="C1095" s="161"/>
      <c r="D1095" s="161"/>
      <c r="E1095" s="161"/>
      <c r="F1095" s="161"/>
      <c r="G1095" s="161"/>
      <c r="H1095" s="161"/>
      <c r="I1095" s="161"/>
      <c r="J1095" s="161"/>
      <c r="K1095" s="161"/>
      <c r="L1095" s="161"/>
      <c r="M1095" s="161"/>
      <c r="N1095" s="161"/>
      <c r="O1095" s="161"/>
      <c r="P1095" s="161"/>
      <c r="Q1095" s="161"/>
      <c r="R1095" s="161"/>
      <c r="S1095" s="161"/>
      <c r="T1095" s="161"/>
      <c r="U1095" s="161"/>
      <c r="V1095" s="161"/>
      <c r="W1095" s="161"/>
      <c r="X1095" s="161"/>
      <c r="Y1095" s="161"/>
      <c r="Z1095" s="161"/>
      <c r="AA1095" s="161"/>
      <c r="AB1095" s="161"/>
    </row>
    <row r="1096" ht="13.75" customHeight="1">
      <c r="A1096" s="161"/>
      <c r="B1096" s="161"/>
      <c r="C1096" s="161"/>
      <c r="D1096" s="161"/>
      <c r="E1096" s="161"/>
      <c r="F1096" s="161"/>
      <c r="G1096" s="161"/>
      <c r="H1096" s="161"/>
      <c r="I1096" s="161"/>
      <c r="J1096" s="161"/>
      <c r="K1096" s="161"/>
      <c r="L1096" s="161"/>
      <c r="M1096" s="161"/>
      <c r="N1096" s="161"/>
      <c r="O1096" s="161"/>
      <c r="P1096" s="161"/>
      <c r="Q1096" s="161"/>
      <c r="R1096" s="161"/>
      <c r="S1096" s="161"/>
      <c r="T1096" s="161"/>
      <c r="U1096" s="161"/>
      <c r="V1096" s="161"/>
      <c r="W1096" s="161"/>
      <c r="X1096" s="161"/>
      <c r="Y1096" s="161"/>
      <c r="Z1096" s="161"/>
      <c r="AA1096" s="161"/>
      <c r="AB1096" s="161"/>
    </row>
    <row r="1097" ht="13.75" customHeight="1">
      <c r="A1097" s="161"/>
      <c r="B1097" s="161"/>
      <c r="C1097" s="161"/>
      <c r="D1097" s="161"/>
      <c r="E1097" s="161"/>
      <c r="F1097" s="161"/>
      <c r="G1097" s="161"/>
      <c r="H1097" s="161"/>
      <c r="I1097" s="161"/>
      <c r="J1097" s="161"/>
      <c r="K1097" s="161"/>
      <c r="L1097" s="161"/>
      <c r="M1097" s="161"/>
      <c r="N1097" s="161"/>
      <c r="O1097" s="161"/>
      <c r="P1097" s="161"/>
      <c r="Q1097" s="161"/>
      <c r="R1097" s="161"/>
      <c r="S1097" s="161"/>
      <c r="T1097" s="161"/>
      <c r="U1097" s="161"/>
      <c r="V1097" s="161"/>
      <c r="W1097" s="161"/>
      <c r="X1097" s="161"/>
      <c r="Y1097" s="161"/>
      <c r="Z1097" s="161"/>
      <c r="AA1097" s="161"/>
      <c r="AB1097" s="161"/>
    </row>
    <row r="1098" ht="13.75" customHeight="1">
      <c r="A1098" s="161"/>
      <c r="B1098" s="161"/>
      <c r="C1098" s="161"/>
      <c r="D1098" s="161"/>
      <c r="E1098" s="161"/>
      <c r="F1098" s="161"/>
      <c r="G1098" s="161"/>
      <c r="H1098" s="161"/>
      <c r="I1098" s="161"/>
      <c r="J1098" s="161"/>
      <c r="K1098" s="161"/>
      <c r="L1098" s="161"/>
      <c r="M1098" s="161"/>
      <c r="N1098" s="161"/>
      <c r="O1098" s="161"/>
      <c r="P1098" s="161"/>
      <c r="Q1098" s="161"/>
      <c r="R1098" s="161"/>
      <c r="S1098" s="161"/>
      <c r="T1098" s="161"/>
      <c r="U1098" s="161"/>
      <c r="V1098" s="161"/>
      <c r="W1098" s="161"/>
      <c r="X1098" s="161"/>
      <c r="Y1098" s="161"/>
      <c r="Z1098" s="161"/>
      <c r="AA1098" s="161"/>
      <c r="AB1098" s="161"/>
    </row>
    <row r="1099" ht="13.75" customHeight="1">
      <c r="A1099" s="161"/>
      <c r="B1099" s="161"/>
      <c r="C1099" s="161"/>
      <c r="D1099" s="161"/>
      <c r="E1099" s="161"/>
      <c r="F1099" s="161"/>
      <c r="G1099" s="161"/>
      <c r="H1099" s="161"/>
      <c r="I1099" s="161"/>
      <c r="J1099" s="161"/>
      <c r="K1099" s="161"/>
      <c r="L1099" s="161"/>
      <c r="M1099" s="161"/>
      <c r="N1099" s="161"/>
      <c r="O1099" s="161"/>
      <c r="P1099" s="161"/>
      <c r="Q1099" s="161"/>
      <c r="R1099" s="161"/>
      <c r="S1099" s="161"/>
      <c r="T1099" s="161"/>
      <c r="U1099" s="161"/>
      <c r="V1099" s="161"/>
      <c r="W1099" s="161"/>
      <c r="X1099" s="161"/>
      <c r="Y1099" s="161"/>
      <c r="Z1099" s="161"/>
      <c r="AA1099" s="161"/>
      <c r="AB1099" s="161"/>
    </row>
    <row r="1100" ht="13.75" customHeight="1">
      <c r="A1100" s="161"/>
      <c r="B1100" s="161"/>
      <c r="C1100" s="161"/>
      <c r="D1100" s="161"/>
      <c r="E1100" s="161"/>
      <c r="F1100" s="161"/>
      <c r="G1100" s="161"/>
      <c r="H1100" s="161"/>
      <c r="I1100" s="161"/>
      <c r="J1100" s="161"/>
      <c r="K1100" s="161"/>
      <c r="L1100" s="161"/>
      <c r="M1100" s="161"/>
      <c r="N1100" s="161"/>
      <c r="O1100" s="161"/>
      <c r="P1100" s="161"/>
      <c r="Q1100" s="161"/>
      <c r="R1100" s="161"/>
      <c r="S1100" s="161"/>
      <c r="T1100" s="161"/>
      <c r="U1100" s="161"/>
      <c r="V1100" s="161"/>
      <c r="W1100" s="161"/>
      <c r="X1100" s="161"/>
      <c r="Y1100" s="161"/>
      <c r="Z1100" s="161"/>
      <c r="AA1100" s="161"/>
      <c r="AB1100" s="161"/>
    </row>
    <row r="1101" ht="13.75" customHeight="1">
      <c r="A1101" s="161"/>
      <c r="B1101" s="161"/>
      <c r="C1101" s="161"/>
      <c r="D1101" s="161"/>
      <c r="E1101" s="161"/>
      <c r="F1101" s="161"/>
      <c r="G1101" s="161"/>
      <c r="H1101" s="161"/>
      <c r="I1101" s="161"/>
      <c r="J1101" s="161"/>
      <c r="K1101" s="161"/>
      <c r="L1101" s="161"/>
      <c r="M1101" s="161"/>
      <c r="N1101" s="161"/>
      <c r="O1101" s="161"/>
      <c r="P1101" s="161"/>
      <c r="Q1101" s="161"/>
      <c r="R1101" s="161"/>
      <c r="S1101" s="161"/>
      <c r="T1101" s="161"/>
      <c r="U1101" s="161"/>
      <c r="V1101" s="161"/>
      <c r="W1101" s="161"/>
      <c r="X1101" s="161"/>
      <c r="Y1101" s="161"/>
      <c r="Z1101" s="161"/>
      <c r="AA1101" s="161"/>
      <c r="AB1101" s="161"/>
    </row>
    <row r="1102" ht="13.75" customHeight="1">
      <c r="A1102" s="161"/>
      <c r="B1102" s="161"/>
      <c r="C1102" s="161"/>
      <c r="D1102" s="161"/>
      <c r="E1102" s="161"/>
      <c r="F1102" s="161"/>
      <c r="G1102" s="161"/>
      <c r="H1102" s="161"/>
      <c r="I1102" s="161"/>
      <c r="J1102" s="161"/>
      <c r="K1102" s="161"/>
      <c r="L1102" s="161"/>
      <c r="M1102" s="161"/>
      <c r="N1102" s="161"/>
      <c r="O1102" s="161"/>
      <c r="P1102" s="161"/>
      <c r="Q1102" s="161"/>
      <c r="R1102" s="161"/>
      <c r="S1102" s="161"/>
      <c r="T1102" s="161"/>
      <c r="U1102" s="161"/>
      <c r="V1102" s="161"/>
      <c r="W1102" s="161"/>
      <c r="X1102" s="161"/>
      <c r="Y1102" s="161"/>
      <c r="Z1102" s="161"/>
      <c r="AA1102" s="161"/>
      <c r="AB1102" s="161"/>
    </row>
    <row r="1103" ht="13.75" customHeight="1">
      <c r="A1103" s="161"/>
      <c r="B1103" s="161"/>
      <c r="C1103" s="161"/>
      <c r="D1103" s="161"/>
      <c r="E1103" s="161"/>
      <c r="F1103" s="161"/>
      <c r="G1103" s="161"/>
      <c r="H1103" s="161"/>
      <c r="I1103" s="161"/>
      <c r="J1103" s="161"/>
      <c r="K1103" s="161"/>
      <c r="L1103" s="161"/>
      <c r="M1103" s="161"/>
      <c r="N1103" s="161"/>
      <c r="O1103" s="161"/>
      <c r="P1103" s="161"/>
      <c r="Q1103" s="161"/>
      <c r="R1103" s="161"/>
      <c r="S1103" s="161"/>
      <c r="T1103" s="161"/>
      <c r="U1103" s="161"/>
      <c r="V1103" s="161"/>
      <c r="W1103" s="161"/>
      <c r="X1103" s="161"/>
      <c r="Y1103" s="161"/>
      <c r="Z1103" s="161"/>
      <c r="AA1103" s="161"/>
      <c r="AB1103" s="161"/>
    </row>
    <row r="1104" ht="13.75" customHeight="1">
      <c r="A1104" s="161"/>
      <c r="B1104" s="161"/>
      <c r="C1104" s="161"/>
      <c r="D1104" s="161"/>
      <c r="E1104" s="161"/>
      <c r="F1104" s="161"/>
      <c r="G1104" s="161"/>
      <c r="H1104" s="161"/>
      <c r="I1104" s="161"/>
      <c r="J1104" s="161"/>
      <c r="K1104" s="161"/>
      <c r="L1104" s="161"/>
      <c r="M1104" s="161"/>
      <c r="N1104" s="161"/>
      <c r="O1104" s="161"/>
      <c r="P1104" s="161"/>
      <c r="Q1104" s="161"/>
      <c r="R1104" s="161"/>
      <c r="S1104" s="161"/>
      <c r="T1104" s="161"/>
      <c r="U1104" s="161"/>
      <c r="V1104" s="161"/>
      <c r="W1104" s="161"/>
      <c r="X1104" s="161"/>
      <c r="Y1104" s="161"/>
      <c r="Z1104" s="161"/>
      <c r="AA1104" s="161"/>
      <c r="AB1104" s="161"/>
    </row>
    <row r="1105" ht="13.75" customHeight="1">
      <c r="A1105" s="161"/>
      <c r="B1105" s="161"/>
      <c r="C1105" s="161"/>
      <c r="D1105" s="161"/>
      <c r="E1105" s="161"/>
      <c r="F1105" s="161"/>
      <c r="G1105" s="161"/>
      <c r="H1105" s="161"/>
      <c r="I1105" s="161"/>
      <c r="J1105" s="161"/>
      <c r="K1105" s="161"/>
      <c r="L1105" s="161"/>
      <c r="M1105" s="161"/>
      <c r="N1105" s="161"/>
      <c r="O1105" s="161"/>
      <c r="P1105" s="161"/>
      <c r="Q1105" s="161"/>
      <c r="R1105" s="161"/>
      <c r="S1105" s="161"/>
      <c r="T1105" s="161"/>
      <c r="U1105" s="161"/>
      <c r="V1105" s="161"/>
      <c r="W1105" s="161"/>
      <c r="X1105" s="161"/>
      <c r="Y1105" s="161"/>
      <c r="Z1105" s="161"/>
      <c r="AA1105" s="161"/>
      <c r="AB1105" s="161"/>
    </row>
    <row r="1106" ht="13.75" customHeight="1">
      <c r="A1106" s="161"/>
      <c r="B1106" s="161"/>
      <c r="C1106" s="161"/>
      <c r="D1106" s="161"/>
      <c r="E1106" s="161"/>
      <c r="F1106" s="161"/>
      <c r="G1106" s="161"/>
      <c r="H1106" s="161"/>
      <c r="I1106" s="161"/>
      <c r="J1106" s="161"/>
      <c r="K1106" s="161"/>
      <c r="L1106" s="161"/>
      <c r="M1106" s="161"/>
      <c r="N1106" s="161"/>
      <c r="O1106" s="161"/>
      <c r="P1106" s="161"/>
      <c r="Q1106" s="161"/>
      <c r="R1106" s="161"/>
      <c r="S1106" s="161"/>
      <c r="T1106" s="161"/>
      <c r="U1106" s="161"/>
      <c r="V1106" s="161"/>
      <c r="W1106" s="161"/>
      <c r="X1106" s="161"/>
      <c r="Y1106" s="161"/>
      <c r="Z1106" s="161"/>
      <c r="AA1106" s="161"/>
      <c r="AB1106" s="161"/>
    </row>
    <row r="1107" ht="13.75" customHeight="1">
      <c r="A1107" s="161"/>
      <c r="B1107" s="161"/>
      <c r="C1107" s="161"/>
      <c r="D1107" s="161"/>
      <c r="E1107" s="161"/>
      <c r="F1107" s="161"/>
      <c r="G1107" s="161"/>
      <c r="H1107" s="161"/>
      <c r="I1107" s="161"/>
      <c r="J1107" s="161"/>
      <c r="K1107" s="161"/>
      <c r="L1107" s="161"/>
      <c r="M1107" s="161"/>
      <c r="N1107" s="161"/>
      <c r="O1107" s="161"/>
      <c r="P1107" s="161"/>
      <c r="Q1107" s="161"/>
      <c r="R1107" s="161"/>
      <c r="S1107" s="161"/>
      <c r="T1107" s="161"/>
      <c r="U1107" s="161"/>
      <c r="V1107" s="161"/>
      <c r="W1107" s="161"/>
      <c r="X1107" s="161"/>
      <c r="Y1107" s="161"/>
      <c r="Z1107" s="161"/>
      <c r="AA1107" s="161"/>
      <c r="AB1107" s="161"/>
    </row>
    <row r="1108" ht="13.75" customHeight="1">
      <c r="A1108" s="161"/>
      <c r="B1108" s="161"/>
      <c r="C1108" s="161"/>
      <c r="D1108" s="161"/>
      <c r="E1108" s="161"/>
      <c r="F1108" s="161"/>
      <c r="G1108" s="161"/>
      <c r="H1108" s="161"/>
      <c r="I1108" s="161"/>
      <c r="J1108" s="161"/>
      <c r="K1108" s="161"/>
      <c r="L1108" s="161"/>
      <c r="M1108" s="161"/>
      <c r="N1108" s="161"/>
      <c r="O1108" s="161"/>
      <c r="P1108" s="161"/>
      <c r="Q1108" s="161"/>
      <c r="R1108" s="161"/>
      <c r="S1108" s="161"/>
      <c r="T1108" s="161"/>
      <c r="U1108" s="161"/>
      <c r="V1108" s="161"/>
      <c r="W1108" s="161"/>
      <c r="X1108" s="161"/>
      <c r="Y1108" s="161"/>
      <c r="Z1108" s="161"/>
      <c r="AA1108" s="161"/>
      <c r="AB1108" s="161"/>
    </row>
    <row r="1109" ht="13.75" customHeight="1">
      <c r="A1109" s="161"/>
      <c r="B1109" s="161"/>
      <c r="C1109" s="161"/>
      <c r="D1109" s="161"/>
      <c r="E1109" s="161"/>
      <c r="F1109" s="161"/>
      <c r="G1109" s="161"/>
      <c r="H1109" s="161"/>
      <c r="I1109" s="161"/>
      <c r="J1109" s="161"/>
      <c r="K1109" s="161"/>
      <c r="L1109" s="161"/>
      <c r="M1109" s="161"/>
      <c r="N1109" s="161"/>
      <c r="O1109" s="161"/>
      <c r="P1109" s="161"/>
      <c r="Q1109" s="161"/>
      <c r="R1109" s="161"/>
      <c r="S1109" s="161"/>
      <c r="T1109" s="161"/>
      <c r="U1109" s="161"/>
      <c r="V1109" s="161"/>
      <c r="W1109" s="161"/>
      <c r="X1109" s="161"/>
      <c r="Y1109" s="161"/>
      <c r="Z1109" s="161"/>
      <c r="AA1109" s="161"/>
      <c r="AB1109" s="161"/>
    </row>
    <row r="1110" ht="13.75" customHeight="1">
      <c r="A1110" s="161"/>
      <c r="B1110" s="161"/>
      <c r="C1110" s="161"/>
      <c r="D1110" s="161"/>
      <c r="E1110" s="161"/>
      <c r="F1110" s="161"/>
      <c r="G1110" s="161"/>
      <c r="H1110" s="161"/>
      <c r="I1110" s="161"/>
      <c r="J1110" s="161"/>
      <c r="K1110" s="161"/>
      <c r="L1110" s="161"/>
      <c r="M1110" s="161"/>
      <c r="N1110" s="161"/>
      <c r="O1110" s="161"/>
      <c r="P1110" s="161"/>
      <c r="Q1110" s="161"/>
      <c r="R1110" s="161"/>
      <c r="S1110" s="161"/>
      <c r="T1110" s="161"/>
      <c r="U1110" s="161"/>
      <c r="V1110" s="161"/>
      <c r="W1110" s="161"/>
      <c r="X1110" s="161"/>
      <c r="Y1110" s="161"/>
      <c r="Z1110" s="161"/>
      <c r="AA1110" s="161"/>
      <c r="AB1110" s="161"/>
    </row>
    <row r="1111" ht="13.75" customHeight="1">
      <c r="A1111" s="161"/>
      <c r="B1111" s="161"/>
      <c r="C1111" s="161"/>
      <c r="D1111" s="161"/>
      <c r="E1111" s="161"/>
      <c r="F1111" s="161"/>
      <c r="G1111" s="161"/>
      <c r="H1111" s="161"/>
      <c r="I1111" s="161"/>
      <c r="J1111" s="161"/>
      <c r="K1111" s="161"/>
      <c r="L1111" s="161"/>
      <c r="M1111" s="161"/>
      <c r="N1111" s="161"/>
      <c r="O1111" s="161"/>
      <c r="P1111" s="161"/>
      <c r="Q1111" s="161"/>
      <c r="R1111" s="161"/>
      <c r="S1111" s="161"/>
      <c r="T1111" s="161"/>
      <c r="U1111" s="161"/>
      <c r="V1111" s="161"/>
      <c r="W1111" s="161"/>
      <c r="X1111" s="161"/>
      <c r="Y1111" s="161"/>
      <c r="Z1111" s="161"/>
      <c r="AA1111" s="161"/>
      <c r="AB1111" s="161"/>
    </row>
    <row r="1112" ht="13.75" customHeight="1">
      <c r="A1112" s="161"/>
      <c r="B1112" s="161"/>
      <c r="C1112" s="161"/>
      <c r="D1112" s="161"/>
      <c r="E1112" s="161"/>
      <c r="F1112" s="161"/>
      <c r="G1112" s="161"/>
      <c r="H1112" s="161"/>
      <c r="I1112" s="161"/>
      <c r="J1112" s="161"/>
      <c r="K1112" s="161"/>
      <c r="L1112" s="161"/>
      <c r="M1112" s="161"/>
      <c r="N1112" s="161"/>
      <c r="O1112" s="161"/>
      <c r="P1112" s="161"/>
      <c r="Q1112" s="161"/>
      <c r="R1112" s="161"/>
      <c r="S1112" s="161"/>
      <c r="T1112" s="161"/>
      <c r="U1112" s="161"/>
      <c r="V1112" s="161"/>
      <c r="W1112" s="161"/>
      <c r="X1112" s="161"/>
      <c r="Y1112" s="161"/>
      <c r="Z1112" s="161"/>
      <c r="AA1112" s="161"/>
      <c r="AB1112" s="161"/>
    </row>
    <row r="1113" ht="13.75" customHeight="1">
      <c r="A1113" s="161"/>
      <c r="B1113" s="161"/>
      <c r="C1113" s="161"/>
      <c r="D1113" s="161"/>
      <c r="E1113" s="161"/>
      <c r="F1113" s="161"/>
      <c r="G1113" s="161"/>
      <c r="H1113" s="161"/>
      <c r="I1113" s="161"/>
      <c r="J1113" s="161"/>
      <c r="K1113" s="161"/>
      <c r="L1113" s="161"/>
      <c r="M1113" s="161"/>
      <c r="N1113" s="161"/>
      <c r="O1113" s="161"/>
      <c r="P1113" s="161"/>
      <c r="Q1113" s="161"/>
      <c r="R1113" s="161"/>
      <c r="S1113" s="161"/>
      <c r="T1113" s="161"/>
      <c r="U1113" s="161"/>
      <c r="V1113" s="161"/>
      <c r="W1113" s="161"/>
      <c r="X1113" s="161"/>
      <c r="Y1113" s="161"/>
      <c r="Z1113" s="161"/>
      <c r="AA1113" s="161"/>
      <c r="AB1113" s="161"/>
    </row>
    <row r="1114" ht="13.75" customHeight="1">
      <c r="A1114" s="161"/>
      <c r="B1114" s="161"/>
      <c r="C1114" s="161"/>
      <c r="D1114" s="161"/>
      <c r="E1114" s="161"/>
      <c r="F1114" s="161"/>
      <c r="G1114" s="161"/>
      <c r="H1114" s="161"/>
      <c r="I1114" s="161"/>
      <c r="J1114" s="161"/>
      <c r="K1114" s="161"/>
      <c r="L1114" s="161"/>
      <c r="M1114" s="161"/>
      <c r="N1114" s="161"/>
      <c r="O1114" s="161"/>
      <c r="P1114" s="161"/>
      <c r="Q1114" s="161"/>
      <c r="R1114" s="161"/>
      <c r="S1114" s="161"/>
      <c r="T1114" s="161"/>
      <c r="U1114" s="161"/>
      <c r="V1114" s="161"/>
      <c r="W1114" s="161"/>
      <c r="X1114" s="161"/>
      <c r="Y1114" s="161"/>
      <c r="Z1114" s="161"/>
      <c r="AA1114" s="161"/>
      <c r="AB1114" s="161"/>
    </row>
    <row r="1115" ht="13.75" customHeight="1">
      <c r="A1115" s="161"/>
      <c r="B1115" s="161"/>
      <c r="C1115" s="161"/>
      <c r="D1115" s="161"/>
      <c r="E1115" s="161"/>
      <c r="F1115" s="161"/>
      <c r="G1115" s="161"/>
      <c r="H1115" s="161"/>
      <c r="I1115" s="161"/>
      <c r="J1115" s="161"/>
      <c r="K1115" s="161"/>
      <c r="L1115" s="161"/>
      <c r="M1115" s="161"/>
      <c r="N1115" s="161"/>
      <c r="O1115" s="161"/>
      <c r="P1115" s="161"/>
      <c r="Q1115" s="161"/>
      <c r="R1115" s="161"/>
      <c r="S1115" s="161"/>
      <c r="T1115" s="161"/>
      <c r="U1115" s="161"/>
      <c r="V1115" s="161"/>
      <c r="W1115" s="161"/>
      <c r="X1115" s="161"/>
      <c r="Y1115" s="161"/>
      <c r="Z1115" s="161"/>
      <c r="AA1115" s="161"/>
      <c r="AB1115" s="161"/>
    </row>
    <row r="1116" ht="13.75" customHeight="1">
      <c r="A1116" s="161"/>
      <c r="B1116" s="161"/>
      <c r="C1116" s="161"/>
      <c r="D1116" s="161"/>
      <c r="E1116" s="161"/>
      <c r="F1116" s="161"/>
      <c r="G1116" s="161"/>
      <c r="H1116" s="161"/>
      <c r="I1116" s="161"/>
      <c r="J1116" s="161"/>
      <c r="K1116" s="161"/>
      <c r="L1116" s="161"/>
      <c r="M1116" s="161"/>
      <c r="N1116" s="161"/>
      <c r="O1116" s="161"/>
      <c r="P1116" s="161"/>
      <c r="Q1116" s="161"/>
      <c r="R1116" s="161"/>
      <c r="S1116" s="161"/>
      <c r="T1116" s="161"/>
      <c r="U1116" s="161"/>
      <c r="V1116" s="161"/>
      <c r="W1116" s="161"/>
      <c r="X1116" s="161"/>
      <c r="Y1116" s="161"/>
      <c r="Z1116" s="161"/>
      <c r="AA1116" s="161"/>
      <c r="AB1116" s="161"/>
    </row>
    <row r="1117" ht="13.75" customHeight="1">
      <c r="A1117" s="161"/>
      <c r="B1117" s="161"/>
      <c r="C1117" s="161"/>
      <c r="D1117" s="161"/>
      <c r="E1117" s="161"/>
      <c r="F1117" s="161"/>
      <c r="G1117" s="161"/>
      <c r="H1117" s="161"/>
      <c r="I1117" s="161"/>
      <c r="J1117" s="161"/>
      <c r="K1117" s="161"/>
      <c r="L1117" s="161"/>
      <c r="M1117" s="161"/>
      <c r="N1117" s="161"/>
      <c r="O1117" s="161"/>
      <c r="P1117" s="161"/>
      <c r="Q1117" s="161"/>
      <c r="R1117" s="161"/>
      <c r="S1117" s="161"/>
      <c r="T1117" s="161"/>
      <c r="U1117" s="161"/>
      <c r="V1117" s="161"/>
      <c r="W1117" s="161"/>
      <c r="X1117" s="161"/>
      <c r="Y1117" s="161"/>
      <c r="Z1117" s="161"/>
      <c r="AA1117" s="161"/>
      <c r="AB1117" s="161"/>
    </row>
    <row r="1118" ht="13.75" customHeight="1">
      <c r="A1118" s="161"/>
      <c r="B1118" s="161"/>
      <c r="C1118" s="161"/>
      <c r="D1118" s="161"/>
      <c r="E1118" s="161"/>
      <c r="F1118" s="161"/>
      <c r="G1118" s="161"/>
      <c r="H1118" s="161"/>
      <c r="I1118" s="161"/>
      <c r="J1118" s="161"/>
      <c r="K1118" s="161"/>
      <c r="L1118" s="161"/>
      <c r="M1118" s="161"/>
      <c r="N1118" s="161"/>
      <c r="O1118" s="161"/>
      <c r="P1118" s="161"/>
      <c r="Q1118" s="161"/>
      <c r="R1118" s="161"/>
      <c r="S1118" s="161"/>
      <c r="T1118" s="161"/>
      <c r="U1118" s="161"/>
      <c r="V1118" s="161"/>
      <c r="W1118" s="161"/>
      <c r="X1118" s="161"/>
      <c r="Y1118" s="161"/>
      <c r="Z1118" s="161"/>
      <c r="AA1118" s="161"/>
      <c r="AB1118" s="161"/>
    </row>
    <row r="1119" ht="13.75" customHeight="1">
      <c r="A1119" s="161"/>
      <c r="B1119" s="161"/>
      <c r="C1119" s="161"/>
      <c r="D1119" s="161"/>
      <c r="E1119" s="161"/>
      <c r="F1119" s="161"/>
      <c r="G1119" s="161"/>
      <c r="H1119" s="161"/>
      <c r="I1119" s="161"/>
      <c r="J1119" s="161"/>
      <c r="K1119" s="161"/>
      <c r="L1119" s="161"/>
      <c r="M1119" s="161"/>
      <c r="N1119" s="161"/>
      <c r="O1119" s="161"/>
      <c r="P1119" s="161"/>
      <c r="Q1119" s="161"/>
      <c r="R1119" s="161"/>
      <c r="S1119" s="161"/>
      <c r="T1119" s="161"/>
      <c r="U1119" s="161"/>
      <c r="V1119" s="161"/>
      <c r="W1119" s="161"/>
      <c r="X1119" s="161"/>
      <c r="Y1119" s="161"/>
      <c r="Z1119" s="161"/>
      <c r="AA1119" s="161"/>
      <c r="AB1119" s="161"/>
    </row>
    <row r="1120" ht="13.75" customHeight="1">
      <c r="A1120" s="161"/>
      <c r="B1120" s="161"/>
      <c r="C1120" s="161"/>
      <c r="D1120" s="161"/>
      <c r="E1120" s="161"/>
      <c r="F1120" s="161"/>
      <c r="G1120" s="161"/>
      <c r="H1120" s="161"/>
      <c r="I1120" s="161"/>
      <c r="J1120" s="161"/>
      <c r="K1120" s="161"/>
      <c r="L1120" s="161"/>
      <c r="M1120" s="161"/>
      <c r="N1120" s="161"/>
      <c r="O1120" s="161"/>
      <c r="P1120" s="161"/>
      <c r="Q1120" s="161"/>
      <c r="R1120" s="161"/>
      <c r="S1120" s="161"/>
      <c r="T1120" s="161"/>
      <c r="U1120" s="161"/>
      <c r="V1120" s="161"/>
      <c r="W1120" s="161"/>
      <c r="X1120" s="161"/>
      <c r="Y1120" s="161"/>
      <c r="Z1120" s="161"/>
      <c r="AA1120" s="161"/>
      <c r="AB1120" s="161"/>
    </row>
    <row r="1121" ht="13.75" customHeight="1">
      <c r="A1121" s="161"/>
      <c r="B1121" s="161"/>
      <c r="C1121" s="161"/>
      <c r="D1121" s="161"/>
      <c r="E1121" s="161"/>
      <c r="F1121" s="161"/>
      <c r="G1121" s="161"/>
      <c r="H1121" s="161"/>
      <c r="I1121" s="161"/>
      <c r="J1121" s="161"/>
      <c r="K1121" s="161"/>
      <c r="L1121" s="161"/>
      <c r="M1121" s="161"/>
      <c r="N1121" s="161"/>
      <c r="O1121" s="161"/>
      <c r="P1121" s="161"/>
      <c r="Q1121" s="161"/>
      <c r="R1121" s="161"/>
      <c r="S1121" s="161"/>
      <c r="T1121" s="161"/>
      <c r="U1121" s="161"/>
      <c r="V1121" s="161"/>
      <c r="W1121" s="161"/>
      <c r="X1121" s="161"/>
      <c r="Y1121" s="161"/>
      <c r="Z1121" s="161"/>
      <c r="AA1121" s="161"/>
      <c r="AB1121" s="161"/>
    </row>
    <row r="1122" ht="13.75" customHeight="1">
      <c r="A1122" s="161"/>
      <c r="B1122" s="161"/>
      <c r="C1122" s="161"/>
      <c r="D1122" s="161"/>
      <c r="E1122" s="161"/>
      <c r="F1122" s="161"/>
      <c r="G1122" s="161"/>
      <c r="H1122" s="161"/>
      <c r="I1122" s="161"/>
      <c r="J1122" s="161"/>
      <c r="K1122" s="161"/>
      <c r="L1122" s="161"/>
      <c r="M1122" s="161"/>
      <c r="N1122" s="161"/>
      <c r="O1122" s="161"/>
      <c r="P1122" s="161"/>
      <c r="Q1122" s="161"/>
      <c r="R1122" s="161"/>
      <c r="S1122" s="161"/>
      <c r="T1122" s="161"/>
      <c r="U1122" s="161"/>
      <c r="V1122" s="161"/>
      <c r="W1122" s="161"/>
      <c r="X1122" s="161"/>
      <c r="Y1122" s="161"/>
      <c r="Z1122" s="161"/>
      <c r="AA1122" s="161"/>
      <c r="AB1122" s="161"/>
    </row>
    <row r="1123" ht="13.75" customHeight="1">
      <c r="A1123" s="161"/>
      <c r="B1123" s="161"/>
      <c r="C1123" s="161"/>
      <c r="D1123" s="161"/>
      <c r="E1123" s="161"/>
      <c r="F1123" s="161"/>
      <c r="G1123" s="161"/>
      <c r="H1123" s="161"/>
      <c r="I1123" s="161"/>
      <c r="J1123" s="161"/>
      <c r="K1123" s="161"/>
      <c r="L1123" s="161"/>
      <c r="M1123" s="161"/>
      <c r="N1123" s="161"/>
      <c r="O1123" s="161"/>
      <c r="P1123" s="161"/>
      <c r="Q1123" s="161"/>
      <c r="R1123" s="161"/>
      <c r="S1123" s="161"/>
      <c r="T1123" s="161"/>
      <c r="U1123" s="161"/>
      <c r="V1123" s="161"/>
      <c r="W1123" s="161"/>
      <c r="X1123" s="161"/>
      <c r="Y1123" s="161"/>
      <c r="Z1123" s="161"/>
      <c r="AA1123" s="161"/>
      <c r="AB1123" s="161"/>
    </row>
    <row r="1124" ht="13.75" customHeight="1">
      <c r="A1124" s="161"/>
      <c r="B1124" s="161"/>
      <c r="C1124" s="161"/>
      <c r="D1124" s="161"/>
      <c r="E1124" s="161"/>
      <c r="F1124" s="161"/>
      <c r="G1124" s="161"/>
      <c r="H1124" s="161"/>
      <c r="I1124" s="161"/>
      <c r="J1124" s="161"/>
      <c r="K1124" s="161"/>
      <c r="L1124" s="161"/>
      <c r="M1124" s="161"/>
      <c r="N1124" s="161"/>
      <c r="O1124" s="161"/>
      <c r="P1124" s="161"/>
      <c r="Q1124" s="161"/>
      <c r="R1124" s="161"/>
      <c r="S1124" s="161"/>
      <c r="T1124" s="161"/>
      <c r="U1124" s="161"/>
      <c r="V1124" s="161"/>
      <c r="W1124" s="161"/>
      <c r="X1124" s="161"/>
      <c r="Y1124" s="161"/>
      <c r="Z1124" s="161"/>
      <c r="AA1124" s="161"/>
      <c r="AB1124" s="161"/>
    </row>
    <row r="1125" ht="13.75" customHeight="1">
      <c r="A1125" s="161"/>
      <c r="B1125" s="161"/>
      <c r="C1125" s="161"/>
      <c r="D1125" s="161"/>
      <c r="E1125" s="161"/>
      <c r="F1125" s="161"/>
      <c r="G1125" s="161"/>
      <c r="H1125" s="161"/>
      <c r="I1125" s="161"/>
      <c r="J1125" s="161"/>
      <c r="K1125" s="161"/>
      <c r="L1125" s="161"/>
      <c r="M1125" s="161"/>
      <c r="N1125" s="161"/>
      <c r="O1125" s="161"/>
      <c r="P1125" s="161"/>
      <c r="Q1125" s="161"/>
      <c r="R1125" s="161"/>
      <c r="S1125" s="161"/>
      <c r="T1125" s="161"/>
      <c r="U1125" s="161"/>
      <c r="V1125" s="161"/>
      <c r="W1125" s="161"/>
      <c r="X1125" s="161"/>
      <c r="Y1125" s="161"/>
      <c r="Z1125" s="161"/>
      <c r="AA1125" s="161"/>
      <c r="AB1125" s="161"/>
    </row>
    <row r="1126" ht="13.75" customHeight="1">
      <c r="A1126" s="161"/>
      <c r="B1126" s="161"/>
      <c r="C1126" s="161"/>
      <c r="D1126" s="161"/>
      <c r="E1126" s="161"/>
      <c r="F1126" s="161"/>
      <c r="G1126" s="161"/>
      <c r="H1126" s="161"/>
      <c r="I1126" s="161"/>
      <c r="J1126" s="161"/>
      <c r="K1126" s="161"/>
      <c r="L1126" s="161"/>
      <c r="M1126" s="161"/>
      <c r="N1126" s="161"/>
      <c r="O1126" s="161"/>
      <c r="P1126" s="161"/>
      <c r="Q1126" s="161"/>
      <c r="R1126" s="161"/>
      <c r="S1126" s="161"/>
      <c r="T1126" s="161"/>
      <c r="U1126" s="161"/>
      <c r="V1126" s="161"/>
      <c r="W1126" s="161"/>
      <c r="X1126" s="161"/>
      <c r="Y1126" s="161"/>
      <c r="Z1126" s="161"/>
      <c r="AA1126" s="161"/>
      <c r="AB1126" s="161"/>
    </row>
    <row r="1127" ht="13.75" customHeight="1">
      <c r="A1127" s="161"/>
      <c r="B1127" s="161"/>
      <c r="C1127" s="161"/>
      <c r="D1127" s="161"/>
      <c r="E1127" s="161"/>
      <c r="F1127" s="161"/>
      <c r="G1127" s="161"/>
      <c r="H1127" s="161"/>
      <c r="I1127" s="161"/>
      <c r="J1127" s="161"/>
      <c r="K1127" s="161"/>
      <c r="L1127" s="161"/>
      <c r="M1127" s="161"/>
      <c r="N1127" s="161"/>
      <c r="O1127" s="161"/>
      <c r="P1127" s="161"/>
      <c r="Q1127" s="161"/>
      <c r="R1127" s="161"/>
      <c r="S1127" s="161"/>
      <c r="T1127" s="161"/>
      <c r="U1127" s="161"/>
      <c r="V1127" s="161"/>
      <c r="W1127" s="161"/>
      <c r="X1127" s="161"/>
      <c r="Y1127" s="161"/>
      <c r="Z1127" s="161"/>
      <c r="AA1127" s="161"/>
      <c r="AB1127" s="161"/>
    </row>
    <row r="1128" ht="13.75" customHeight="1">
      <c r="A1128" s="161"/>
      <c r="B1128" s="161"/>
      <c r="C1128" s="161"/>
      <c r="D1128" s="161"/>
      <c r="E1128" s="161"/>
      <c r="F1128" s="161"/>
      <c r="G1128" s="161"/>
      <c r="H1128" s="161"/>
      <c r="I1128" s="161"/>
      <c r="J1128" s="161"/>
      <c r="K1128" s="161"/>
      <c r="L1128" s="161"/>
      <c r="M1128" s="161"/>
      <c r="N1128" s="161"/>
      <c r="O1128" s="161"/>
      <c r="P1128" s="161"/>
      <c r="Q1128" s="161"/>
      <c r="R1128" s="161"/>
      <c r="S1128" s="161"/>
      <c r="T1128" s="161"/>
      <c r="U1128" s="161"/>
      <c r="V1128" s="161"/>
      <c r="W1128" s="161"/>
      <c r="X1128" s="161"/>
      <c r="Y1128" s="161"/>
      <c r="Z1128" s="161"/>
      <c r="AA1128" s="161"/>
      <c r="AB1128" s="161"/>
    </row>
    <row r="1129" ht="13.75" customHeight="1">
      <c r="A1129" s="161"/>
      <c r="B1129" s="161"/>
      <c r="C1129" s="161"/>
      <c r="D1129" s="161"/>
      <c r="E1129" s="161"/>
      <c r="F1129" s="161"/>
      <c r="G1129" s="161"/>
      <c r="H1129" s="161"/>
      <c r="I1129" s="161"/>
      <c r="J1129" s="161"/>
      <c r="K1129" s="161"/>
      <c r="L1129" s="161"/>
      <c r="M1129" s="161"/>
      <c r="N1129" s="161"/>
      <c r="O1129" s="161"/>
      <c r="P1129" s="161"/>
      <c r="Q1129" s="161"/>
      <c r="R1129" s="161"/>
      <c r="S1129" s="161"/>
      <c r="T1129" s="161"/>
      <c r="U1129" s="161"/>
      <c r="V1129" s="161"/>
      <c r="W1129" s="161"/>
      <c r="X1129" s="161"/>
      <c r="Y1129" s="161"/>
      <c r="Z1129" s="161"/>
      <c r="AA1129" s="161"/>
      <c r="AB1129" s="161"/>
    </row>
    <row r="1130" ht="13.75" customHeight="1">
      <c r="A1130" s="161"/>
      <c r="B1130" s="161"/>
      <c r="C1130" s="161"/>
      <c r="D1130" s="161"/>
      <c r="E1130" s="161"/>
      <c r="F1130" s="161"/>
      <c r="G1130" s="161"/>
      <c r="H1130" s="161"/>
      <c r="I1130" s="161"/>
      <c r="J1130" s="161"/>
      <c r="K1130" s="161"/>
      <c r="L1130" s="161"/>
      <c r="M1130" s="161"/>
      <c r="N1130" s="161"/>
      <c r="O1130" s="161"/>
      <c r="P1130" s="161"/>
      <c r="Q1130" s="161"/>
      <c r="R1130" s="161"/>
      <c r="S1130" s="161"/>
      <c r="T1130" s="161"/>
      <c r="U1130" s="161"/>
      <c r="V1130" s="161"/>
      <c r="W1130" s="161"/>
      <c r="X1130" s="161"/>
      <c r="Y1130" s="161"/>
      <c r="Z1130" s="161"/>
      <c r="AA1130" s="161"/>
      <c r="AB1130" s="161"/>
    </row>
    <row r="1131" ht="13.75" customHeight="1">
      <c r="A1131" s="161"/>
      <c r="B1131" s="161"/>
      <c r="C1131" s="161"/>
      <c r="D1131" s="161"/>
      <c r="E1131" s="161"/>
      <c r="F1131" s="161"/>
      <c r="G1131" s="161"/>
      <c r="H1131" s="161"/>
      <c r="I1131" s="161"/>
      <c r="J1131" s="161"/>
      <c r="K1131" s="161"/>
      <c r="L1131" s="161"/>
      <c r="M1131" s="161"/>
      <c r="N1131" s="161"/>
      <c r="O1131" s="161"/>
      <c r="P1131" s="161"/>
      <c r="Q1131" s="161"/>
      <c r="R1131" s="161"/>
      <c r="S1131" s="161"/>
      <c r="T1131" s="161"/>
      <c r="U1131" s="161"/>
      <c r="V1131" s="161"/>
      <c r="W1131" s="161"/>
      <c r="X1131" s="161"/>
      <c r="Y1131" s="161"/>
      <c r="Z1131" s="161"/>
      <c r="AA1131" s="161"/>
      <c r="AB1131" s="161"/>
    </row>
    <row r="1132" ht="13.75" customHeight="1">
      <c r="A1132" s="161"/>
      <c r="B1132" s="161"/>
      <c r="C1132" s="161"/>
      <c r="D1132" s="161"/>
      <c r="E1132" s="161"/>
      <c r="F1132" s="161"/>
      <c r="G1132" s="161"/>
      <c r="H1132" s="161"/>
      <c r="I1132" s="161"/>
      <c r="J1132" s="161"/>
      <c r="K1132" s="161"/>
      <c r="L1132" s="161"/>
      <c r="M1132" s="161"/>
      <c r="N1132" s="161"/>
      <c r="O1132" s="161"/>
      <c r="P1132" s="161"/>
      <c r="Q1132" s="161"/>
      <c r="R1132" s="161"/>
      <c r="S1132" s="161"/>
      <c r="T1132" s="161"/>
      <c r="U1132" s="161"/>
      <c r="V1132" s="161"/>
      <c r="W1132" s="161"/>
      <c r="X1132" s="161"/>
      <c r="Y1132" s="161"/>
      <c r="Z1132" s="161"/>
      <c r="AA1132" s="161"/>
      <c r="AB1132" s="161"/>
    </row>
    <row r="1133" ht="13.75" customHeight="1">
      <c r="A1133" s="161"/>
      <c r="B1133" s="161"/>
      <c r="C1133" s="161"/>
      <c r="D1133" s="161"/>
      <c r="E1133" s="161"/>
      <c r="F1133" s="161"/>
      <c r="G1133" s="161"/>
      <c r="H1133" s="161"/>
      <c r="I1133" s="161"/>
      <c r="J1133" s="161"/>
      <c r="K1133" s="161"/>
      <c r="L1133" s="161"/>
      <c r="M1133" s="161"/>
      <c r="N1133" s="161"/>
      <c r="O1133" s="161"/>
      <c r="P1133" s="161"/>
      <c r="Q1133" s="161"/>
      <c r="R1133" s="161"/>
      <c r="S1133" s="161"/>
      <c r="T1133" s="161"/>
      <c r="U1133" s="161"/>
      <c r="V1133" s="161"/>
      <c r="W1133" s="161"/>
      <c r="X1133" s="161"/>
      <c r="Y1133" s="161"/>
      <c r="Z1133" s="161"/>
      <c r="AA1133" s="161"/>
      <c r="AB1133" s="161"/>
    </row>
    <row r="1134" ht="13.75" customHeight="1">
      <c r="A1134" s="161"/>
      <c r="B1134" s="161"/>
      <c r="C1134" s="161"/>
      <c r="D1134" s="161"/>
      <c r="E1134" s="161"/>
      <c r="F1134" s="161"/>
      <c r="G1134" s="161"/>
      <c r="H1134" s="161"/>
      <c r="I1134" s="161"/>
      <c r="J1134" s="161"/>
      <c r="K1134" s="161"/>
      <c r="L1134" s="161"/>
      <c r="M1134" s="161"/>
      <c r="N1134" s="161"/>
      <c r="O1134" s="161"/>
      <c r="P1134" s="161"/>
      <c r="Q1134" s="161"/>
      <c r="R1134" s="161"/>
      <c r="S1134" s="161"/>
      <c r="T1134" s="161"/>
      <c r="U1134" s="161"/>
      <c r="V1134" s="161"/>
      <c r="W1134" s="161"/>
      <c r="X1134" s="161"/>
      <c r="Y1134" s="161"/>
      <c r="Z1134" s="161"/>
      <c r="AA1134" s="161"/>
      <c r="AB1134" s="161"/>
    </row>
    <row r="1135" ht="13.75" customHeight="1">
      <c r="A1135" s="161"/>
      <c r="B1135" s="161"/>
      <c r="C1135" s="161"/>
      <c r="D1135" s="161"/>
      <c r="E1135" s="161"/>
      <c r="F1135" s="161"/>
      <c r="G1135" s="161"/>
      <c r="H1135" s="161"/>
      <c r="I1135" s="161"/>
      <c r="J1135" s="161"/>
      <c r="K1135" s="161"/>
      <c r="L1135" s="161"/>
      <c r="M1135" s="161"/>
      <c r="N1135" s="161"/>
      <c r="O1135" s="161"/>
      <c r="P1135" s="161"/>
      <c r="Q1135" s="161"/>
      <c r="R1135" s="161"/>
      <c r="S1135" s="161"/>
      <c r="T1135" s="161"/>
      <c r="U1135" s="161"/>
      <c r="V1135" s="161"/>
      <c r="W1135" s="161"/>
      <c r="X1135" s="161"/>
      <c r="Y1135" s="161"/>
      <c r="Z1135" s="161"/>
      <c r="AA1135" s="161"/>
      <c r="AB1135" s="161"/>
    </row>
    <row r="1136" ht="13.75" customHeight="1">
      <c r="A1136" s="161"/>
      <c r="B1136" s="161"/>
      <c r="C1136" s="161"/>
      <c r="D1136" s="161"/>
      <c r="E1136" s="161"/>
      <c r="F1136" s="161"/>
      <c r="G1136" s="161"/>
      <c r="H1136" s="161"/>
      <c r="I1136" s="161"/>
      <c r="J1136" s="161"/>
      <c r="K1136" s="161"/>
      <c r="L1136" s="161"/>
      <c r="M1136" s="161"/>
      <c r="N1136" s="161"/>
      <c r="O1136" s="161"/>
      <c r="P1136" s="161"/>
      <c r="Q1136" s="161"/>
      <c r="R1136" s="161"/>
      <c r="S1136" s="161"/>
      <c r="T1136" s="161"/>
      <c r="U1136" s="161"/>
      <c r="V1136" s="161"/>
      <c r="W1136" s="161"/>
      <c r="X1136" s="161"/>
      <c r="Y1136" s="161"/>
      <c r="Z1136" s="161"/>
      <c r="AA1136" s="161"/>
      <c r="AB1136" s="161"/>
    </row>
    <row r="1137" ht="13.75" customHeight="1">
      <c r="A1137" s="161"/>
      <c r="B1137" s="161"/>
      <c r="C1137" s="161"/>
      <c r="D1137" s="161"/>
      <c r="E1137" s="161"/>
      <c r="F1137" s="161"/>
      <c r="G1137" s="161"/>
      <c r="H1137" s="161"/>
      <c r="I1137" s="161"/>
      <c r="J1137" s="161"/>
      <c r="K1137" s="161"/>
      <c r="L1137" s="161"/>
      <c r="M1137" s="161"/>
      <c r="N1137" s="161"/>
      <c r="O1137" s="161"/>
      <c r="P1137" s="161"/>
      <c r="Q1137" s="161"/>
      <c r="R1137" s="161"/>
      <c r="S1137" s="161"/>
      <c r="T1137" s="161"/>
      <c r="U1137" s="161"/>
      <c r="V1137" s="161"/>
      <c r="W1137" s="161"/>
      <c r="X1137" s="161"/>
      <c r="Y1137" s="161"/>
      <c r="Z1137" s="161"/>
      <c r="AA1137" s="161"/>
      <c r="AB1137" s="161"/>
    </row>
    <row r="1138" ht="13.75" customHeight="1">
      <c r="A1138" s="161"/>
      <c r="B1138" s="161"/>
      <c r="C1138" s="161"/>
      <c r="D1138" s="161"/>
      <c r="E1138" s="161"/>
      <c r="F1138" s="161"/>
      <c r="G1138" s="161"/>
      <c r="H1138" s="161"/>
      <c r="I1138" s="161"/>
      <c r="J1138" s="161"/>
      <c r="K1138" s="161"/>
      <c r="L1138" s="161"/>
      <c r="M1138" s="161"/>
      <c r="N1138" s="161"/>
      <c r="O1138" s="161"/>
      <c r="P1138" s="161"/>
      <c r="Q1138" s="161"/>
      <c r="R1138" s="161"/>
      <c r="S1138" s="161"/>
      <c r="T1138" s="161"/>
      <c r="U1138" s="161"/>
      <c r="V1138" s="161"/>
      <c r="W1138" s="161"/>
      <c r="X1138" s="161"/>
      <c r="Y1138" s="161"/>
      <c r="Z1138" s="161"/>
      <c r="AA1138" s="161"/>
      <c r="AB1138" s="161"/>
    </row>
    <row r="1139" ht="13.75" customHeight="1">
      <c r="A1139" s="161"/>
      <c r="B1139" s="161"/>
      <c r="C1139" s="161"/>
      <c r="D1139" s="161"/>
      <c r="E1139" s="161"/>
      <c r="F1139" s="161"/>
      <c r="G1139" s="161"/>
      <c r="H1139" s="161"/>
      <c r="I1139" s="161"/>
      <c r="J1139" s="161"/>
      <c r="K1139" s="161"/>
      <c r="L1139" s="161"/>
      <c r="M1139" s="161"/>
      <c r="N1139" s="161"/>
      <c r="O1139" s="161"/>
      <c r="P1139" s="161"/>
      <c r="Q1139" s="161"/>
      <c r="R1139" s="161"/>
      <c r="S1139" s="161"/>
      <c r="T1139" s="161"/>
      <c r="U1139" s="161"/>
      <c r="V1139" s="161"/>
      <c r="W1139" s="161"/>
      <c r="X1139" s="161"/>
      <c r="Y1139" s="161"/>
      <c r="Z1139" s="161"/>
      <c r="AA1139" s="161"/>
      <c r="AB1139" s="161"/>
    </row>
    <row r="1140" ht="13.75" customHeight="1">
      <c r="A1140" s="161"/>
      <c r="B1140" s="161"/>
      <c r="C1140" s="161"/>
      <c r="D1140" s="161"/>
      <c r="E1140" s="161"/>
      <c r="F1140" s="161"/>
      <c r="G1140" s="161"/>
      <c r="H1140" s="161"/>
      <c r="I1140" s="161"/>
      <c r="J1140" s="161"/>
      <c r="K1140" s="161"/>
      <c r="L1140" s="161"/>
      <c r="M1140" s="161"/>
      <c r="N1140" s="161"/>
      <c r="O1140" s="161"/>
      <c r="P1140" s="161"/>
      <c r="Q1140" s="161"/>
      <c r="R1140" s="161"/>
      <c r="S1140" s="161"/>
      <c r="T1140" s="161"/>
      <c r="U1140" s="161"/>
      <c r="V1140" s="161"/>
      <c r="W1140" s="161"/>
      <c r="X1140" s="161"/>
      <c r="Y1140" s="161"/>
      <c r="Z1140" s="161"/>
      <c r="AA1140" s="161"/>
      <c r="AB1140" s="161"/>
    </row>
    <row r="1141" ht="13.75" customHeight="1">
      <c r="A1141" s="161"/>
      <c r="B1141" s="161"/>
      <c r="C1141" s="161"/>
      <c r="D1141" s="161"/>
      <c r="E1141" s="161"/>
      <c r="F1141" s="161"/>
      <c r="G1141" s="161"/>
      <c r="H1141" s="161"/>
      <c r="I1141" s="161"/>
      <c r="J1141" s="161"/>
      <c r="K1141" s="161"/>
      <c r="L1141" s="161"/>
      <c r="M1141" s="161"/>
      <c r="N1141" s="161"/>
      <c r="O1141" s="161"/>
      <c r="P1141" s="161"/>
      <c r="Q1141" s="161"/>
      <c r="R1141" s="161"/>
      <c r="S1141" s="161"/>
      <c r="T1141" s="161"/>
      <c r="U1141" s="161"/>
      <c r="V1141" s="161"/>
      <c r="W1141" s="161"/>
      <c r="X1141" s="161"/>
      <c r="Y1141" s="161"/>
      <c r="Z1141" s="161"/>
      <c r="AA1141" s="161"/>
      <c r="AB1141" s="161"/>
    </row>
    <row r="1142" ht="13.75" customHeight="1">
      <c r="A1142" s="161"/>
      <c r="B1142" s="161"/>
      <c r="C1142" s="161"/>
      <c r="D1142" s="161"/>
      <c r="E1142" s="161"/>
      <c r="F1142" s="161"/>
      <c r="G1142" s="161"/>
      <c r="H1142" s="161"/>
      <c r="I1142" s="161"/>
      <c r="J1142" s="161"/>
      <c r="K1142" s="161"/>
      <c r="L1142" s="161"/>
      <c r="M1142" s="161"/>
      <c r="N1142" s="161"/>
      <c r="O1142" s="161"/>
      <c r="P1142" s="161"/>
      <c r="Q1142" s="161"/>
      <c r="R1142" s="161"/>
      <c r="S1142" s="161"/>
      <c r="T1142" s="161"/>
      <c r="U1142" s="161"/>
      <c r="V1142" s="161"/>
      <c r="W1142" s="161"/>
      <c r="X1142" s="161"/>
      <c r="Y1142" s="161"/>
      <c r="Z1142" s="161"/>
      <c r="AA1142" s="161"/>
      <c r="AB1142" s="161"/>
    </row>
    <row r="1143" ht="13.75" customHeight="1">
      <c r="A1143" s="161"/>
      <c r="B1143" s="161"/>
      <c r="C1143" s="161"/>
      <c r="D1143" s="161"/>
      <c r="E1143" s="161"/>
      <c r="F1143" s="161"/>
      <c r="G1143" s="161"/>
      <c r="H1143" s="161"/>
      <c r="I1143" s="161"/>
      <c r="J1143" s="161"/>
      <c r="K1143" s="161"/>
      <c r="L1143" s="161"/>
      <c r="M1143" s="161"/>
      <c r="N1143" s="161"/>
      <c r="O1143" s="161"/>
      <c r="P1143" s="161"/>
      <c r="Q1143" s="161"/>
      <c r="R1143" s="161"/>
      <c r="S1143" s="161"/>
      <c r="T1143" s="161"/>
      <c r="U1143" s="161"/>
      <c r="V1143" s="161"/>
      <c r="W1143" s="161"/>
      <c r="X1143" s="161"/>
      <c r="Y1143" s="161"/>
      <c r="Z1143" s="161"/>
      <c r="AA1143" s="161"/>
      <c r="AB1143" s="161"/>
    </row>
    <row r="1144" ht="13.75" customHeight="1">
      <c r="A1144" s="161"/>
      <c r="B1144" s="161"/>
      <c r="C1144" s="161"/>
      <c r="D1144" s="161"/>
      <c r="E1144" s="161"/>
      <c r="F1144" s="161"/>
      <c r="G1144" s="161"/>
      <c r="H1144" s="161"/>
      <c r="I1144" s="161"/>
      <c r="J1144" s="161"/>
      <c r="K1144" s="161"/>
      <c r="L1144" s="161"/>
      <c r="M1144" s="161"/>
      <c r="N1144" s="161"/>
      <c r="O1144" s="161"/>
      <c r="P1144" s="161"/>
      <c r="Q1144" s="161"/>
      <c r="R1144" s="161"/>
      <c r="S1144" s="161"/>
      <c r="T1144" s="161"/>
      <c r="U1144" s="161"/>
      <c r="V1144" s="161"/>
      <c r="W1144" s="161"/>
      <c r="X1144" s="161"/>
      <c r="Y1144" s="161"/>
      <c r="Z1144" s="161"/>
      <c r="AA1144" s="161"/>
      <c r="AB1144" s="161"/>
    </row>
    <row r="1145" ht="13.75" customHeight="1">
      <c r="A1145" s="161"/>
      <c r="B1145" s="161"/>
      <c r="C1145" s="161"/>
      <c r="D1145" s="161"/>
      <c r="E1145" s="161"/>
      <c r="F1145" s="161"/>
      <c r="G1145" s="161"/>
      <c r="H1145" s="161"/>
      <c r="I1145" s="161"/>
      <c r="J1145" s="161"/>
      <c r="K1145" s="161"/>
      <c r="L1145" s="161"/>
      <c r="M1145" s="161"/>
      <c r="N1145" s="161"/>
      <c r="O1145" s="161"/>
      <c r="P1145" s="161"/>
      <c r="Q1145" s="161"/>
      <c r="R1145" s="161"/>
      <c r="S1145" s="161"/>
      <c r="T1145" s="161"/>
      <c r="U1145" s="161"/>
      <c r="V1145" s="161"/>
      <c r="W1145" s="161"/>
      <c r="X1145" s="161"/>
      <c r="Y1145" s="161"/>
      <c r="Z1145" s="161"/>
      <c r="AA1145" s="161"/>
      <c r="AB1145" s="161"/>
    </row>
    <row r="1146" ht="13.75" customHeight="1">
      <c r="A1146" s="161"/>
      <c r="B1146" s="161"/>
      <c r="C1146" s="161"/>
      <c r="D1146" s="161"/>
      <c r="E1146" s="161"/>
      <c r="F1146" s="161"/>
      <c r="G1146" s="161"/>
      <c r="H1146" s="161"/>
      <c r="I1146" s="161"/>
      <c r="J1146" s="161"/>
      <c r="K1146" s="161"/>
      <c r="L1146" s="161"/>
      <c r="M1146" s="161"/>
      <c r="N1146" s="161"/>
      <c r="O1146" s="161"/>
      <c r="P1146" s="161"/>
      <c r="Q1146" s="161"/>
      <c r="R1146" s="161"/>
      <c r="S1146" s="161"/>
      <c r="T1146" s="161"/>
      <c r="U1146" s="161"/>
      <c r="V1146" s="161"/>
      <c r="W1146" s="161"/>
      <c r="X1146" s="161"/>
      <c r="Y1146" s="161"/>
      <c r="Z1146" s="161"/>
      <c r="AA1146" s="161"/>
      <c r="AB1146" s="161"/>
    </row>
    <row r="1147" ht="13.75" customHeight="1">
      <c r="A1147" s="161"/>
      <c r="B1147" s="161"/>
      <c r="C1147" s="161"/>
      <c r="D1147" s="161"/>
      <c r="E1147" s="161"/>
      <c r="F1147" s="161"/>
      <c r="G1147" s="161"/>
      <c r="H1147" s="161"/>
      <c r="I1147" s="161"/>
      <c r="J1147" s="161"/>
      <c r="K1147" s="161"/>
      <c r="L1147" s="161"/>
      <c r="M1147" s="161"/>
      <c r="N1147" s="161"/>
      <c r="O1147" s="161"/>
      <c r="P1147" s="161"/>
      <c r="Q1147" s="161"/>
      <c r="R1147" s="161"/>
      <c r="S1147" s="161"/>
      <c r="T1147" s="161"/>
      <c r="U1147" s="161"/>
      <c r="V1147" s="161"/>
      <c r="W1147" s="161"/>
      <c r="X1147" s="161"/>
      <c r="Y1147" s="161"/>
      <c r="Z1147" s="161"/>
      <c r="AA1147" s="161"/>
      <c r="AB1147" s="161"/>
    </row>
    <row r="1148" ht="13.75" customHeight="1">
      <c r="A1148" s="161"/>
      <c r="B1148" s="161"/>
      <c r="C1148" s="161"/>
      <c r="D1148" s="161"/>
      <c r="E1148" s="161"/>
      <c r="F1148" s="161"/>
      <c r="G1148" s="161"/>
      <c r="H1148" s="161"/>
      <c r="I1148" s="161"/>
      <c r="J1148" s="161"/>
      <c r="K1148" s="161"/>
      <c r="L1148" s="161"/>
      <c r="M1148" s="161"/>
      <c r="N1148" s="161"/>
      <c r="O1148" s="161"/>
      <c r="P1148" s="161"/>
      <c r="Q1148" s="161"/>
      <c r="R1148" s="161"/>
      <c r="S1148" s="161"/>
      <c r="T1148" s="161"/>
      <c r="U1148" s="161"/>
      <c r="V1148" s="161"/>
      <c r="W1148" s="161"/>
      <c r="X1148" s="161"/>
      <c r="Y1148" s="161"/>
      <c r="Z1148" s="161"/>
      <c r="AA1148" s="161"/>
      <c r="AB1148" s="161"/>
    </row>
    <row r="1149" ht="13.75" customHeight="1">
      <c r="A1149" s="161"/>
      <c r="B1149" s="161"/>
      <c r="C1149" s="161"/>
      <c r="D1149" s="161"/>
      <c r="E1149" s="161"/>
      <c r="F1149" s="161"/>
      <c r="G1149" s="161"/>
      <c r="H1149" s="161"/>
      <c r="I1149" s="161"/>
      <c r="J1149" s="161"/>
      <c r="K1149" s="161"/>
      <c r="L1149" s="161"/>
      <c r="M1149" s="161"/>
      <c r="N1149" s="161"/>
      <c r="O1149" s="161"/>
      <c r="P1149" s="161"/>
      <c r="Q1149" s="161"/>
      <c r="R1149" s="161"/>
      <c r="S1149" s="161"/>
      <c r="T1149" s="161"/>
      <c r="U1149" s="161"/>
      <c r="V1149" s="161"/>
      <c r="W1149" s="161"/>
      <c r="X1149" s="161"/>
      <c r="Y1149" s="161"/>
      <c r="Z1149" s="161"/>
      <c r="AA1149" s="161"/>
      <c r="AB1149" s="161"/>
    </row>
    <row r="1150" ht="13.75" customHeight="1">
      <c r="A1150" s="161"/>
      <c r="B1150" s="161"/>
      <c r="C1150" s="161"/>
      <c r="D1150" s="161"/>
      <c r="E1150" s="161"/>
      <c r="F1150" s="161"/>
      <c r="G1150" s="161"/>
      <c r="H1150" s="161"/>
      <c r="I1150" s="161"/>
      <c r="J1150" s="161"/>
      <c r="K1150" s="161"/>
      <c r="L1150" s="161"/>
      <c r="M1150" s="161"/>
      <c r="N1150" s="161"/>
      <c r="O1150" s="161"/>
      <c r="P1150" s="161"/>
      <c r="Q1150" s="161"/>
      <c r="R1150" s="161"/>
      <c r="S1150" s="161"/>
      <c r="T1150" s="161"/>
      <c r="U1150" s="161"/>
      <c r="V1150" s="161"/>
      <c r="W1150" s="161"/>
      <c r="X1150" s="161"/>
      <c r="Y1150" s="161"/>
      <c r="Z1150" s="161"/>
      <c r="AA1150" s="161"/>
      <c r="AB1150" s="161"/>
    </row>
    <row r="1151" ht="13.75" customHeight="1">
      <c r="A1151" s="161"/>
      <c r="B1151" s="161"/>
      <c r="C1151" s="161"/>
      <c r="D1151" s="161"/>
      <c r="E1151" s="161"/>
      <c r="F1151" s="161"/>
      <c r="G1151" s="161"/>
      <c r="H1151" s="161"/>
      <c r="I1151" s="161"/>
      <c r="J1151" s="161"/>
      <c r="K1151" s="161"/>
      <c r="L1151" s="161"/>
      <c r="M1151" s="161"/>
      <c r="N1151" s="161"/>
      <c r="O1151" s="161"/>
      <c r="P1151" s="161"/>
      <c r="Q1151" s="161"/>
      <c r="R1151" s="161"/>
      <c r="S1151" s="161"/>
      <c r="T1151" s="161"/>
      <c r="U1151" s="161"/>
      <c r="V1151" s="161"/>
      <c r="W1151" s="161"/>
      <c r="X1151" s="161"/>
      <c r="Y1151" s="161"/>
      <c r="Z1151" s="161"/>
      <c r="AA1151" s="161"/>
      <c r="AB1151" s="161"/>
    </row>
    <row r="1152" ht="13.75" customHeight="1">
      <c r="A1152" s="161"/>
      <c r="B1152" s="161"/>
      <c r="C1152" s="161"/>
      <c r="D1152" s="161"/>
      <c r="E1152" s="161"/>
      <c r="F1152" s="161"/>
      <c r="G1152" s="161"/>
      <c r="H1152" s="161"/>
      <c r="I1152" s="161"/>
      <c r="J1152" s="161"/>
      <c r="K1152" s="161"/>
      <c r="L1152" s="161"/>
      <c r="M1152" s="161"/>
      <c r="N1152" s="161"/>
      <c r="O1152" s="161"/>
      <c r="P1152" s="161"/>
      <c r="Q1152" s="161"/>
      <c r="R1152" s="161"/>
      <c r="S1152" s="161"/>
      <c r="T1152" s="161"/>
      <c r="U1152" s="161"/>
      <c r="V1152" s="161"/>
      <c r="W1152" s="161"/>
      <c r="X1152" s="161"/>
      <c r="Y1152" s="161"/>
      <c r="Z1152" s="161"/>
      <c r="AA1152" s="161"/>
      <c r="AB1152" s="161"/>
    </row>
    <row r="1153" ht="13.75" customHeight="1">
      <c r="A1153" s="161"/>
      <c r="B1153" s="161"/>
      <c r="C1153" s="161"/>
      <c r="D1153" s="161"/>
      <c r="E1153" s="161"/>
      <c r="F1153" s="161"/>
      <c r="G1153" s="161"/>
      <c r="H1153" s="161"/>
      <c r="I1153" s="161"/>
      <c r="J1153" s="161"/>
      <c r="K1153" s="161"/>
      <c r="L1153" s="161"/>
      <c r="M1153" s="161"/>
      <c r="N1153" s="161"/>
      <c r="O1153" s="161"/>
      <c r="P1153" s="161"/>
      <c r="Q1153" s="161"/>
      <c r="R1153" s="161"/>
      <c r="S1153" s="161"/>
      <c r="T1153" s="161"/>
      <c r="U1153" s="161"/>
      <c r="V1153" s="161"/>
      <c r="W1153" s="161"/>
      <c r="X1153" s="161"/>
      <c r="Y1153" s="161"/>
      <c r="Z1153" s="161"/>
      <c r="AA1153" s="161"/>
      <c r="AB1153" s="161"/>
    </row>
    <row r="1154" ht="13.75" customHeight="1">
      <c r="A1154" s="161"/>
      <c r="B1154" s="161"/>
      <c r="C1154" s="161"/>
      <c r="D1154" s="161"/>
      <c r="E1154" s="161"/>
      <c r="F1154" s="161"/>
      <c r="G1154" s="161"/>
      <c r="H1154" s="161"/>
      <c r="I1154" s="161"/>
      <c r="J1154" s="161"/>
      <c r="K1154" s="161"/>
      <c r="L1154" s="161"/>
      <c r="M1154" s="161"/>
      <c r="N1154" s="161"/>
      <c r="O1154" s="161"/>
      <c r="P1154" s="161"/>
      <c r="Q1154" s="161"/>
      <c r="R1154" s="161"/>
      <c r="S1154" s="161"/>
      <c r="T1154" s="161"/>
      <c r="U1154" s="161"/>
      <c r="V1154" s="161"/>
      <c r="W1154" s="161"/>
      <c r="X1154" s="161"/>
      <c r="Y1154" s="161"/>
      <c r="Z1154" s="161"/>
      <c r="AA1154" s="161"/>
      <c r="AB1154" s="161"/>
    </row>
    <row r="1155" ht="13.75" customHeight="1">
      <c r="A1155" s="161"/>
      <c r="B1155" s="161"/>
      <c r="C1155" s="161"/>
      <c r="D1155" s="161"/>
      <c r="E1155" s="161"/>
      <c r="F1155" s="161"/>
      <c r="G1155" s="161"/>
      <c r="H1155" s="161"/>
      <c r="I1155" s="161"/>
      <c r="J1155" s="161"/>
      <c r="K1155" s="161"/>
      <c r="L1155" s="161"/>
      <c r="M1155" s="161"/>
      <c r="N1155" s="161"/>
      <c r="O1155" s="161"/>
      <c r="P1155" s="161"/>
      <c r="Q1155" s="161"/>
      <c r="R1155" s="161"/>
      <c r="S1155" s="161"/>
      <c r="T1155" s="161"/>
      <c r="U1155" s="161"/>
      <c r="V1155" s="161"/>
      <c r="W1155" s="161"/>
      <c r="X1155" s="161"/>
      <c r="Y1155" s="161"/>
      <c r="Z1155" s="161"/>
      <c r="AA1155" s="161"/>
      <c r="AB1155" s="161"/>
    </row>
    <row r="1156" ht="13.75" customHeight="1">
      <c r="A1156" s="161"/>
      <c r="B1156" s="161"/>
      <c r="C1156" s="161"/>
      <c r="D1156" s="161"/>
      <c r="E1156" s="161"/>
      <c r="F1156" s="161"/>
      <c r="G1156" s="161"/>
      <c r="H1156" s="161"/>
      <c r="I1156" s="161"/>
      <c r="J1156" s="161"/>
      <c r="K1156" s="161"/>
      <c r="L1156" s="161"/>
      <c r="M1156" s="161"/>
      <c r="N1156" s="161"/>
      <c r="O1156" s="161"/>
      <c r="P1156" s="161"/>
      <c r="Q1156" s="161"/>
      <c r="R1156" s="161"/>
      <c r="S1156" s="161"/>
      <c r="T1156" s="161"/>
      <c r="U1156" s="161"/>
      <c r="V1156" s="161"/>
      <c r="W1156" s="161"/>
      <c r="X1156" s="161"/>
      <c r="Y1156" s="161"/>
      <c r="Z1156" s="161"/>
      <c r="AA1156" s="161"/>
      <c r="AB1156" s="161"/>
    </row>
    <row r="1157" ht="13.75" customHeight="1">
      <c r="A1157" s="161"/>
      <c r="B1157" s="161"/>
      <c r="C1157" s="161"/>
      <c r="D1157" s="161"/>
      <c r="E1157" s="161"/>
      <c r="F1157" s="161"/>
      <c r="G1157" s="161"/>
      <c r="H1157" s="161"/>
      <c r="I1157" s="161"/>
      <c r="J1157" s="161"/>
      <c r="K1157" s="161"/>
      <c r="L1157" s="161"/>
      <c r="M1157" s="161"/>
      <c r="N1157" s="161"/>
      <c r="O1157" s="161"/>
      <c r="P1157" s="161"/>
      <c r="Q1157" s="161"/>
      <c r="R1157" s="161"/>
      <c r="S1157" s="161"/>
      <c r="T1157" s="161"/>
      <c r="U1157" s="161"/>
      <c r="V1157" s="161"/>
      <c r="W1157" s="161"/>
      <c r="X1157" s="161"/>
      <c r="Y1157" s="161"/>
      <c r="Z1157" s="161"/>
      <c r="AA1157" s="161"/>
      <c r="AB1157" s="161"/>
    </row>
    <row r="1158" ht="13.75" customHeight="1">
      <c r="A1158" s="161"/>
      <c r="B1158" s="161"/>
      <c r="C1158" s="161"/>
      <c r="D1158" s="161"/>
      <c r="E1158" s="161"/>
      <c r="F1158" s="161"/>
      <c r="G1158" s="161"/>
      <c r="H1158" s="161"/>
      <c r="I1158" s="161"/>
      <c r="J1158" s="161"/>
      <c r="K1158" s="161"/>
      <c r="L1158" s="161"/>
      <c r="M1158" s="161"/>
      <c r="N1158" s="161"/>
      <c r="O1158" s="161"/>
      <c r="P1158" s="161"/>
      <c r="Q1158" s="161"/>
      <c r="R1158" s="161"/>
      <c r="S1158" s="161"/>
      <c r="T1158" s="161"/>
      <c r="U1158" s="161"/>
      <c r="V1158" s="161"/>
      <c r="W1158" s="161"/>
      <c r="X1158" s="161"/>
      <c r="Y1158" s="161"/>
      <c r="Z1158" s="161"/>
      <c r="AA1158" s="161"/>
      <c r="AB1158" s="161"/>
    </row>
    <row r="1159" ht="13.75" customHeight="1">
      <c r="A1159" s="161"/>
      <c r="B1159" s="161"/>
      <c r="C1159" s="161"/>
      <c r="D1159" s="161"/>
      <c r="E1159" s="161"/>
      <c r="F1159" s="161"/>
      <c r="G1159" s="161"/>
      <c r="H1159" s="161"/>
      <c r="I1159" s="161"/>
      <c r="J1159" s="161"/>
      <c r="K1159" s="161"/>
      <c r="L1159" s="161"/>
      <c r="M1159" s="161"/>
      <c r="N1159" s="161"/>
      <c r="O1159" s="161"/>
      <c r="P1159" s="161"/>
      <c r="Q1159" s="161"/>
      <c r="R1159" s="161"/>
      <c r="S1159" s="161"/>
      <c r="T1159" s="161"/>
      <c r="U1159" s="161"/>
      <c r="V1159" s="161"/>
      <c r="W1159" s="161"/>
      <c r="X1159" s="161"/>
      <c r="Y1159" s="161"/>
      <c r="Z1159" s="161"/>
      <c r="AA1159" s="161"/>
      <c r="AB1159" s="161"/>
    </row>
    <row r="1160" ht="13.75" customHeight="1">
      <c r="A1160" s="161"/>
      <c r="B1160" s="161"/>
      <c r="C1160" s="161"/>
      <c r="D1160" s="161"/>
      <c r="E1160" s="161"/>
      <c r="F1160" s="161"/>
      <c r="G1160" s="161"/>
      <c r="H1160" s="161"/>
      <c r="I1160" s="161"/>
      <c r="J1160" s="161"/>
      <c r="K1160" s="161"/>
      <c r="L1160" s="161"/>
      <c r="M1160" s="161"/>
      <c r="N1160" s="161"/>
      <c r="O1160" s="161"/>
      <c r="P1160" s="161"/>
      <c r="Q1160" s="161"/>
      <c r="R1160" s="161"/>
      <c r="S1160" s="161"/>
      <c r="T1160" s="161"/>
      <c r="U1160" s="161"/>
      <c r="V1160" s="161"/>
      <c r="W1160" s="161"/>
      <c r="X1160" s="161"/>
      <c r="Y1160" s="161"/>
      <c r="Z1160" s="161"/>
      <c r="AA1160" s="161"/>
      <c r="AB1160" s="161"/>
    </row>
    <row r="1161" ht="13.75" customHeight="1">
      <c r="A1161" s="161"/>
      <c r="B1161" s="161"/>
      <c r="C1161" s="161"/>
      <c r="D1161" s="161"/>
      <c r="E1161" s="161"/>
      <c r="F1161" s="161"/>
      <c r="G1161" s="161"/>
      <c r="H1161" s="161"/>
      <c r="I1161" s="161"/>
      <c r="J1161" s="161"/>
      <c r="K1161" s="161"/>
      <c r="L1161" s="161"/>
      <c r="M1161" s="161"/>
      <c r="N1161" s="161"/>
      <c r="O1161" s="161"/>
      <c r="P1161" s="161"/>
      <c r="Q1161" s="161"/>
      <c r="R1161" s="161"/>
      <c r="S1161" s="161"/>
      <c r="T1161" s="161"/>
      <c r="U1161" s="161"/>
      <c r="V1161" s="161"/>
      <c r="W1161" s="161"/>
      <c r="X1161" s="161"/>
      <c r="Y1161" s="161"/>
      <c r="Z1161" s="161"/>
      <c r="AA1161" s="161"/>
      <c r="AB1161" s="161"/>
    </row>
    <row r="1162" ht="13.75" customHeight="1">
      <c r="A1162" s="161"/>
      <c r="B1162" s="161"/>
      <c r="C1162" s="161"/>
      <c r="D1162" s="161"/>
      <c r="E1162" s="161"/>
      <c r="F1162" s="161"/>
      <c r="G1162" s="161"/>
      <c r="H1162" s="161"/>
      <c r="I1162" s="161"/>
      <c r="J1162" s="161"/>
      <c r="K1162" s="161"/>
      <c r="L1162" s="161"/>
      <c r="M1162" s="161"/>
      <c r="N1162" s="161"/>
      <c r="O1162" s="161"/>
      <c r="P1162" s="161"/>
      <c r="Q1162" s="161"/>
      <c r="R1162" s="161"/>
      <c r="S1162" s="161"/>
      <c r="T1162" s="161"/>
      <c r="U1162" s="161"/>
      <c r="V1162" s="161"/>
      <c r="W1162" s="161"/>
      <c r="X1162" s="161"/>
      <c r="Y1162" s="161"/>
      <c r="Z1162" s="161"/>
      <c r="AA1162" s="161"/>
      <c r="AB1162" s="161"/>
    </row>
    <row r="1163" ht="13.75" customHeight="1">
      <c r="A1163" s="161"/>
      <c r="B1163" s="161"/>
      <c r="C1163" s="161"/>
      <c r="D1163" s="161"/>
      <c r="E1163" s="161"/>
      <c r="F1163" s="161"/>
      <c r="G1163" s="161"/>
      <c r="H1163" s="161"/>
      <c r="I1163" s="161"/>
      <c r="J1163" s="161"/>
      <c r="K1163" s="161"/>
      <c r="L1163" s="161"/>
      <c r="M1163" s="161"/>
      <c r="N1163" s="161"/>
      <c r="O1163" s="161"/>
      <c r="P1163" s="161"/>
      <c r="Q1163" s="161"/>
      <c r="R1163" s="161"/>
      <c r="S1163" s="161"/>
      <c r="T1163" s="161"/>
      <c r="U1163" s="161"/>
      <c r="V1163" s="161"/>
      <c r="W1163" s="161"/>
      <c r="X1163" s="161"/>
      <c r="Y1163" s="161"/>
      <c r="Z1163" s="161"/>
      <c r="AA1163" s="161"/>
      <c r="AB1163" s="161"/>
    </row>
    <row r="1164" ht="13.75" customHeight="1">
      <c r="A1164" s="161"/>
      <c r="B1164" s="161"/>
      <c r="C1164" s="161"/>
      <c r="D1164" s="161"/>
      <c r="E1164" s="161"/>
      <c r="F1164" s="161"/>
      <c r="G1164" s="161"/>
      <c r="H1164" s="161"/>
      <c r="I1164" s="161"/>
      <c r="J1164" s="161"/>
      <c r="K1164" s="161"/>
      <c r="L1164" s="161"/>
      <c r="M1164" s="161"/>
      <c r="N1164" s="161"/>
      <c r="O1164" s="161"/>
      <c r="P1164" s="161"/>
      <c r="Q1164" s="161"/>
      <c r="R1164" s="161"/>
      <c r="S1164" s="161"/>
      <c r="T1164" s="161"/>
      <c r="U1164" s="161"/>
      <c r="V1164" s="161"/>
      <c r="W1164" s="161"/>
      <c r="X1164" s="161"/>
      <c r="Y1164" s="161"/>
      <c r="Z1164" s="161"/>
      <c r="AA1164" s="161"/>
      <c r="AB1164" s="161"/>
    </row>
    <row r="1165" ht="13.75" customHeight="1">
      <c r="A1165" s="161"/>
      <c r="B1165" s="161"/>
      <c r="C1165" s="161"/>
      <c r="D1165" s="161"/>
      <c r="E1165" s="161"/>
      <c r="F1165" s="161"/>
      <c r="G1165" s="161"/>
      <c r="H1165" s="161"/>
      <c r="I1165" s="161"/>
      <c r="J1165" s="161"/>
      <c r="K1165" s="161"/>
      <c r="L1165" s="161"/>
      <c r="M1165" s="161"/>
      <c r="N1165" s="161"/>
      <c r="O1165" s="161"/>
      <c r="P1165" s="161"/>
      <c r="Q1165" s="161"/>
      <c r="R1165" s="161"/>
      <c r="S1165" s="161"/>
      <c r="T1165" s="161"/>
      <c r="U1165" s="161"/>
      <c r="V1165" s="161"/>
      <c r="W1165" s="161"/>
      <c r="X1165" s="161"/>
      <c r="Y1165" s="161"/>
      <c r="Z1165" s="161"/>
      <c r="AA1165" s="161"/>
      <c r="AB1165" s="161"/>
    </row>
    <row r="1166" ht="13.75" customHeight="1">
      <c r="A1166" s="161"/>
      <c r="B1166" s="161"/>
      <c r="C1166" s="161"/>
      <c r="D1166" s="161"/>
      <c r="E1166" s="161"/>
      <c r="F1166" s="161"/>
      <c r="G1166" s="161"/>
      <c r="H1166" s="161"/>
      <c r="I1166" s="161"/>
      <c r="J1166" s="161"/>
      <c r="K1166" s="161"/>
      <c r="L1166" s="161"/>
      <c r="M1166" s="161"/>
      <c r="N1166" s="161"/>
      <c r="O1166" s="161"/>
      <c r="P1166" s="161"/>
      <c r="Q1166" s="161"/>
      <c r="R1166" s="161"/>
      <c r="S1166" s="161"/>
      <c r="T1166" s="161"/>
      <c r="U1166" s="161"/>
      <c r="V1166" s="161"/>
      <c r="W1166" s="161"/>
      <c r="X1166" s="161"/>
      <c r="Y1166" s="161"/>
      <c r="Z1166" s="161"/>
      <c r="AA1166" s="161"/>
      <c r="AB1166" s="161"/>
    </row>
    <row r="1167" ht="13.75" customHeight="1">
      <c r="A1167" s="161"/>
      <c r="B1167" s="161"/>
      <c r="C1167" s="161"/>
      <c r="D1167" s="161"/>
      <c r="E1167" s="161"/>
      <c r="F1167" s="161"/>
      <c r="G1167" s="161"/>
      <c r="H1167" s="161"/>
      <c r="I1167" s="161"/>
      <c r="J1167" s="161"/>
      <c r="K1167" s="161"/>
      <c r="L1167" s="161"/>
      <c r="M1167" s="161"/>
      <c r="N1167" s="161"/>
      <c r="O1167" s="161"/>
      <c r="P1167" s="161"/>
      <c r="Q1167" s="161"/>
      <c r="R1167" s="161"/>
      <c r="S1167" s="161"/>
      <c r="T1167" s="161"/>
      <c r="U1167" s="161"/>
      <c r="V1167" s="161"/>
      <c r="W1167" s="161"/>
      <c r="X1167" s="161"/>
      <c r="Y1167" s="161"/>
      <c r="Z1167" s="161"/>
      <c r="AA1167" s="161"/>
      <c r="AB1167" s="161"/>
    </row>
    <row r="1168" ht="13.75" customHeight="1">
      <c r="A1168" s="161"/>
      <c r="B1168" s="161"/>
      <c r="C1168" s="161"/>
      <c r="D1168" s="161"/>
      <c r="E1168" s="161"/>
      <c r="F1168" s="161"/>
      <c r="G1168" s="161"/>
      <c r="H1168" s="161"/>
      <c r="I1168" s="161"/>
      <c r="J1168" s="161"/>
      <c r="K1168" s="161"/>
      <c r="L1168" s="161"/>
      <c r="M1168" s="161"/>
      <c r="N1168" s="161"/>
      <c r="O1168" s="161"/>
      <c r="P1168" s="161"/>
      <c r="Q1168" s="161"/>
      <c r="R1168" s="161"/>
      <c r="S1168" s="161"/>
      <c r="T1168" s="161"/>
      <c r="U1168" s="161"/>
      <c r="V1168" s="161"/>
      <c r="W1168" s="161"/>
      <c r="X1168" s="161"/>
      <c r="Y1168" s="161"/>
      <c r="Z1168" s="161"/>
      <c r="AA1168" s="161"/>
      <c r="AB1168" s="161"/>
    </row>
    <row r="1169" ht="13.75" customHeight="1">
      <c r="A1169" s="161"/>
      <c r="B1169" s="161"/>
      <c r="C1169" s="161"/>
      <c r="D1169" s="161"/>
      <c r="E1169" s="161"/>
      <c r="F1169" s="161"/>
      <c r="G1169" s="161"/>
      <c r="H1169" s="161"/>
      <c r="I1169" s="161"/>
      <c r="J1169" s="161"/>
      <c r="K1169" s="161"/>
      <c r="L1169" s="161"/>
      <c r="M1169" s="161"/>
      <c r="N1169" s="161"/>
      <c r="O1169" s="161"/>
      <c r="P1169" s="161"/>
      <c r="Q1169" s="161"/>
      <c r="R1169" s="161"/>
      <c r="S1169" s="161"/>
      <c r="T1169" s="161"/>
      <c r="U1169" s="161"/>
      <c r="V1169" s="161"/>
      <c r="W1169" s="161"/>
      <c r="X1169" s="161"/>
      <c r="Y1169" s="161"/>
      <c r="Z1169" s="161"/>
      <c r="AA1169" s="161"/>
      <c r="AB1169" s="161"/>
    </row>
    <row r="1170" ht="13.75" customHeight="1">
      <c r="A1170" s="161"/>
      <c r="B1170" s="161"/>
      <c r="C1170" s="161"/>
      <c r="D1170" s="161"/>
      <c r="E1170" s="161"/>
      <c r="F1170" s="161"/>
      <c r="G1170" s="161"/>
      <c r="H1170" s="161"/>
      <c r="I1170" s="161"/>
      <c r="J1170" s="161"/>
      <c r="K1170" s="161"/>
      <c r="L1170" s="161"/>
      <c r="M1170" s="161"/>
      <c r="N1170" s="161"/>
      <c r="O1170" s="161"/>
      <c r="P1170" s="161"/>
      <c r="Q1170" s="161"/>
      <c r="R1170" s="161"/>
      <c r="S1170" s="161"/>
      <c r="T1170" s="161"/>
      <c r="U1170" s="161"/>
      <c r="V1170" s="161"/>
      <c r="W1170" s="161"/>
      <c r="X1170" s="161"/>
      <c r="Y1170" s="161"/>
      <c r="Z1170" s="161"/>
      <c r="AA1170" s="161"/>
      <c r="AB1170" s="161"/>
    </row>
    <row r="1171" ht="13.75" customHeight="1">
      <c r="A1171" s="161"/>
      <c r="B1171" s="161"/>
      <c r="C1171" s="161"/>
      <c r="D1171" s="161"/>
      <c r="E1171" s="161"/>
      <c r="F1171" s="161"/>
      <c r="G1171" s="161"/>
      <c r="H1171" s="161"/>
      <c r="I1171" s="161"/>
      <c r="J1171" s="161"/>
      <c r="K1171" s="161"/>
      <c r="L1171" s="161"/>
      <c r="M1171" s="161"/>
      <c r="N1171" s="161"/>
      <c r="O1171" s="161"/>
      <c r="P1171" s="161"/>
      <c r="Q1171" s="161"/>
      <c r="R1171" s="161"/>
      <c r="S1171" s="161"/>
      <c r="T1171" s="161"/>
      <c r="U1171" s="161"/>
      <c r="V1171" s="161"/>
      <c r="W1171" s="161"/>
      <c r="X1171" s="161"/>
      <c r="Y1171" s="161"/>
      <c r="Z1171" s="161"/>
      <c r="AA1171" s="161"/>
      <c r="AB1171" s="161"/>
    </row>
    <row r="1172" ht="13.75" customHeight="1">
      <c r="A1172" s="161"/>
      <c r="B1172" s="161"/>
      <c r="C1172" s="161"/>
      <c r="D1172" s="161"/>
      <c r="E1172" s="161"/>
      <c r="F1172" s="161"/>
      <c r="G1172" s="161"/>
      <c r="H1172" s="161"/>
      <c r="I1172" s="161"/>
      <c r="J1172" s="161"/>
      <c r="K1172" s="161"/>
      <c r="L1172" s="161"/>
      <c r="M1172" s="161"/>
      <c r="N1172" s="161"/>
      <c r="O1172" s="161"/>
      <c r="P1172" s="161"/>
      <c r="Q1172" s="161"/>
      <c r="R1172" s="161"/>
      <c r="S1172" s="161"/>
      <c r="T1172" s="161"/>
      <c r="U1172" s="161"/>
      <c r="V1172" s="161"/>
      <c r="W1172" s="161"/>
      <c r="X1172" s="161"/>
      <c r="Y1172" s="161"/>
      <c r="Z1172" s="161"/>
      <c r="AA1172" s="161"/>
      <c r="AB1172" s="161"/>
    </row>
    <row r="1173" ht="13.75" customHeight="1">
      <c r="A1173" s="161"/>
      <c r="B1173" s="161"/>
      <c r="C1173" s="161"/>
      <c r="D1173" s="161"/>
      <c r="E1173" s="161"/>
      <c r="F1173" s="161"/>
      <c r="G1173" s="161"/>
      <c r="H1173" s="161"/>
      <c r="I1173" s="161"/>
      <c r="J1173" s="161"/>
      <c r="K1173" s="161"/>
      <c r="L1173" s="161"/>
      <c r="M1173" s="161"/>
      <c r="N1173" s="161"/>
      <c r="O1173" s="161"/>
      <c r="P1173" s="161"/>
      <c r="Q1173" s="161"/>
      <c r="R1173" s="161"/>
      <c r="S1173" s="161"/>
      <c r="T1173" s="161"/>
      <c r="U1173" s="161"/>
      <c r="V1173" s="161"/>
      <c r="W1173" s="161"/>
      <c r="X1173" s="161"/>
      <c r="Y1173" s="161"/>
      <c r="Z1173" s="161"/>
      <c r="AA1173" s="161"/>
      <c r="AB1173" s="161"/>
    </row>
    <row r="1174" ht="13.75" customHeight="1">
      <c r="A1174" s="161"/>
      <c r="B1174" s="161"/>
      <c r="C1174" s="161"/>
      <c r="D1174" s="161"/>
      <c r="E1174" s="161"/>
      <c r="F1174" s="161"/>
      <c r="G1174" s="161"/>
      <c r="H1174" s="161"/>
      <c r="I1174" s="161"/>
      <c r="J1174" s="161"/>
      <c r="K1174" s="161"/>
      <c r="L1174" s="161"/>
      <c r="M1174" s="161"/>
      <c r="N1174" s="161"/>
      <c r="O1174" s="161"/>
      <c r="P1174" s="161"/>
      <c r="Q1174" s="161"/>
      <c r="R1174" s="161"/>
      <c r="S1174" s="161"/>
      <c r="T1174" s="161"/>
      <c r="U1174" s="161"/>
      <c r="V1174" s="161"/>
      <c r="W1174" s="161"/>
      <c r="X1174" s="161"/>
      <c r="Y1174" s="161"/>
      <c r="Z1174" s="161"/>
      <c r="AA1174" s="161"/>
      <c r="AB1174" s="161"/>
    </row>
    <row r="1175" ht="13.75" customHeight="1">
      <c r="A1175" s="161"/>
      <c r="B1175" s="161"/>
      <c r="C1175" s="161"/>
      <c r="D1175" s="161"/>
      <c r="E1175" s="161"/>
      <c r="F1175" s="161"/>
      <c r="G1175" s="161"/>
      <c r="H1175" s="161"/>
      <c r="I1175" s="161"/>
      <c r="J1175" s="161"/>
      <c r="K1175" s="161"/>
      <c r="L1175" s="161"/>
      <c r="M1175" s="161"/>
      <c r="N1175" s="161"/>
      <c r="O1175" s="161"/>
      <c r="P1175" s="161"/>
      <c r="Q1175" s="161"/>
      <c r="R1175" s="161"/>
      <c r="S1175" s="161"/>
      <c r="T1175" s="161"/>
      <c r="U1175" s="161"/>
      <c r="V1175" s="161"/>
      <c r="W1175" s="161"/>
      <c r="X1175" s="161"/>
      <c r="Y1175" s="161"/>
      <c r="Z1175" s="161"/>
      <c r="AA1175" s="161"/>
      <c r="AB1175" s="161"/>
    </row>
    <row r="1176" ht="13.75" customHeight="1">
      <c r="A1176" s="161"/>
      <c r="B1176" s="161"/>
      <c r="C1176" s="161"/>
      <c r="D1176" s="161"/>
      <c r="E1176" s="161"/>
      <c r="F1176" s="161"/>
      <c r="G1176" s="161"/>
      <c r="H1176" s="161"/>
      <c r="I1176" s="161"/>
      <c r="J1176" s="161"/>
      <c r="K1176" s="161"/>
      <c r="L1176" s="161"/>
      <c r="M1176" s="161"/>
      <c r="N1176" s="161"/>
      <c r="O1176" s="161"/>
      <c r="P1176" s="161"/>
      <c r="Q1176" s="161"/>
      <c r="R1176" s="161"/>
      <c r="S1176" s="161"/>
      <c r="T1176" s="161"/>
      <c r="U1176" s="161"/>
      <c r="V1176" s="161"/>
      <c r="W1176" s="161"/>
      <c r="X1176" s="161"/>
      <c r="Y1176" s="161"/>
      <c r="Z1176" s="161"/>
      <c r="AA1176" s="161"/>
      <c r="AB1176" s="161"/>
    </row>
    <row r="1177" ht="13.75" customHeight="1">
      <c r="A1177" s="161"/>
      <c r="B1177" s="161"/>
      <c r="C1177" s="161"/>
      <c r="D1177" s="161"/>
      <c r="E1177" s="161"/>
      <c r="F1177" s="161"/>
      <c r="G1177" s="161"/>
      <c r="H1177" s="161"/>
      <c r="I1177" s="161"/>
      <c r="J1177" s="161"/>
      <c r="K1177" s="161"/>
      <c r="L1177" s="161"/>
      <c r="M1177" s="161"/>
      <c r="N1177" s="161"/>
      <c r="O1177" s="161"/>
      <c r="P1177" s="161"/>
      <c r="Q1177" s="161"/>
      <c r="R1177" s="161"/>
      <c r="S1177" s="161"/>
      <c r="T1177" s="161"/>
      <c r="U1177" s="161"/>
      <c r="V1177" s="161"/>
      <c r="W1177" s="161"/>
      <c r="X1177" s="161"/>
      <c r="Y1177" s="161"/>
      <c r="Z1177" s="161"/>
      <c r="AA1177" s="161"/>
      <c r="AB1177" s="161"/>
    </row>
    <row r="1178" ht="13.75" customHeight="1">
      <c r="A1178" s="161"/>
      <c r="B1178" s="161"/>
      <c r="C1178" s="161"/>
      <c r="D1178" s="161"/>
      <c r="E1178" s="161"/>
      <c r="F1178" s="161"/>
      <c r="G1178" s="161"/>
      <c r="H1178" s="161"/>
      <c r="I1178" s="161"/>
      <c r="J1178" s="161"/>
      <c r="K1178" s="161"/>
      <c r="L1178" s="161"/>
      <c r="M1178" s="161"/>
      <c r="N1178" s="161"/>
      <c r="O1178" s="161"/>
      <c r="P1178" s="161"/>
      <c r="Q1178" s="161"/>
      <c r="R1178" s="161"/>
      <c r="S1178" s="161"/>
      <c r="T1178" s="161"/>
      <c r="U1178" s="161"/>
      <c r="V1178" s="161"/>
      <c r="W1178" s="161"/>
      <c r="X1178" s="161"/>
      <c r="Y1178" s="161"/>
      <c r="Z1178" s="161"/>
      <c r="AA1178" s="161"/>
      <c r="AB1178" s="161"/>
    </row>
    <row r="1179" ht="13.75" customHeight="1">
      <c r="A1179" s="161"/>
      <c r="B1179" s="161"/>
      <c r="C1179" s="161"/>
      <c r="D1179" s="161"/>
      <c r="E1179" s="161"/>
      <c r="F1179" s="161"/>
      <c r="G1179" s="161"/>
      <c r="H1179" s="161"/>
      <c r="I1179" s="161"/>
      <c r="J1179" s="161"/>
      <c r="K1179" s="161"/>
      <c r="L1179" s="161"/>
      <c r="M1179" s="161"/>
      <c r="N1179" s="161"/>
      <c r="O1179" s="161"/>
      <c r="P1179" s="161"/>
      <c r="Q1179" s="161"/>
      <c r="R1179" s="161"/>
      <c r="S1179" s="161"/>
      <c r="T1179" s="161"/>
      <c r="U1179" s="161"/>
      <c r="V1179" s="161"/>
      <c r="W1179" s="161"/>
      <c r="X1179" s="161"/>
      <c r="Y1179" s="161"/>
      <c r="Z1179" s="161"/>
      <c r="AA1179" s="161"/>
      <c r="AB1179" s="161"/>
    </row>
    <row r="1180" ht="13.75" customHeight="1">
      <c r="A1180" s="161"/>
      <c r="B1180" s="161"/>
      <c r="C1180" s="161"/>
      <c r="D1180" s="161"/>
      <c r="E1180" s="161"/>
      <c r="F1180" s="161"/>
      <c r="G1180" s="161"/>
      <c r="H1180" s="161"/>
      <c r="I1180" s="161"/>
      <c r="J1180" s="161"/>
      <c r="K1180" s="161"/>
      <c r="L1180" s="161"/>
      <c r="M1180" s="161"/>
      <c r="N1180" s="161"/>
      <c r="O1180" s="161"/>
      <c r="P1180" s="161"/>
      <c r="Q1180" s="161"/>
      <c r="R1180" s="161"/>
      <c r="S1180" s="161"/>
      <c r="T1180" s="161"/>
      <c r="U1180" s="161"/>
      <c r="V1180" s="161"/>
      <c r="W1180" s="161"/>
      <c r="X1180" s="161"/>
      <c r="Y1180" s="161"/>
      <c r="Z1180" s="161"/>
      <c r="AA1180" s="161"/>
      <c r="AB1180" s="161"/>
    </row>
    <row r="1181" ht="13.75" customHeight="1">
      <c r="A1181" s="161"/>
      <c r="B1181" s="161"/>
      <c r="C1181" s="161"/>
      <c r="D1181" s="161"/>
      <c r="E1181" s="161"/>
      <c r="F1181" s="161"/>
      <c r="G1181" s="161"/>
      <c r="H1181" s="161"/>
      <c r="I1181" s="161"/>
      <c r="J1181" s="161"/>
      <c r="K1181" s="161"/>
      <c r="L1181" s="161"/>
      <c r="M1181" s="161"/>
      <c r="N1181" s="161"/>
      <c r="O1181" s="161"/>
      <c r="P1181" s="161"/>
      <c r="Q1181" s="161"/>
      <c r="R1181" s="161"/>
      <c r="S1181" s="161"/>
      <c r="T1181" s="161"/>
      <c r="U1181" s="161"/>
      <c r="V1181" s="161"/>
      <c r="W1181" s="161"/>
      <c r="X1181" s="161"/>
      <c r="Y1181" s="161"/>
      <c r="Z1181" s="161"/>
      <c r="AA1181" s="161"/>
      <c r="AB1181" s="161"/>
    </row>
    <row r="1182" ht="13.75" customHeight="1">
      <c r="A1182" s="161"/>
      <c r="B1182" s="161"/>
      <c r="C1182" s="161"/>
      <c r="D1182" s="161"/>
      <c r="E1182" s="161"/>
      <c r="F1182" s="161"/>
      <c r="G1182" s="161"/>
      <c r="H1182" s="161"/>
      <c r="I1182" s="161"/>
      <c r="J1182" s="161"/>
      <c r="K1182" s="161"/>
      <c r="L1182" s="161"/>
      <c r="M1182" s="161"/>
      <c r="N1182" s="161"/>
      <c r="O1182" s="161"/>
      <c r="P1182" s="161"/>
      <c r="Q1182" s="161"/>
      <c r="R1182" s="161"/>
      <c r="S1182" s="161"/>
      <c r="T1182" s="161"/>
      <c r="U1182" s="161"/>
      <c r="V1182" s="161"/>
      <c r="W1182" s="161"/>
      <c r="X1182" s="161"/>
      <c r="Y1182" s="161"/>
      <c r="Z1182" s="161"/>
      <c r="AA1182" s="161"/>
      <c r="AB1182" s="161"/>
    </row>
    <row r="1183" ht="13.75" customHeight="1">
      <c r="A1183" s="161"/>
      <c r="B1183" s="161"/>
      <c r="C1183" s="161"/>
      <c r="D1183" s="161"/>
      <c r="E1183" s="161"/>
      <c r="F1183" s="161"/>
      <c r="G1183" s="161"/>
      <c r="H1183" s="161"/>
      <c r="I1183" s="161"/>
      <c r="J1183" s="161"/>
      <c r="K1183" s="161"/>
      <c r="L1183" s="161"/>
      <c r="M1183" s="161"/>
      <c r="N1183" s="161"/>
      <c r="O1183" s="161"/>
      <c r="P1183" s="161"/>
      <c r="Q1183" s="161"/>
      <c r="R1183" s="161"/>
      <c r="S1183" s="161"/>
      <c r="T1183" s="161"/>
      <c r="U1183" s="161"/>
      <c r="V1183" s="161"/>
      <c r="W1183" s="161"/>
      <c r="X1183" s="161"/>
      <c r="Y1183" s="161"/>
      <c r="Z1183" s="161"/>
      <c r="AA1183" s="161"/>
      <c r="AB1183" s="161"/>
    </row>
    <row r="1184" ht="13.75" customHeight="1">
      <c r="A1184" s="161"/>
      <c r="B1184" s="161"/>
      <c r="C1184" s="161"/>
      <c r="D1184" s="161"/>
      <c r="E1184" s="161"/>
      <c r="F1184" s="161"/>
      <c r="G1184" s="161"/>
      <c r="H1184" s="161"/>
      <c r="I1184" s="161"/>
      <c r="J1184" s="161"/>
      <c r="K1184" s="161"/>
      <c r="L1184" s="161"/>
      <c r="M1184" s="161"/>
      <c r="N1184" s="161"/>
      <c r="O1184" s="161"/>
      <c r="P1184" s="161"/>
      <c r="Q1184" s="161"/>
      <c r="R1184" s="161"/>
      <c r="S1184" s="161"/>
      <c r="T1184" s="161"/>
      <c r="U1184" s="161"/>
      <c r="V1184" s="161"/>
      <c r="W1184" s="161"/>
      <c r="X1184" s="161"/>
      <c r="Y1184" s="161"/>
      <c r="Z1184" s="161"/>
      <c r="AA1184" s="161"/>
      <c r="AB1184" s="161"/>
    </row>
    <row r="1185" ht="13.75" customHeight="1">
      <c r="A1185" s="161"/>
      <c r="B1185" s="161"/>
      <c r="C1185" s="161"/>
      <c r="D1185" s="161"/>
      <c r="E1185" s="161"/>
      <c r="F1185" s="161"/>
      <c r="G1185" s="161"/>
      <c r="H1185" s="161"/>
      <c r="I1185" s="161"/>
      <c r="J1185" s="161"/>
      <c r="K1185" s="161"/>
      <c r="L1185" s="161"/>
      <c r="M1185" s="161"/>
      <c r="N1185" s="161"/>
      <c r="O1185" s="161"/>
      <c r="P1185" s="161"/>
      <c r="Q1185" s="161"/>
      <c r="R1185" s="161"/>
      <c r="S1185" s="161"/>
      <c r="T1185" s="161"/>
      <c r="U1185" s="161"/>
      <c r="V1185" s="161"/>
      <c r="W1185" s="161"/>
      <c r="X1185" s="161"/>
      <c r="Y1185" s="161"/>
      <c r="Z1185" s="161"/>
      <c r="AA1185" s="161"/>
      <c r="AB1185" s="161"/>
    </row>
    <row r="1186" ht="13.75" customHeight="1">
      <c r="A1186" s="161"/>
      <c r="B1186" s="161"/>
      <c r="C1186" s="161"/>
      <c r="D1186" s="161"/>
      <c r="E1186" s="161"/>
      <c r="F1186" s="161"/>
      <c r="G1186" s="161"/>
      <c r="H1186" s="161"/>
      <c r="I1186" s="161"/>
      <c r="J1186" s="161"/>
      <c r="K1186" s="161"/>
      <c r="L1186" s="161"/>
      <c r="M1186" s="161"/>
      <c r="N1186" s="161"/>
      <c r="O1186" s="161"/>
      <c r="P1186" s="161"/>
      <c r="Q1186" s="161"/>
      <c r="R1186" s="161"/>
      <c r="S1186" s="161"/>
      <c r="T1186" s="161"/>
      <c r="U1186" s="161"/>
      <c r="V1186" s="161"/>
      <c r="W1186" s="161"/>
      <c r="X1186" s="161"/>
      <c r="Y1186" s="161"/>
      <c r="Z1186" s="161"/>
      <c r="AA1186" s="161"/>
      <c r="AB1186" s="161"/>
    </row>
    <row r="1187" ht="13.75" customHeight="1">
      <c r="A1187" s="161"/>
      <c r="B1187" s="161"/>
      <c r="C1187" s="161"/>
      <c r="D1187" s="161"/>
      <c r="E1187" s="161"/>
      <c r="F1187" s="161"/>
      <c r="G1187" s="161"/>
      <c r="H1187" s="161"/>
      <c r="I1187" s="161"/>
      <c r="J1187" s="161"/>
      <c r="K1187" s="161"/>
      <c r="L1187" s="161"/>
      <c r="M1187" s="161"/>
      <c r="N1187" s="161"/>
      <c r="O1187" s="161"/>
      <c r="P1187" s="161"/>
      <c r="Q1187" s="161"/>
      <c r="R1187" s="161"/>
      <c r="S1187" s="161"/>
      <c r="T1187" s="161"/>
      <c r="U1187" s="161"/>
      <c r="V1187" s="161"/>
      <c r="W1187" s="161"/>
      <c r="X1187" s="161"/>
      <c r="Y1187" s="161"/>
      <c r="Z1187" s="161"/>
      <c r="AA1187" s="161"/>
      <c r="AB1187" s="161"/>
    </row>
    <row r="1188" ht="13.75" customHeight="1">
      <c r="A1188" s="161"/>
      <c r="B1188" s="161"/>
      <c r="C1188" s="161"/>
      <c r="D1188" s="161"/>
      <c r="E1188" s="161"/>
      <c r="F1188" s="161"/>
      <c r="G1188" s="161"/>
      <c r="H1188" s="161"/>
      <c r="I1188" s="161"/>
      <c r="J1188" s="161"/>
      <c r="K1188" s="161"/>
      <c r="L1188" s="161"/>
      <c r="M1188" s="161"/>
      <c r="N1188" s="161"/>
      <c r="O1188" s="161"/>
      <c r="P1188" s="161"/>
      <c r="Q1188" s="161"/>
      <c r="R1188" s="161"/>
      <c r="S1188" s="161"/>
      <c r="T1188" s="161"/>
      <c r="U1188" s="161"/>
      <c r="V1188" s="161"/>
      <c r="W1188" s="161"/>
      <c r="X1188" s="161"/>
      <c r="Y1188" s="161"/>
      <c r="Z1188" s="161"/>
      <c r="AA1188" s="161"/>
      <c r="AB1188" s="161"/>
    </row>
    <row r="1189" ht="13.75" customHeight="1">
      <c r="A1189" s="161"/>
      <c r="B1189" s="161"/>
      <c r="C1189" s="161"/>
      <c r="D1189" s="161"/>
      <c r="E1189" s="161"/>
      <c r="F1189" s="161"/>
      <c r="G1189" s="161"/>
      <c r="H1189" s="161"/>
      <c r="I1189" s="161"/>
      <c r="J1189" s="161"/>
      <c r="K1189" s="161"/>
      <c r="L1189" s="161"/>
      <c r="M1189" s="161"/>
      <c r="N1189" s="161"/>
      <c r="O1189" s="161"/>
      <c r="P1189" s="161"/>
      <c r="Q1189" s="161"/>
      <c r="R1189" s="161"/>
      <c r="S1189" s="161"/>
      <c r="T1189" s="161"/>
      <c r="U1189" s="161"/>
      <c r="V1189" s="161"/>
      <c r="W1189" s="161"/>
      <c r="X1189" s="161"/>
      <c r="Y1189" s="161"/>
      <c r="Z1189" s="161"/>
      <c r="AA1189" s="161"/>
      <c r="AB1189" s="161"/>
    </row>
    <row r="1190" ht="13.75" customHeight="1">
      <c r="A1190" s="161"/>
      <c r="B1190" s="161"/>
      <c r="C1190" s="161"/>
      <c r="D1190" s="161"/>
      <c r="E1190" s="161"/>
      <c r="F1190" s="161"/>
      <c r="G1190" s="161"/>
      <c r="H1190" s="161"/>
      <c r="I1190" s="161"/>
      <c r="J1190" s="161"/>
      <c r="K1190" s="161"/>
      <c r="L1190" s="161"/>
      <c r="M1190" s="161"/>
      <c r="N1190" s="161"/>
      <c r="O1190" s="161"/>
      <c r="P1190" s="161"/>
      <c r="Q1190" s="161"/>
      <c r="R1190" s="161"/>
      <c r="S1190" s="161"/>
      <c r="T1190" s="161"/>
      <c r="U1190" s="161"/>
      <c r="V1190" s="161"/>
      <c r="W1190" s="161"/>
      <c r="X1190" s="161"/>
      <c r="Y1190" s="161"/>
      <c r="Z1190" s="161"/>
      <c r="AA1190" s="161"/>
      <c r="AB1190" s="161"/>
    </row>
    <row r="1191" ht="13.75" customHeight="1">
      <c r="A1191" s="161"/>
      <c r="B1191" s="161"/>
      <c r="C1191" s="161"/>
      <c r="D1191" s="161"/>
      <c r="E1191" s="161"/>
      <c r="F1191" s="161"/>
      <c r="G1191" s="161"/>
      <c r="H1191" s="161"/>
      <c r="I1191" s="161"/>
      <c r="J1191" s="161"/>
      <c r="K1191" s="161"/>
      <c r="L1191" s="161"/>
      <c r="M1191" s="161"/>
      <c r="N1191" s="161"/>
      <c r="O1191" s="161"/>
      <c r="P1191" s="161"/>
      <c r="Q1191" s="161"/>
      <c r="R1191" s="161"/>
      <c r="S1191" s="161"/>
      <c r="T1191" s="161"/>
      <c r="U1191" s="161"/>
      <c r="V1191" s="161"/>
      <c r="W1191" s="161"/>
      <c r="X1191" s="161"/>
      <c r="Y1191" s="161"/>
      <c r="Z1191" s="161"/>
      <c r="AA1191" s="161"/>
      <c r="AB1191" s="161"/>
    </row>
    <row r="1192" ht="13.75" customHeight="1">
      <c r="A1192" s="161"/>
      <c r="B1192" s="161"/>
      <c r="C1192" s="161"/>
      <c r="D1192" s="161"/>
      <c r="E1192" s="161"/>
      <c r="F1192" s="161"/>
      <c r="G1192" s="161"/>
      <c r="H1192" s="161"/>
      <c r="I1192" s="161"/>
      <c r="J1192" s="161"/>
      <c r="K1192" s="161"/>
      <c r="L1192" s="161"/>
      <c r="M1192" s="161"/>
      <c r="N1192" s="161"/>
      <c r="O1192" s="161"/>
      <c r="P1192" s="161"/>
      <c r="Q1192" s="161"/>
      <c r="R1192" s="161"/>
      <c r="S1192" s="161"/>
      <c r="T1192" s="161"/>
      <c r="U1192" s="161"/>
      <c r="V1192" s="161"/>
      <c r="W1192" s="161"/>
      <c r="X1192" s="161"/>
      <c r="Y1192" s="161"/>
      <c r="Z1192" s="161"/>
      <c r="AA1192" s="161"/>
      <c r="AB1192" s="161"/>
    </row>
    <row r="1193" ht="13.75" customHeight="1">
      <c r="A1193" s="161"/>
      <c r="B1193" s="161"/>
      <c r="C1193" s="161"/>
      <c r="D1193" s="161"/>
      <c r="E1193" s="161"/>
      <c r="F1193" s="161"/>
      <c r="G1193" s="161"/>
      <c r="H1193" s="161"/>
      <c r="I1193" s="161"/>
      <c r="J1193" s="161"/>
      <c r="K1193" s="161"/>
      <c r="L1193" s="161"/>
      <c r="M1193" s="161"/>
      <c r="N1193" s="161"/>
      <c r="O1193" s="161"/>
      <c r="P1193" s="161"/>
      <c r="Q1193" s="161"/>
      <c r="R1193" s="161"/>
      <c r="S1193" s="161"/>
      <c r="T1193" s="161"/>
      <c r="U1193" s="161"/>
      <c r="V1193" s="161"/>
      <c r="W1193" s="161"/>
      <c r="X1193" s="161"/>
      <c r="Y1193" s="161"/>
      <c r="Z1193" s="161"/>
      <c r="AA1193" s="161"/>
      <c r="AB1193" s="161"/>
    </row>
    <row r="1194" ht="13.75" customHeight="1">
      <c r="A1194" s="161"/>
      <c r="B1194" s="161"/>
      <c r="C1194" s="161"/>
      <c r="D1194" s="161"/>
      <c r="E1194" s="161"/>
      <c r="F1194" s="161"/>
      <c r="G1194" s="161"/>
      <c r="H1194" s="161"/>
      <c r="I1194" s="161"/>
      <c r="J1194" s="161"/>
      <c r="K1194" s="161"/>
      <c r="L1194" s="161"/>
      <c r="M1194" s="161"/>
      <c r="N1194" s="161"/>
      <c r="O1194" s="161"/>
      <c r="P1194" s="161"/>
      <c r="Q1194" s="161"/>
      <c r="R1194" s="161"/>
      <c r="S1194" s="161"/>
      <c r="T1194" s="161"/>
      <c r="U1194" s="161"/>
      <c r="V1194" s="161"/>
      <c r="W1194" s="161"/>
      <c r="X1194" s="161"/>
      <c r="Y1194" s="161"/>
      <c r="Z1194" s="161"/>
      <c r="AA1194" s="161"/>
      <c r="AB1194" s="161"/>
    </row>
    <row r="1195" ht="13.75" customHeight="1">
      <c r="A1195" s="161"/>
      <c r="B1195" s="161"/>
      <c r="C1195" s="161"/>
      <c r="D1195" s="161"/>
      <c r="E1195" s="161"/>
      <c r="F1195" s="161"/>
      <c r="G1195" s="161"/>
      <c r="H1195" s="161"/>
      <c r="I1195" s="161"/>
      <c r="J1195" s="161"/>
      <c r="K1195" s="161"/>
      <c r="L1195" s="161"/>
      <c r="M1195" s="161"/>
      <c r="N1195" s="161"/>
      <c r="O1195" s="161"/>
      <c r="P1195" s="161"/>
      <c r="Q1195" s="161"/>
      <c r="R1195" s="161"/>
      <c r="S1195" s="161"/>
      <c r="T1195" s="161"/>
      <c r="U1195" s="161"/>
      <c r="V1195" s="161"/>
      <c r="W1195" s="161"/>
      <c r="X1195" s="161"/>
      <c r="Y1195" s="161"/>
      <c r="Z1195" s="161"/>
      <c r="AA1195" s="161"/>
      <c r="AB1195" s="161"/>
    </row>
    <row r="1196" ht="13.75" customHeight="1">
      <c r="A1196" s="161"/>
      <c r="B1196" s="161"/>
      <c r="C1196" s="161"/>
      <c r="D1196" s="161"/>
      <c r="E1196" s="161"/>
      <c r="F1196" s="161"/>
      <c r="G1196" s="161"/>
      <c r="H1196" s="161"/>
      <c r="I1196" s="161"/>
      <c r="J1196" s="161"/>
      <c r="K1196" s="161"/>
      <c r="L1196" s="161"/>
      <c r="M1196" s="161"/>
      <c r="N1196" s="161"/>
      <c r="O1196" s="161"/>
      <c r="P1196" s="161"/>
      <c r="Q1196" s="161"/>
      <c r="R1196" s="161"/>
      <c r="S1196" s="161"/>
      <c r="T1196" s="161"/>
      <c r="U1196" s="161"/>
      <c r="V1196" s="161"/>
      <c r="W1196" s="161"/>
      <c r="X1196" s="161"/>
      <c r="Y1196" s="161"/>
      <c r="Z1196" s="161"/>
      <c r="AA1196" s="161"/>
      <c r="AB1196" s="161"/>
    </row>
    <row r="1197" ht="13.75" customHeight="1">
      <c r="A1197" s="161"/>
      <c r="B1197" s="161"/>
      <c r="C1197" s="161"/>
      <c r="D1197" s="161"/>
      <c r="E1197" s="161"/>
      <c r="F1197" s="161"/>
      <c r="G1197" s="161"/>
      <c r="H1197" s="161"/>
      <c r="I1197" s="161"/>
      <c r="J1197" s="161"/>
      <c r="K1197" s="161"/>
      <c r="L1197" s="161"/>
      <c r="M1197" s="161"/>
      <c r="N1197" s="161"/>
      <c r="O1197" s="161"/>
      <c r="P1197" s="161"/>
      <c r="Q1197" s="161"/>
      <c r="R1197" s="161"/>
      <c r="S1197" s="161"/>
      <c r="T1197" s="161"/>
      <c r="U1197" s="161"/>
      <c r="V1197" s="161"/>
      <c r="W1197" s="161"/>
      <c r="X1197" s="161"/>
      <c r="Y1197" s="161"/>
      <c r="Z1197" s="161"/>
      <c r="AA1197" s="161"/>
      <c r="AB1197" s="161"/>
    </row>
    <row r="1198" ht="13.75" customHeight="1">
      <c r="A1198" s="161"/>
      <c r="B1198" s="161"/>
      <c r="C1198" s="161"/>
      <c r="D1198" s="161"/>
      <c r="E1198" s="161"/>
      <c r="F1198" s="161"/>
      <c r="G1198" s="161"/>
      <c r="H1198" s="161"/>
      <c r="I1198" s="161"/>
      <c r="J1198" s="161"/>
      <c r="K1198" s="161"/>
      <c r="L1198" s="161"/>
      <c r="M1198" s="161"/>
      <c r="N1198" s="161"/>
      <c r="O1198" s="161"/>
      <c r="P1198" s="161"/>
      <c r="Q1198" s="161"/>
      <c r="R1198" s="161"/>
      <c r="S1198" s="161"/>
      <c r="T1198" s="161"/>
      <c r="U1198" s="161"/>
      <c r="V1198" s="161"/>
      <c r="W1198" s="161"/>
      <c r="X1198" s="161"/>
      <c r="Y1198" s="161"/>
      <c r="Z1198" s="161"/>
      <c r="AA1198" s="161"/>
      <c r="AB1198" s="161"/>
    </row>
    <row r="1199" ht="13.75" customHeight="1">
      <c r="A1199" s="161"/>
      <c r="B1199" s="161"/>
      <c r="C1199" s="161"/>
      <c r="D1199" s="161"/>
      <c r="E1199" s="161"/>
      <c r="F1199" s="161"/>
      <c r="G1199" s="161"/>
      <c r="H1199" s="161"/>
      <c r="I1199" s="161"/>
      <c r="J1199" s="161"/>
      <c r="K1199" s="161"/>
      <c r="L1199" s="161"/>
      <c r="M1199" s="161"/>
      <c r="N1199" s="161"/>
      <c r="O1199" s="161"/>
      <c r="P1199" s="161"/>
      <c r="Q1199" s="161"/>
      <c r="R1199" s="161"/>
      <c r="S1199" s="161"/>
      <c r="T1199" s="161"/>
      <c r="U1199" s="161"/>
      <c r="V1199" s="161"/>
      <c r="W1199" s="161"/>
      <c r="X1199" s="161"/>
      <c r="Y1199" s="161"/>
      <c r="Z1199" s="161"/>
      <c r="AA1199" s="161"/>
      <c r="AB1199" s="161"/>
    </row>
    <row r="1200" ht="13.75" customHeight="1">
      <c r="A1200" s="161"/>
      <c r="B1200" s="161"/>
      <c r="C1200" s="161"/>
      <c r="D1200" s="161"/>
      <c r="E1200" s="161"/>
      <c r="F1200" s="161"/>
      <c r="G1200" s="161"/>
      <c r="H1200" s="161"/>
      <c r="I1200" s="161"/>
      <c r="J1200" s="161"/>
      <c r="K1200" s="161"/>
      <c r="L1200" s="161"/>
      <c r="M1200" s="161"/>
      <c r="N1200" s="161"/>
      <c r="O1200" s="161"/>
      <c r="P1200" s="161"/>
      <c r="Q1200" s="161"/>
      <c r="R1200" s="161"/>
      <c r="S1200" s="161"/>
      <c r="T1200" s="161"/>
      <c r="U1200" s="161"/>
      <c r="V1200" s="161"/>
      <c r="W1200" s="161"/>
      <c r="X1200" s="161"/>
      <c r="Y1200" s="161"/>
      <c r="Z1200" s="161"/>
      <c r="AA1200" s="161"/>
      <c r="AB1200" s="161"/>
    </row>
    <row r="1201" ht="13.75" customHeight="1">
      <c r="A1201" s="161"/>
      <c r="B1201" s="161"/>
      <c r="C1201" s="161"/>
      <c r="D1201" s="161"/>
      <c r="E1201" s="161"/>
      <c r="F1201" s="161"/>
      <c r="G1201" s="161"/>
      <c r="H1201" s="161"/>
      <c r="I1201" s="161"/>
      <c r="J1201" s="161"/>
      <c r="K1201" s="161"/>
      <c r="L1201" s="161"/>
      <c r="M1201" s="161"/>
      <c r="N1201" s="161"/>
      <c r="O1201" s="161"/>
      <c r="P1201" s="161"/>
      <c r="Q1201" s="161"/>
      <c r="R1201" s="161"/>
      <c r="S1201" s="161"/>
      <c r="T1201" s="161"/>
      <c r="U1201" s="161"/>
      <c r="V1201" s="161"/>
      <c r="W1201" s="161"/>
      <c r="X1201" s="161"/>
      <c r="Y1201" s="161"/>
      <c r="Z1201" s="161"/>
      <c r="AA1201" s="161"/>
      <c r="AB1201" s="161"/>
    </row>
    <row r="1202" ht="13.75" customHeight="1">
      <c r="A1202" s="161"/>
      <c r="B1202" s="161"/>
      <c r="C1202" s="161"/>
      <c r="D1202" s="161"/>
      <c r="E1202" s="161"/>
      <c r="F1202" s="161"/>
      <c r="G1202" s="161"/>
      <c r="H1202" s="161"/>
      <c r="I1202" s="161"/>
      <c r="J1202" s="161"/>
      <c r="K1202" s="161"/>
      <c r="L1202" s="161"/>
      <c r="M1202" s="161"/>
      <c r="N1202" s="161"/>
      <c r="O1202" s="161"/>
      <c r="P1202" s="161"/>
      <c r="Q1202" s="161"/>
      <c r="R1202" s="161"/>
      <c r="S1202" s="161"/>
      <c r="T1202" s="161"/>
      <c r="U1202" s="161"/>
      <c r="V1202" s="161"/>
      <c r="W1202" s="161"/>
      <c r="X1202" s="161"/>
      <c r="Y1202" s="161"/>
      <c r="Z1202" s="161"/>
      <c r="AA1202" s="161"/>
      <c r="AB1202" s="161"/>
    </row>
    <row r="1203" ht="13.75" customHeight="1">
      <c r="A1203" s="161"/>
      <c r="B1203" s="161"/>
      <c r="C1203" s="161"/>
      <c r="D1203" s="161"/>
      <c r="E1203" s="161"/>
      <c r="F1203" s="161"/>
      <c r="G1203" s="161"/>
      <c r="H1203" s="161"/>
      <c r="I1203" s="161"/>
      <c r="J1203" s="161"/>
      <c r="K1203" s="161"/>
      <c r="L1203" s="161"/>
      <c r="M1203" s="161"/>
      <c r="N1203" s="161"/>
      <c r="O1203" s="161"/>
      <c r="P1203" s="161"/>
      <c r="Q1203" s="161"/>
      <c r="R1203" s="161"/>
      <c r="S1203" s="161"/>
      <c r="T1203" s="161"/>
      <c r="U1203" s="161"/>
      <c r="V1203" s="161"/>
      <c r="W1203" s="161"/>
      <c r="X1203" s="161"/>
      <c r="Y1203" s="161"/>
      <c r="Z1203" s="161"/>
      <c r="AA1203" s="161"/>
      <c r="AB1203" s="161"/>
    </row>
    <row r="1204" ht="13.75" customHeight="1">
      <c r="A1204" s="161"/>
      <c r="B1204" s="161"/>
      <c r="C1204" s="161"/>
      <c r="D1204" s="161"/>
      <c r="E1204" s="161"/>
      <c r="F1204" s="161"/>
      <c r="G1204" s="161"/>
      <c r="H1204" s="161"/>
      <c r="I1204" s="161"/>
      <c r="J1204" s="161"/>
      <c r="K1204" s="161"/>
      <c r="L1204" s="161"/>
      <c r="M1204" s="161"/>
      <c r="N1204" s="161"/>
      <c r="O1204" s="161"/>
      <c r="P1204" s="161"/>
      <c r="Q1204" s="161"/>
      <c r="R1204" s="161"/>
      <c r="S1204" s="161"/>
      <c r="T1204" s="161"/>
      <c r="U1204" s="161"/>
      <c r="V1204" s="161"/>
      <c r="W1204" s="161"/>
      <c r="X1204" s="161"/>
      <c r="Y1204" s="161"/>
      <c r="Z1204" s="161"/>
      <c r="AA1204" s="161"/>
      <c r="AB1204" s="161"/>
    </row>
    <row r="1205" ht="13.75" customHeight="1">
      <c r="A1205" s="161"/>
      <c r="B1205" s="161"/>
      <c r="C1205" s="161"/>
      <c r="D1205" s="161"/>
      <c r="E1205" s="161"/>
      <c r="F1205" s="161"/>
      <c r="G1205" s="161"/>
      <c r="H1205" s="161"/>
      <c r="I1205" s="161"/>
      <c r="J1205" s="161"/>
      <c r="K1205" s="161"/>
      <c r="L1205" s="161"/>
      <c r="M1205" s="161"/>
      <c r="N1205" s="161"/>
      <c r="O1205" s="161"/>
      <c r="P1205" s="161"/>
      <c r="Q1205" s="161"/>
      <c r="R1205" s="161"/>
      <c r="S1205" s="161"/>
      <c r="T1205" s="161"/>
      <c r="U1205" s="161"/>
      <c r="V1205" s="161"/>
      <c r="W1205" s="161"/>
      <c r="X1205" s="161"/>
      <c r="Y1205" s="161"/>
      <c r="Z1205" s="161"/>
      <c r="AA1205" s="161"/>
      <c r="AB1205" s="161"/>
    </row>
    <row r="1206" ht="13.75" customHeight="1">
      <c r="A1206" s="161"/>
      <c r="B1206" s="161"/>
      <c r="C1206" s="161"/>
      <c r="D1206" s="161"/>
      <c r="E1206" s="161"/>
      <c r="F1206" s="161"/>
      <c r="G1206" s="161"/>
      <c r="H1206" s="161"/>
      <c r="I1206" s="161"/>
      <c r="J1206" s="161"/>
      <c r="K1206" s="161"/>
      <c r="L1206" s="161"/>
      <c r="M1206" s="161"/>
      <c r="N1206" s="161"/>
      <c r="O1206" s="161"/>
      <c r="P1206" s="161"/>
      <c r="Q1206" s="161"/>
      <c r="R1206" s="161"/>
      <c r="S1206" s="161"/>
      <c r="T1206" s="161"/>
      <c r="U1206" s="161"/>
      <c r="V1206" s="161"/>
      <c r="W1206" s="161"/>
      <c r="X1206" s="161"/>
      <c r="Y1206" s="161"/>
      <c r="Z1206" s="161"/>
      <c r="AA1206" s="161"/>
      <c r="AB1206" s="161"/>
    </row>
    <row r="1207" ht="13.75" customHeight="1">
      <c r="A1207" s="161"/>
      <c r="B1207" s="161"/>
      <c r="C1207" s="161"/>
      <c r="D1207" s="161"/>
      <c r="E1207" s="161"/>
      <c r="F1207" s="161"/>
      <c r="G1207" s="161"/>
      <c r="H1207" s="161"/>
      <c r="I1207" s="161"/>
      <c r="J1207" s="161"/>
      <c r="K1207" s="161"/>
      <c r="L1207" s="161"/>
      <c r="M1207" s="161"/>
      <c r="N1207" s="161"/>
      <c r="O1207" s="161"/>
      <c r="P1207" s="161"/>
      <c r="Q1207" s="161"/>
      <c r="R1207" s="161"/>
      <c r="S1207" s="161"/>
      <c r="T1207" s="161"/>
      <c r="U1207" s="161"/>
      <c r="V1207" s="161"/>
      <c r="W1207" s="161"/>
      <c r="X1207" s="161"/>
      <c r="Y1207" s="161"/>
      <c r="Z1207" s="161"/>
      <c r="AA1207" s="161"/>
      <c r="AB1207" s="161"/>
    </row>
    <row r="1208" ht="13.75" customHeight="1">
      <c r="A1208" s="161"/>
      <c r="B1208" s="161"/>
      <c r="C1208" s="161"/>
      <c r="D1208" s="161"/>
      <c r="E1208" s="161"/>
      <c r="F1208" s="161"/>
      <c r="G1208" s="161"/>
      <c r="H1208" s="161"/>
      <c r="I1208" s="161"/>
      <c r="J1208" s="161"/>
      <c r="K1208" s="161"/>
      <c r="L1208" s="161"/>
      <c r="M1208" s="161"/>
      <c r="N1208" s="161"/>
      <c r="O1208" s="161"/>
      <c r="P1208" s="161"/>
      <c r="Q1208" s="161"/>
      <c r="R1208" s="161"/>
      <c r="S1208" s="161"/>
      <c r="T1208" s="161"/>
      <c r="U1208" s="161"/>
      <c r="V1208" s="161"/>
      <c r="W1208" s="161"/>
      <c r="X1208" s="161"/>
      <c r="Y1208" s="161"/>
      <c r="Z1208" s="161"/>
      <c r="AA1208" s="161"/>
      <c r="AB1208" s="161"/>
    </row>
    <row r="1209" ht="13.75" customHeight="1">
      <c r="A1209" s="161"/>
      <c r="B1209" s="161"/>
      <c r="C1209" s="161"/>
      <c r="D1209" s="161"/>
      <c r="E1209" s="161"/>
      <c r="F1209" s="161"/>
      <c r="G1209" s="161"/>
      <c r="H1209" s="161"/>
      <c r="I1209" s="161"/>
      <c r="J1209" s="161"/>
      <c r="K1209" s="161"/>
      <c r="L1209" s="161"/>
      <c r="M1209" s="161"/>
      <c r="N1209" s="161"/>
      <c r="O1209" s="161"/>
      <c r="P1209" s="161"/>
      <c r="Q1209" s="161"/>
      <c r="R1209" s="161"/>
      <c r="S1209" s="161"/>
      <c r="T1209" s="161"/>
      <c r="U1209" s="161"/>
      <c r="V1209" s="161"/>
      <c r="W1209" s="161"/>
      <c r="X1209" s="161"/>
      <c r="Y1209" s="161"/>
      <c r="Z1209" s="161"/>
      <c r="AA1209" s="161"/>
      <c r="AB1209" s="161"/>
    </row>
    <row r="1210" ht="13.75" customHeight="1">
      <c r="A1210" s="161"/>
      <c r="B1210" s="161"/>
      <c r="C1210" s="161"/>
      <c r="D1210" s="161"/>
      <c r="E1210" s="161"/>
      <c r="F1210" s="161"/>
      <c r="G1210" s="161"/>
      <c r="H1210" s="161"/>
      <c r="I1210" s="161"/>
      <c r="J1210" s="161"/>
      <c r="K1210" s="161"/>
      <c r="L1210" s="161"/>
      <c r="M1210" s="161"/>
      <c r="N1210" s="161"/>
      <c r="O1210" s="161"/>
      <c r="P1210" s="161"/>
      <c r="Q1210" s="161"/>
      <c r="R1210" s="161"/>
      <c r="S1210" s="161"/>
      <c r="T1210" s="161"/>
      <c r="U1210" s="161"/>
      <c r="V1210" s="161"/>
      <c r="W1210" s="161"/>
      <c r="X1210" s="161"/>
      <c r="Y1210" s="161"/>
      <c r="Z1210" s="161"/>
      <c r="AA1210" s="161"/>
      <c r="AB1210" s="161"/>
    </row>
    <row r="1211" ht="13.75" customHeight="1">
      <c r="A1211" s="161"/>
      <c r="B1211" s="161"/>
      <c r="C1211" s="161"/>
      <c r="D1211" s="161"/>
      <c r="E1211" s="161"/>
      <c r="F1211" s="161"/>
      <c r="G1211" s="161"/>
      <c r="H1211" s="161"/>
      <c r="I1211" s="161"/>
      <c r="J1211" s="161"/>
      <c r="K1211" s="161"/>
      <c r="L1211" s="161"/>
      <c r="M1211" s="161"/>
      <c r="N1211" s="161"/>
      <c r="O1211" s="161"/>
      <c r="P1211" s="161"/>
      <c r="Q1211" s="161"/>
      <c r="R1211" s="161"/>
      <c r="S1211" s="161"/>
      <c r="T1211" s="161"/>
      <c r="U1211" s="161"/>
      <c r="V1211" s="161"/>
      <c r="W1211" s="161"/>
      <c r="X1211" s="161"/>
      <c r="Y1211" s="161"/>
      <c r="Z1211" s="161"/>
      <c r="AA1211" s="161"/>
      <c r="AB1211" s="161"/>
    </row>
  </sheetData>
  <mergeCells count="3">
    <mergeCell ref="E1:F1"/>
    <mergeCell ref="G1:I1"/>
    <mergeCell ref="J1:K1"/>
  </mergeCells>
  <pageMargins left="0.565421" right="0.36187" top="0.7875" bottom="0.7875" header="0" footer="0"/>
  <pageSetup firstPageNumber="1" fitToHeight="1" fitToWidth="1" scale="100" useFirstPageNumber="0" orientation="landscape" pageOrder="downThenOver"/>
  <headerFooter>
    <oddHeader>&amp;C&amp;"Calibri,Regular"&amp;10&amp;K000000GENERAL Facturado</oddHeader>
    <oddFooter>&amp;C&amp;"Calibri,Regular"&amp;10&amp;K000000Página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